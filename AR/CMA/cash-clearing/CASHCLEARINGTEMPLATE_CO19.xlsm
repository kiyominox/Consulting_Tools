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rtermyersautogroup-my.sharepoint.com/personal/gedgar_winchester_cmacars_com/Documents/HONDA DAILY DEPOSIT 2026/"/>
    </mc:Choice>
  </mc:AlternateContent>
  <xr:revisionPtr revIDLastSave="13" documentId="8_{0F59BE5D-7828-41BD-8B12-47D245161A5F}" xr6:coauthVersionLast="47" xr6:coauthVersionMax="47" xr10:uidLastSave="{B5A4CC1B-962B-4381-B9D6-07D0FC909118}"/>
  <bookViews>
    <workbookView xWindow="28680" yWindow="-120" windowWidth="29040" windowHeight="15720" activeTab="1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<sst xmlns="http://schemas.openxmlformats.org/spreadsheetml/2006/main" count="283" uniqueCount="160">
  <si>
    <t>788273</t>
  </si>
  <si>
    <t>788351</t>
  </si>
  <si>
    <t>788363</t>
  </si>
  <si>
    <t>MoreInfo</t>
  </si>
  <si>
    <t>788047</t>
  </si>
  <si>
    <t>788358</t>
  </si>
  <si>
    <t>788195</t>
  </si>
  <si>
    <t>788338</t>
  </si>
  <si>
    <t>787969</t>
  </si>
  <si>
    <t>Amount $:</t>
  </si>
  <si>
    <t>Control</t>
  </si>
  <si>
    <t>788031</t>
  </si>
  <si>
    <t>Detail</t>
  </si>
  <si>
    <t>788379</t>
  </si>
  <si>
    <t>788371</t>
  </si>
  <si>
    <t>788340</t>
  </si>
  <si>
    <t>788373</t>
  </si>
  <si>
    <t>788244</t>
  </si>
  <si>
    <t>788334</t>
  </si>
  <si>
    <t>Days</t>
  </si>
  <si>
    <t>788370</t>
  </si>
  <si>
    <t>788328</t>
  </si>
  <si>
    <t>788344</t>
  </si>
  <si>
    <t>788181</t>
  </si>
  <si>
    <t>788356</t>
  </si>
  <si>
    <t>788327</t>
  </si>
  <si>
    <t>787963</t>
  </si>
  <si>
    <t>788366</t>
  </si>
  <si>
    <t>BALFWD</t>
  </si>
  <si>
    <t>788330</t>
  </si>
  <si>
    <t>788343</t>
  </si>
  <si>
    <t>787953</t>
  </si>
  <si>
    <t>787851</t>
  </si>
  <si>
    <t>788302</t>
  </si>
  <si>
    <t>788341</t>
  </si>
  <si>
    <t>788354</t>
  </si>
  <si>
    <t>788348</t>
  </si>
  <si>
    <t>At-a-Glance</t>
  </si>
  <si>
    <t>788357</t>
  </si>
  <si>
    <t>Accounting Schedule Report 1 - CASH CLEARING - SUMMARY</t>
  </si>
  <si>
    <t>787955</t>
  </si>
  <si>
    <t>Amount $</t>
  </si>
  <si>
    <t>788347</t>
  </si>
  <si>
    <t>Include Current Month:YES / Include Post-ahead Month:YES / Include Zero-balanced Controls:NO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</si>
  <si>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</si>
  <si>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</si>
  <si>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</si>
  <si>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</si>
  <si>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</si>
  <si>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</si>
  <si>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</si>
  <si>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</si>
  <si>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</si>
  <si>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</si>
  <si>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</si>
  <si>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</si>
  <si>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</si>
  <si>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</si>
  <si>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</si>
  <si>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</si>
  <si>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BALFWD Entries (RO/Invoice closed prior to July 28th)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</si>
  <si>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</si>
  <si>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</si>
  <si>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</si>
  <si>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</si>
  <si>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</si>
  <si>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</si>
  <si>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</si>
  <si>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</si>
  <si>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</si>
  <si>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</si>
  <si>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</si>
  <si>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</si>
  <si>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</si>
  <si>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</si>
  <si>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CLOSED "MMDD"</t>
  </si>
  <si>
    <t>UPDATE DATE -&gt;</t>
  </si>
  <si>
    <t>Type Y or the amount received in received column</t>
  </si>
  <si>
    <t>**Do not type in green columns</t>
  </si>
  <si>
    <t>Company: 23   CMA'S CDJR OF MART</t>
  </si>
  <si>
    <t>Account: 551011 CASH SALES CLEARING</t>
  </si>
  <si>
    <t>Cash</t>
  </si>
  <si>
    <t>Check</t>
  </si>
  <si>
    <t>On CC Stmnt</t>
  </si>
  <si>
    <t>PARTS POLICY</t>
  </si>
  <si>
    <t>SERVICE POLICY</t>
  </si>
  <si>
    <t>CA0324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</si>
  <si>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</si>
  <si>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</si>
  <si>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</si>
  <si>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</si>
  <si>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</si>
  <si>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</si>
  <si>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</si>
  <si>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</si>
  <si>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</si>
  <si>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</si>
  <si>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</si>
  <si>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</si>
  <si>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</si>
  <si>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</si>
  <si>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</si>
  <si>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</si>
  <si>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</si>
  <si>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</si>
  <si>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</si>
  <si>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</si>
  <si>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</si>
  <si>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</si>
  <si>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</si>
  <si>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</si>
  <si>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</si>
  <si>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4.  Open the exported file, copy columns A through F, and paste into cell A1 of the Schedule&amp;Rec sheet.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</si>
  <si>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</si>
  <si>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</si>
  <si>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</si>
  <si>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</si>
  <si>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</si>
  <si>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</si>
  <si>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</si>
  <si>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</si>
  <si>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</si>
  <si>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</si>
  <si>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</si>
  <si>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</si>
  <si>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</si>
  <si>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</si>
  <si>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</si>
  <si>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</si>
  <si>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</si>
  <si>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</si>
  <si>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</si>
  <si>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</si>
  <si>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</si>
  <si>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</si>
  <si>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</si>
  <si>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</si>
  <si>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</si>
  <si>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</si>
  <si>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</si>
  <si>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</si>
  <si>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</si>
  <si>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</si>
  <si>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</si>
  <si>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</si>
  <si>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</si>
  <si>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</si>
  <si>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</si>
  <si>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</si>
  <si>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</si>
  <si>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</si>
  <si>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</si>
  <si>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3.  In Excel, select cells starting from C10 down on the PowerPost sheet. OR</t>
  </si>
  <si>
    <t>▶  Click the black  "POST"  button on the PowerPost sheet.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</si>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</sst>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  <numFmt numFmtId="168" formatCode="&quot;$&quot;\ #,##0.00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</font>
    <font>
      <b/>
      <sz val="16"/>
      <color rgb="FF1F4E79"/>
      <name val="Calibri"/>
    </font>
    <font>
      <i/>
      <sz val="10"/>
      <color rgb="FF555555"/>
      <name val="Calibri"/>
    </font>
    <font>
      <b/>
      <sz val="11"/>
      <color rgb="FFCC0000"/>
      <name val="Calibri"/>
    </font>
    <font>
      <b/>
      <sz val="11"/>
      <color rgb="FF006100"/>
      <name val="Calibri"/>
    </font>
    <font>
      <b/>
      <sz val="13"/>
      <color rgb="FFFFFFFF"/>
      <name val="Calibri"/>
    </font>
    <font>
      <sz val="11"/>
      <color rgb="FF333333"/>
      <name val="Calibri"/>
    </font>
    <font>
      <i/>
      <sz val="10"/>
      <color rgb="FF2E75B6"/>
      <name val="Calibri"/>
    </font>
    <font>
      <b/>
      <sz val="11"/>
      <color rgb="FF333333"/>
      <name val="Calibri"/>
    </font>
    <font>
      <b/>
      <sz val="11"/>
      <color rgb="FFFFFFFF"/>
      <name val="Calibri"/>
    </font>
    <font>
      <i/>
      <sz val="10"/>
      <color rgb="FF999999"/>
      <name val="Calibri"/>
    </font>
  </fonts>
  <fills count="17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20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5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7" xfId="0" applyFont="1" applyFill="1" applyBorder="1"/>
    <xf numFmtId="2" fontId="12" fillId="6" borderId="7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4" xfId="0" applyFont="1" applyFill="1" applyBorder="1" applyAlignment="1">
      <alignment horizontal="center" vertical="top"/>
    </xf>
    <xf numFmtId="0" fontId="1" fillId="3" borderId="15" xfId="0" applyFont="1" applyFill="1" applyBorder="1" applyAlignment="1">
      <alignment horizontal="center" vertical="top"/>
    </xf>
    <xf numFmtId="0" fontId="0" fillId="8" borderId="12" xfId="0" applyFill="1" applyBorder="1"/>
    <xf numFmtId="0" fontId="0" fillId="8" borderId="0" xfId="0" applyFill="1"/>
    <xf numFmtId="0" fontId="0" fillId="4" borderId="13" xfId="0" applyFill="1" applyBorder="1"/>
    <xf numFmtId="0" fontId="0" fillId="8" borderId="9" xfId="0" applyFill="1" applyBorder="1"/>
    <xf numFmtId="0" fontId="0" fillId="8" borderId="2" xfId="0" applyFill="1" applyBorder="1"/>
    <xf numFmtId="0" fontId="6" fillId="0" borderId="8" xfId="0" applyFont="1" applyBorder="1" applyAlignment="1">
      <alignment horizontal="center"/>
    </xf>
    <xf numFmtId="0" fontId="0" fillId="8" borderId="10" xfId="0" applyFill="1" applyBorder="1"/>
    <xf numFmtId="0" fontId="0" fillId="8" borderId="11" xfId="0" applyFill="1" applyBorder="1"/>
    <xf numFmtId="0" fontId="1" fillId="3" borderId="7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2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" fillId="3" borderId="7" xfId="0" applyFont="1" applyFill="1" applyBorder="1" applyAlignment="1">
      <alignment horizontal="center" vertical="top" wrapText="1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7" xfId="0" applyNumberFormat="1" applyFont="1" applyBorder="1"/>
    <xf numFmtId="167" fontId="6" fillId="0" borderId="18" xfId="0" applyNumberFormat="1" applyFont="1" applyBorder="1"/>
    <xf numFmtId="0" fontId="14" fillId="0" borderId="2" xfId="0" applyFont="1" applyBorder="1"/>
    <xf numFmtId="0" fontId="15" fillId="0" borderId="0" xfId="0" applyFont="1"/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top"/>
      <protection locked="0"/>
    </xf>
    <xf numFmtId="164" fontId="1" fillId="0" borderId="1" xfId="0" applyNumberFormat="1" applyFont="1" applyBorder="1" applyAlignment="1" applyProtection="1">
      <alignment horizontal="right" vertical="top"/>
      <protection locked="0"/>
    </xf>
    <xf numFmtId="0" fontId="1" fillId="3" borderId="3" xfId="0" applyFont="1" applyFill="1" applyBorder="1" applyAlignment="1" applyProtection="1">
      <alignment horizontal="center" vertical="top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1" fillId="0" borderId="1" xfId="0" applyFont="1" applyBorder="1" applyAlignment="1" applyProtection="1">
      <alignment horizontal="left" vertical="top"/>
      <protection locked="0"/>
    </xf>
    <xf numFmtId="164" fontId="1" fillId="0" borderId="3" xfId="0" applyNumberFormat="1" applyFont="1" applyBorder="1" applyAlignment="1" applyProtection="1">
      <alignment horizontal="right" vertical="top"/>
      <protection locked="0"/>
    </xf>
    <xf numFmtId="0" fontId="3" fillId="2" borderId="1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164" fontId="1" fillId="2" borderId="3" xfId="0" applyNumberFormat="1" applyFont="1" applyFill="1" applyBorder="1" applyAlignment="1" applyProtection="1">
      <alignment horizontal="right" vertical="top"/>
      <protection locked="0"/>
    </xf>
    <xf numFmtId="0" fontId="0" fillId="0" borderId="1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67" fontId="0" fillId="0" borderId="10" xfId="0" applyNumberFormat="1" applyBorder="1" applyProtection="1">
      <protection locked="0"/>
    </xf>
    <xf numFmtId="167" fontId="0" fillId="0" borderId="11" xfId="0" applyNumberFormat="1" applyBorder="1" applyProtection="1">
      <protection locked="0"/>
    </xf>
    <xf numFmtId="166" fontId="0" fillId="9" borderId="16" xfId="0" applyNumberFormat="1" applyFill="1" applyBorder="1" applyAlignment="1" applyProtection="1">
      <alignment horizontal="center"/>
      <protection locked="0"/>
    </xf>
    <xf numFmtId="167" fontId="0" fillId="0" borderId="12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6" fillId="0" borderId="0" xfId="0" applyFont="1"/>
    <xf numFmtId="1" fontId="0" fillId="0" borderId="0" xfId="0" applyNumberFormat="1"/>
    <xf numFmtId="168" fontId="16" fillId="10" borderId="0" xfId="0" applyNumberFormat="1" applyFont="1" applyFill="1"/>
    <xf numFmtId="0" fontId="0" fillId="0" borderId="19" xfId="0" applyBorder="1" applyProtection="1">
      <protection locked="0"/>
    </xf>
    <xf numFmtId="0" fontId="1" fillId="3" borderId="19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9" xfId="0" applyNumberFormat="1" applyFont="1" applyFill="1" applyBorder="1" applyAlignment="1">
      <alignment horizontal="right"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19" fillId="12" borderId="0" xfId="0" applyFont="1" applyFill="1" applyAlignment="1">
      <alignment vertical="top" wrapText="1"/>
    </xf>
    <xf numFmtId="0" fontId="20" fillId="11" borderId="0" xfId="0" applyFont="1" applyFill="1" applyAlignment="1">
      <alignment vertical="top" wrapText="1"/>
    </xf>
    <xf numFmtId="0" fontId="21" fillId="13" borderId="0" xfId="0" applyFont="1" applyFill="1" applyAlignment="1">
      <alignment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14" borderId="0" xfId="0" applyFont="1" applyFill="1" applyAlignment="1">
      <alignment vertical="center" indent="2"/>
    </xf>
    <xf numFmtId="0" fontId="25" fillId="15" borderId="0" xfId="0" applyFont="1" applyFill="1" applyAlignment="1">
      <alignment vertical="center" indent="2"/>
    </xf>
    <xf numFmtId="0" fontId="25" fillId="16" borderId="0" xfId="0" applyFont="1" applyFill="1" applyAlignment="1">
      <alignment vertical="center" indent="2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0" fillId="0" borderId="9" xfId="0" applyBorder="1" applyProtection="1">
      <protection locked="0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" xfId="0" applyFont="1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  <xf numFmtId="0" fontId="0" fillId="0" borderId="0" xfId="0"/>
    <xf numFmtId="0" fontId="7" fillId="5" borderId="0" xfId="0" applyFont="1" applyFill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</cellXfs>
  <cellStyles count="1"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167" formatCode="_-&quot;$&quot;* #,##0.00_-;[Red]_-&quot;$&quot;* \(#,##0.00\)_-;_-&quot;$&quot;* &quot;-&quot;\ ??_-;_-@_-"/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6365C"/>
      </font>
      <fill>
        <patternFill>
          <bgColor rgb="FFC2D7F0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19</xdr:col>
      <xdr:colOff>200025</xdr:colOff>
      <xdr:row>11</xdr:row>
      <xdr:rowOff>152400</xdr:rowOff>
    </xdr:from>
    <xdr:to>
      <xdr:col>20</xdr:col>
      <xdr:colOff>171450</xdr:colOff>
      <xdr:row>13</xdr:row>
      <xdr:rowOff>152400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4782800" y="227647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828675</xdr:colOff>
      <xdr:row>2</xdr:row>
      <xdr:rowOff>85725</xdr:rowOff>
    </xdr:from>
    <xdr:to>
      <xdr:col>9</xdr:col>
      <xdr:colOff>1809750</xdr:colOff>
      <xdr:row>4</xdr:row>
      <xdr:rowOff>95250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D3F0B8-7A4A-4602-9D91-4C850F15D517}"/>
            </a:ext>
          </a:extLst>
        </xdr:cNvPr>
        <xdr:cNvSpPr/>
      </xdr:nvSpPr>
      <xdr:spPr>
        <a:xfrm>
          <a:off x="8315325" y="476250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S35" totalsRowShown="0" headerRowDxfId="28" tableBorderDxfId="27">
  <autoFilter ref="N13:S35" xr:uid="{CA06DB1E-5455-490E-A4AF-367BC85C706E}"/>
  <sortState xmlns:xlrd2="http://schemas.microsoft.com/office/spreadsheetml/2017/richdata2" ref="N14:S35">
    <sortCondition descending="1" ref="P13:P35"/>
  </sortState>
  <tableColumns count="6">
    <tableColumn id="1" xr3:uid="{BB66A6B8-D3A8-455A-BC26-5282ECB3DE38}" name="RO/Invoice#" dataDxfId="26"/>
    <tableColumn id="2" xr3:uid="{86260D87-DBD3-4756-B711-B40BED2225AF}" name="Amount" dataDxfId="25"/>
    <tableColumn id="3" xr3:uid="{1FF4F82B-5C60-49A3-9E76-E489101BFBC5}" name="For JE" dataDxfId="24">
      <calculatedColumnFormula>IF(N14&lt;&gt;"","511011","")</calculatedColumnFormula>
    </tableColumn>
    <tableColumn id="4" xr3:uid="{5A422D18-8DBB-40D8-86CC-ED777B442BE5}" name="For JE2" dataDxfId="23">
      <calculatedColumnFormula>-NotOnSch[[#This Row],[Amount]]</calculatedColumnFormula>
    </tableColumn>
    <tableColumn id="5" xr3:uid="{F10A9678-0FA4-4E8F-BCB1-688B03695446}" name="For JE3" dataDxfId="22">
      <calculatedColumnFormula>IF(N14&lt;&gt;"",N14,"")</calculatedColumnFormula>
    </tableColumn>
    <tableColumn id="6" xr3:uid="{6E7FCCE5-928A-459A-A865-719624A02951}" name="Notes" dataDxfId="21">
      <calculatedColumnFormula>IF(N14&lt;&gt;"",_xlfn.XLOOKUP(N14,CC!A:A,CC!E:E,""),"")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20" dataDxfId="19" tableBorderDxfId="18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17"/>
    <tableColumn id="2" xr3:uid="{365CD64A-9492-4767-B8B7-EC58237DF6F3}" name="Amount" dataDxfId="16"/>
    <tableColumn id="3" xr3:uid="{25F2B0F4-67E4-4D7F-84BF-D07BB719633A}" name="For JE" dataDxfId="15">
      <calculatedColumnFormula>IF(DepositTotals[[#This Row],[Amount]]="", "", CHOOSE(MATCH(DepositTotals[[#This Row],[Type]], {"CASH","CREDIT","CHECK","SERVICE POLICY","PARTS POLICY"}, 0), "511007", "511001", "511001", "517750", "517650"))</calculatedColumnFormula>
    </tableColumn>
    <tableColumn id="4" xr3:uid="{27211CB2-A5F1-421A-AEAA-0B2CBB5FC40F}" name="For JE2" dataDxfId="14">
      <calculatedColumnFormula>O4</calculatedColumnFormula>
    </tableColumn>
    <tableColumn id="5" xr3:uid="{E55D70E1-6D9E-4F3C-BA02-5C78236FDCAC}" name="For JE3" dataDxfId="13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12"/>
    <tableColumn id="7" xr3:uid="{A4E3BE34-C0B0-47D2-9684-7E57BCD99026}" name="For JE5" dataDxfId="11">
      <calculatedColumnFormula>IF(O4&lt;&gt;"",N4,"")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20FF63-4973-4E13-B6BA-A5B62FCC0A8E}" name="BALFWD" displayName="BALFWD" ref="N38:T60" totalsRowShown="0" headerRowDxfId="10" tableBorderDxfId="9">
  <autoFilter ref="N38:T60" xr:uid="{FC20FF63-4973-4E13-B6BA-A5B62FCC0A8E}"/>
  <tableColumns count="7">
    <tableColumn id="1" xr3:uid="{5524D697-0A19-4CC7-9088-CA71120220B3}" name="RO/Invoice#" dataDxfId="8"/>
    <tableColumn id="2" xr3:uid="{ACD1DDE7-6A7E-4C4F-812B-AAE289C5B76A}" name="Amount" dataDxfId="7"/>
    <tableColumn id="3" xr3:uid="{08FA6404-2683-4752-A802-73214D9C73E8}" name="For JE" dataDxfId="6">
      <calculatedColumnFormula>IF(N39&lt;&gt;"","511011","")</calculatedColumnFormula>
    </tableColumn>
    <tableColumn id="4" xr3:uid="{0FAE3374-E601-481D-8B6C-D267C448B1D7}" name="For JE2" dataDxfId="5">
      <calculatedColumnFormula>-O39</calculatedColumnFormula>
    </tableColumn>
    <tableColumn id="5" xr3:uid="{35508A83-38A5-430B-A671-FDFA86FA38C5}" name="For JE3" dataDxfId="4">
      <calculatedColumnFormula>IF(N39&lt;&gt;"","BAL-FWD","")</calculatedColumnFormula>
    </tableColumn>
    <tableColumn id="6" xr3:uid="{A99EA67E-EE4A-480A-B2E6-6F056F1C9FFB}" name="For JE4" dataDxfId="3">
      <calculatedColumnFormula>IF(N39&lt;&gt;"",N39,"")</calculatedColumnFormula>
    </tableColumn>
    <tableColumn id="7" xr3:uid="{5E1B6677-FBD4-4525-9FBF-185CB8A5C1F9}" name="CLOSED &quot;MMDD&quot;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sqref="A1:A1048576"/>
    </sheetView>
  </sheetViews>
  <sheetFormatPr defaultRowHeight="15" x14ac:dyDescent="0.25"/>
  <cols>
    <col min="1" max="1" width="131.42578125" customWidth="1"/>
  </cols>
  <sheetData>
    <row r="1" spans="1:1" ht="21" x14ac:dyDescent="0.25">
      <c r="A1" s="71" t="s">
        <v>87</v>
      </c>
    </row>
    <row r="2" spans="1:1" x14ac:dyDescent="0.25">
      <c r="A2" s="72" t="s">
        <v>88</v>
      </c>
    </row>
    <row r="3" spans="1:1" s="42" customFormat="1" ht="15" customHeight="1" x14ac:dyDescent="0.25">
      <c r="A3"/>
    </row>
    <row r="4" spans="1:1" ht="15" customHeight="1" x14ac:dyDescent="0.25">
      <c r="A4" s="73" t="s">
        <v>89</v>
      </c>
    </row>
    <row r="5" spans="1:1" ht="12.75" customHeight="1" x14ac:dyDescent="0.25">
      <c r="A5" s="73" t="s">
        <v>90</v>
      </c>
    </row>
    <row r="7" spans="1:1" x14ac:dyDescent="0.25">
      <c r="A7" s="74" t="s">
        <v>91</v>
      </c>
    </row>
    <row r="9" spans="1:1" ht="17.25" x14ac:dyDescent="0.25">
      <c r="A9" s="75" t="s">
        <v>92</v>
      </c>
    </row>
    <row r="10" spans="1:1" x14ac:dyDescent="0.25">
      <c r="A10" s="76" t="s">
        <v>93</v>
      </c>
    </row>
    <row r="11" spans="1:1" x14ac:dyDescent="0.25">
      <c r="A11" s="76" t="s">
        <v>94</v>
      </c>
    </row>
    <row r="12" spans="1:1" x14ac:dyDescent="0.25">
      <c r="A12" s="77" t="s">
        <v>95</v>
      </c>
    </row>
    <row r="13" spans="1:1" x14ac:dyDescent="0.25">
      <c r="A13" s="76" t="s">
        <v>96</v>
      </c>
    </row>
    <row r="15" spans="1:1" ht="17.25" x14ac:dyDescent="0.25">
      <c r="A15" s="75" t="s">
        <v>97</v>
      </c>
    </row>
    <row r="16" spans="1:1" x14ac:dyDescent="0.25">
      <c r="A16" s="76" t="s">
        <v>98</v>
      </c>
    </row>
    <row r="17" spans="1:1" x14ac:dyDescent="0.25">
      <c r="A17" s="76" t="s">
        <v>99</v>
      </c>
    </row>
    <row r="18" spans="1:1" x14ac:dyDescent="0.25">
      <c r="A18" s="76" t="s">
        <v>100</v>
      </c>
    </row>
    <row r="19" spans="1:1" x14ac:dyDescent="0.25">
      <c r="A19" s="76" t="s">
        <v>101</v>
      </c>
    </row>
    <row r="20" spans="1:1" x14ac:dyDescent="0.25">
      <c r="A20" s="76" t="s">
        <v>102</v>
      </c>
    </row>
    <row r="22" spans="1:1" ht="17.25" x14ac:dyDescent="0.25">
      <c r="A22" s="75" t="s">
        <v>103</v>
      </c>
    </row>
    <row r="23" spans="1:1" x14ac:dyDescent="0.25">
      <c r="A23" s="78" t="s">
        <v>104</v>
      </c>
    </row>
    <row r="25" spans="1:1" x14ac:dyDescent="0.25">
      <c r="A25" s="79" t="s">
        <v>105</v>
      </c>
    </row>
    <row r="27" spans="1:1" x14ac:dyDescent="0.25">
      <c r="A27" s="78" t="s">
        <v>106</v>
      </c>
    </row>
    <row r="28" spans="1:1" x14ac:dyDescent="0.25">
      <c r="A28" s="76" t="s">
        <v>107</v>
      </c>
    </row>
    <row r="29" spans="1:1" x14ac:dyDescent="0.25">
      <c r="A29" s="76" t="s">
        <v>108</v>
      </c>
    </row>
    <row r="30" spans="1:1" x14ac:dyDescent="0.25">
      <c r="A30" s="76" t="s">
        <v>109</v>
      </c>
    </row>
    <row r="31" spans="1:1" x14ac:dyDescent="0.25">
      <c r="A31" s="76" t="s">
        <v>110</v>
      </c>
    </row>
    <row r="32" spans="1:1" x14ac:dyDescent="0.25">
      <c r="A32" s="76" t="s">
        <v>111</v>
      </c>
    </row>
    <row r="33" spans="1:1" x14ac:dyDescent="0.25">
      <c r="A33" s="76" t="s">
        <v>112</v>
      </c>
    </row>
    <row r="35" spans="1:1" ht="17.25" x14ac:dyDescent="0.25">
      <c r="A35" s="75" t="s">
        <v>113</v>
      </c>
    </row>
    <row r="36" spans="1:1" x14ac:dyDescent="0.25">
      <c r="A36" s="76" t="s">
        <v>114</v>
      </c>
    </row>
    <row r="37" spans="1:1" x14ac:dyDescent="0.25">
      <c r="A37" s="76" t="s">
        <v>115</v>
      </c>
    </row>
    <row r="38" spans="1:1" x14ac:dyDescent="0.25">
      <c r="A38" s="76" t="s">
        <v>116</v>
      </c>
    </row>
    <row r="39" spans="1:1" x14ac:dyDescent="0.25">
      <c r="A39" s="77" t="s">
        <v>117</v>
      </c>
    </row>
    <row r="40" spans="1:1" x14ac:dyDescent="0.25">
      <c r="A40" s="76" t="s">
        <v>118</v>
      </c>
    </row>
    <row r="42" spans="1:1" ht="17.25" x14ac:dyDescent="0.25">
      <c r="A42" s="75" t="s">
        <v>119</v>
      </c>
    </row>
    <row r="43" spans="1:1" x14ac:dyDescent="0.25">
      <c r="A43" s="78" t="s">
        <v>120</v>
      </c>
    </row>
    <row r="45" spans="1:1" x14ac:dyDescent="0.25">
      <c r="A45" s="80" t="s">
        <v>121</v>
      </c>
    </row>
    <row r="47" spans="1:1" ht="30" x14ac:dyDescent="0.25">
      <c r="A47" s="76" t="s">
        <v>122</v>
      </c>
    </row>
    <row r="49" spans="1:1" ht="17.25" x14ac:dyDescent="0.25">
      <c r="A49" s="75" t="s">
        <v>123</v>
      </c>
    </row>
    <row r="50" spans="1:1" x14ac:dyDescent="0.25">
      <c r="A50" s="78" t="s">
        <v>124</v>
      </c>
    </row>
    <row r="52" spans="1:1" x14ac:dyDescent="0.25">
      <c r="A52" s="76" t="s">
        <v>125</v>
      </c>
    </row>
    <row r="53" spans="1:1" x14ac:dyDescent="0.25">
      <c r="A53" s="76" t="s">
        <v>126</v>
      </c>
    </row>
    <row r="54" spans="1:1" x14ac:dyDescent="0.25">
      <c r="A54" s="76" t="s">
        <v>127</v>
      </c>
    </row>
    <row r="56" spans="1:1" ht="30" x14ac:dyDescent="0.25">
      <c r="A56" s="78" t="s">
        <v>128</v>
      </c>
    </row>
    <row r="57" spans="1:1" x14ac:dyDescent="0.25">
      <c r="A57" s="76" t="s">
        <v>129</v>
      </c>
    </row>
    <row r="58" spans="1:1" x14ac:dyDescent="0.25">
      <c r="A58" s="76" t="s">
        <v>130</v>
      </c>
    </row>
    <row r="60" spans="1:1" ht="17.25" x14ac:dyDescent="0.25">
      <c r="A60" s="75" t="s">
        <v>131</v>
      </c>
    </row>
    <row r="61" spans="1:1" x14ac:dyDescent="0.25">
      <c r="A61" s="76" t="s">
        <v>132</v>
      </c>
    </row>
    <row r="63" spans="1:1" x14ac:dyDescent="0.25">
      <c r="A63" s="76" t="s">
        <v>133</v>
      </c>
    </row>
    <row r="64" spans="1:1" x14ac:dyDescent="0.25">
      <c r="A64" s="76" t="s">
        <v>134</v>
      </c>
    </row>
    <row r="65" spans="1:1" x14ac:dyDescent="0.25">
      <c r="A65" s="76" t="s">
        <v>135</v>
      </c>
    </row>
    <row r="66" spans="1:1" x14ac:dyDescent="0.25">
      <c r="A66" s="76" t="s">
        <v>136</v>
      </c>
    </row>
    <row r="67" spans="1:1" x14ac:dyDescent="0.25">
      <c r="A67" s="76" t="s">
        <v>137</v>
      </c>
    </row>
    <row r="68" spans="1:1" x14ac:dyDescent="0.25">
      <c r="A68" s="76" t="s">
        <v>138</v>
      </c>
    </row>
    <row r="69" spans="1:1" x14ac:dyDescent="0.25">
      <c r="A69" s="76" t="s">
        <v>139</v>
      </c>
    </row>
    <row r="71" spans="1:1" ht="17.25" x14ac:dyDescent="0.25">
      <c r="A71" s="75" t="s">
        <v>140</v>
      </c>
    </row>
    <row r="72" spans="1:1" x14ac:dyDescent="0.25">
      <c r="A72" s="76" t="s">
        <v>141</v>
      </c>
    </row>
    <row r="73" spans="1:1" x14ac:dyDescent="0.25">
      <c r="A73" s="78" t="s">
        <v>142</v>
      </c>
    </row>
    <row r="74" spans="1:1" x14ac:dyDescent="0.25">
      <c r="A74" s="76" t="s">
        <v>143</v>
      </c>
    </row>
    <row r="76" spans="1:1" ht="17.25" x14ac:dyDescent="0.25">
      <c r="A76" s="75" t="s">
        <v>144</v>
      </c>
    </row>
    <row r="78" spans="1:1" x14ac:dyDescent="0.25">
      <c r="A78" s="81" t="s">
        <v>145</v>
      </c>
    </row>
    <row r="80" spans="1:1" x14ac:dyDescent="0.25">
      <c r="A80" s="76" t="s">
        <v>146</v>
      </c>
    </row>
    <row r="81" spans="1:1" x14ac:dyDescent="0.25">
      <c r="A81" s="76" t="s">
        <v>147</v>
      </c>
    </row>
    <row r="82" spans="1:1" x14ac:dyDescent="0.25">
      <c r="A82" s="76" t="s">
        <v>148</v>
      </c>
    </row>
    <row r="84" spans="1:1" ht="17.25" x14ac:dyDescent="0.25">
      <c r="A84" s="75" t="s">
        <v>149</v>
      </c>
    </row>
    <row r="85" spans="1:1" x14ac:dyDescent="0.25">
      <c r="A85" s="76" t="s">
        <v>150</v>
      </c>
    </row>
    <row r="86" spans="1:1" x14ac:dyDescent="0.25">
      <c r="A86" s="76" t="s">
        <v>151</v>
      </c>
    </row>
    <row r="87" spans="1:1" x14ac:dyDescent="0.25">
      <c r="A87" s="76" t="s">
        <v>152</v>
      </c>
    </row>
    <row r="88" spans="1:1" x14ac:dyDescent="0.25">
      <c r="A88" s="76"/>
    </row>
    <row r="89" spans="1:1" x14ac:dyDescent="0.25">
      <c r="A89" s="79" t="s">
        <v>153</v>
      </c>
    </row>
    <row r="90" spans="1:1" x14ac:dyDescent="0.25">
      <c r="A90" s="76"/>
    </row>
    <row r="91" spans="1:1" x14ac:dyDescent="0.25">
      <c r="A91" s="76" t="s">
        <v>154</v>
      </c>
    </row>
    <row r="92" spans="1:1" x14ac:dyDescent="0.25">
      <c r="A92" s="82" t="s">
        <v>155</v>
      </c>
    </row>
    <row r="93" spans="1:1" x14ac:dyDescent="0.25">
      <c r="A93" s="76" t="s">
        <v>156</v>
      </c>
    </row>
    <row r="95" spans="1:1" ht="17.25" x14ac:dyDescent="0.25">
      <c r="A95" s="75" t="s">
        <v>157</v>
      </c>
    </row>
    <row r="96" spans="1:1" x14ac:dyDescent="0.25">
      <c r="A96" s="76" t="s">
        <v>158</v>
      </c>
    </row>
    <row r="99" spans="1:1" x14ac:dyDescent="0.25">
      <c r="A99" s="83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T493"/>
  <sheetViews>
    <sheetView tabSelected="1" zoomScaleNormal="100" workbookViewId="0">
      <selection activeCell="U13" sqref="U13"/>
    </sheetView>
  </sheetViews>
  <sheetFormatPr defaultColWidth="9.140625" defaultRowHeight="15" x14ac:dyDescent="0.25"/>
  <cols>
    <col min="1" max="2" width="17.42578125" style="44" customWidth="1"/>
    <col min="3" max="3" width="15.7109375" style="44" customWidth="1"/>
    <col min="4" max="5" width="2.5703125" style="44" customWidth="1"/>
    <col min="6" max="6" width="13" style="44" customWidth="1"/>
    <col min="7" max="7" width="13" style="67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0" x14ac:dyDescent="0.25">
      <c r="A1" s="43" t="s">
        <v>79</v>
      </c>
    </row>
    <row r="2" spans="1:20" x14ac:dyDescent="0.25">
      <c r="L2" s="28" t="s">
        <v>59</v>
      </c>
      <c r="N2" s="85" t="s">
        <v>64</v>
      </c>
      <c r="O2" s="86"/>
      <c r="P2" s="86"/>
      <c r="Q2" s="86"/>
      <c r="R2" s="86"/>
      <c r="S2" s="86"/>
      <c r="T2" s="87"/>
    </row>
    <row r="3" spans="1:20" x14ac:dyDescent="0.25">
      <c r="B3" s="43" t="s">
        <v>39</v>
      </c>
      <c r="K3" s="37" t="s">
        <v>76</v>
      </c>
      <c r="L3" s="61"/>
      <c r="N3" s="31" t="s">
        <v>65</v>
      </c>
      <c r="O3" s="31" t="s">
        <v>47</v>
      </c>
      <c r="P3" s="32" t="s">
        <v>45</v>
      </c>
      <c r="Q3" s="32" t="s">
        <v>68</v>
      </c>
      <c r="R3" s="32" t="s">
        <v>69</v>
      </c>
      <c r="S3" s="32" t="s">
        <v>70</v>
      </c>
      <c r="T3" s="32" t="s">
        <v>71</v>
      </c>
    </row>
    <row r="4" spans="1:20" x14ac:dyDescent="0.25">
      <c r="N4" s="58" t="s">
        <v>63</v>
      </c>
      <c r="O4" s="59"/>
      <c r="P4" s="26" t="str">
        <f>IF(DepositTotals[[#This Row],[Amount]]="", "", CHOOSE(MATCH(DepositTotals[[#This Row],[Type]], {"CASH","CREDIT","CHECK","SERVICE POLICY","PARTS POLICY"}, 0), "511007", "511001", "511001", "517750", "517650"))</f>
        <v/>
      </c>
      <c r="Q4" s="33">
        <f t="shared" ref="Q4:Q10" si="0">O4</f>
        <v>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4" s="23"/>
      <c r="T4" s="23" t="str">
        <f t="shared" ref="T4:T10" si="1">IF(O4&lt;&gt;"",N4,"")</f>
        <v/>
      </c>
    </row>
    <row r="5" spans="1:20" x14ac:dyDescent="0.25">
      <c r="B5" s="43" t="s">
        <v>80</v>
      </c>
      <c r="N5" s="44" t="s">
        <v>66</v>
      </c>
      <c r="O5" s="60"/>
      <c r="P5" s="27" t="str">
        <f>IF(DepositTotals[[#This Row],[Amount]]="", "", CHOOSE(MATCH(DepositTotals[[#This Row],[Type]], {"CASH","CREDIT","CHECK","SERVICE POLICY","PARTS POLICY"}, 0), "511007", "511001", "511001", "517750", "517650"))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0" x14ac:dyDescent="0.25">
      <c r="K6" s="35" t="s">
        <v>74</v>
      </c>
      <c r="L6" s="38">
        <f>SUM(DepositTotals[Amount])</f>
        <v>0</v>
      </c>
      <c r="N6" s="44" t="s">
        <v>67</v>
      </c>
      <c r="O6" s="60"/>
      <c r="P6" s="27" t="str">
        <f>IF(DepositTotals[[#This Row],[Amount]]="", "", CHOOSE(MATCH(DepositTotals[[#This Row],[Type]], {"CASH","CREDIT","CHECK","SERVICE POLICY","PARTS POLICY"}, 0), "511007", "511001", "511001", "517750", "517650"))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0" x14ac:dyDescent="0.25">
      <c r="B7" s="45" t="s">
        <v>43</v>
      </c>
      <c r="K7" s="35" t="s">
        <v>73</v>
      </c>
      <c r="L7" s="39">
        <f>-SUM(J14:J493,Q39:Q60,Q14:Q35)</f>
        <v>0</v>
      </c>
      <c r="N7" s="44" t="s">
        <v>84</v>
      </c>
      <c r="O7" s="60"/>
      <c r="P7" s="27" t="str">
        <f>IF(DepositTotals[[#This Row],[Amount]]="", "", CHOOSE(MATCH(DepositTotals[[#This Row],[Type]], {"CASH","CREDIT","CHECK","SERVICE POLICY","PARTS POLICY"}, 0), "511007", "511001", "511001", "517750", "517650"))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0" ht="15.75" thickBot="1" x14ac:dyDescent="0.3">
      <c r="K8" s="35" t="s">
        <v>72</v>
      </c>
      <c r="L8" s="40">
        <f>L6-L7</f>
        <v>0</v>
      </c>
      <c r="N8" s="44" t="s">
        <v>85</v>
      </c>
      <c r="O8" s="60"/>
      <c r="P8" s="27" t="str">
        <f>IF(DepositTotals[[#This Row],[Amount]]="", "", CHOOSE(MATCH(DepositTotals[[#This Row],[Type]], {"CASH","CREDIT","CHECK","SERVICE POLICY","PARTS POLICY"}, 0), "511007", "511001", "511001", "517750", "517650"))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0" ht="15.75" thickTop="1" x14ac:dyDescent="0.25">
      <c r="B9" s="88" t="s">
        <v>37</v>
      </c>
      <c r="N9" s="44"/>
      <c r="O9" s="60"/>
      <c r="P9" s="27" t="str">
        <f>IF(DepositTotals[[#This Row],[Amount]]="", "", CHOOSE(MATCH(DepositTotals[[#This Row],[Type]], {"CASH","CREDIT","CHECK","SERVICE POLICY","PARTS POLICY"}, 0), "511007", "511001", "511001", "517750", "517650"))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0" ht="15.75" customHeight="1" x14ac:dyDescent="0.25">
      <c r="B10" s="46" t="s">
        <v>9</v>
      </c>
      <c r="H10" s="41" t="s">
        <v>78</v>
      </c>
      <c r="N10" s="44"/>
      <c r="O10" s="60"/>
      <c r="P10" s="27" t="str">
        <f>IF(DepositTotals[[#This Row],[Amount]]="", "", CHOOSE(MATCH(DepositTotals[[#This Row],[Type]], {"CASH","CREDIT","CHECK","SERVICE POLICY","PARTS POLICY"}, 0), "511007", "511001", "511001", "517750", "517650"))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0" x14ac:dyDescent="0.25">
      <c r="B11" s="47">
        <v>2518.98</v>
      </c>
    </row>
    <row r="12" spans="1:20" x14ac:dyDescent="0.25">
      <c r="H12" s="69" t="s">
        <v>77</v>
      </c>
      <c r="N12" s="85" t="s">
        <v>62</v>
      </c>
      <c r="O12" s="86"/>
      <c r="P12" s="86"/>
      <c r="Q12" s="86"/>
      <c r="R12" s="86"/>
      <c r="S12" s="87"/>
    </row>
    <row r="13" spans="1:20" ht="15.75" customHeight="1" x14ac:dyDescent="0.25">
      <c r="C13" s="46" t="s">
        <v>10</v>
      </c>
      <c r="D13" s="46" t="s">
        <v>3</v>
      </c>
      <c r="E13" s="46" t="s">
        <v>19</v>
      </c>
      <c r="F13" s="48" t="s">
        <v>41</v>
      </c>
      <c r="G13" s="68" t="s">
        <v>83</v>
      </c>
      <c r="H13" s="25" t="s">
        <v>44</v>
      </c>
      <c r="I13" s="21" t="s">
        <v>45</v>
      </c>
      <c r="J13" s="21" t="s">
        <v>45</v>
      </c>
      <c r="K13" s="21" t="s">
        <v>45</v>
      </c>
      <c r="L13" s="22" t="s">
        <v>61</v>
      </c>
      <c r="N13" s="31" t="s">
        <v>46</v>
      </c>
      <c r="O13" s="31" t="s">
        <v>47</v>
      </c>
      <c r="P13" s="32" t="s">
        <v>45</v>
      </c>
      <c r="Q13" s="32" t="s">
        <v>68</v>
      </c>
      <c r="R13" s="32" t="s">
        <v>69</v>
      </c>
      <c r="S13" s="31" t="s">
        <v>61</v>
      </c>
    </row>
    <row r="14" spans="1:20" x14ac:dyDescent="0.25">
      <c r="C14" s="52">
        <v>213835</v>
      </c>
      <c r="D14" s="49" t="s">
        <v>12</v>
      </c>
      <c r="E14" s="50">
        <v>1</v>
      </c>
      <c r="F14" s="51">
        <v>-89.75</v>
      </c>
      <c r="G14" s="70">
        <f>IFERROR(SUMPRODUCT((TEXT(CC!$C$3:$C$1000,"0")=TEXT(C14,"0"))*IFERROR(CC!$E$3:$E$1000+0,0)),0)</f>
      </c>
      <c r="H14" s="84"/>
      <c r="I14" s="24" t="str">
        <f>IF(J14&lt;&gt;0,"511011","")</f>
        <v/>
      </c>
      <c r="J14" s="34" cm="1">
        <f t="array" ref="J14">IFERROR(-_xlfn.IFS(OR(H14="y",H14="Y"),F14,AND(H14&lt;&gt;0,ISNUMBER(H14)),H14,G14&lt;&gt;0,G14),0)</f>
        <v>0</v>
      </c>
      <c r="K14" s="29" t="str">
        <f t="shared" ref="K14:K45" si="2">IF(J14&lt;&gt;0,C14,"")</f>
        <v/>
      </c>
      <c r="L14" s="55" t="str">
        <f>IF(C14&lt;&gt;"",_xlfn.XLOOKUP(TEXT(C14,"0"),TEXT(CC!$C$3:$C$1000,"0"),CC!$G$3:$G$1000,""),"")</f>
        <v/>
      </c>
      <c r="N14" s="58"/>
      <c r="O14" s="59"/>
      <c r="P14" s="26" t="str">
        <f t="shared" ref="P14:P35" si="3">IF(N14&lt;&gt;"","511011","")</f>
        <v/>
      </c>
      <c r="Q14" s="33">
        <f>-NotOnSch[[#This Row],[Amount]]</f>
        <v>0</v>
      </c>
      <c r="R14" s="29" t="str">
        <f t="shared" ref="R14:R35" si="4">IF(N14&lt;&gt;"",N14,"")</f>
        <v/>
      </c>
      <c r="S14" s="58" t="str">
        <f>IF(N14&lt;&gt;"",_xlfn.XLOOKUP(TEXT(N14,"0"),TEXT(CC!$C$3:$C$1000,"0"),CC!$G$3:$G$1000,""),"")</f>
        <v/>
      </c>
    </row>
    <row r="15" spans="1:20" x14ac:dyDescent="0.25">
      <c r="C15" s="49">
        <v>213838</v>
      </c>
      <c r="D15" s="52" t="s">
        <v>12</v>
      </c>
      <c r="E15" s="53">
        <v>1</v>
      </c>
      <c r="F15" s="54">
        <v>84.33</v>
      </c>
      <c r="G15" s="70">
        <f>IFERROR(SUMPRODUCT((TEXT(CC!$C$3:$C$1000,"0")=TEXT(C15,"0"))*IFERROR(CC!$E$3:$E$1000+0,0)),0)</f>
      </c>
      <c r="H15" s="56"/>
      <c r="I15" s="24" t="str">
        <f t="shared" ref="I15:I78" si="5">IF(J15&lt;&gt;0,"511011","")</f>
        <v/>
      </c>
      <c r="J15" s="34" cm="1">
        <f t="array" ref="J15">IFERROR(-_xlfn.IFS(OR(H15="y",H15="Y"),F15,AND(H15&lt;&gt;0,ISNUMBER(H15)),H15,G15&lt;&gt;0,G15),0)</f>
        <v>0</v>
      </c>
      <c r="K15" s="30" t="str">
        <f t="shared" si="2"/>
        <v/>
      </c>
      <c r="L15" s="57" t="str">
        <f>IF(C15&lt;&gt;"",_xlfn.XLOOKUP(TEXT(C15,"0"),TEXT(CC!$C$3:$C$1000,"0"),CC!$G$3:$G$1000,""),"")</f>
        <v/>
      </c>
      <c r="N15" s="44"/>
      <c r="O15" s="60"/>
      <c r="P15" s="27" t="str">
        <f t="shared" si="3"/>
        <v/>
      </c>
      <c r="Q15" s="34">
        <f>-NotOnSch[[#This Row],[Amount]]</f>
        <v>0</v>
      </c>
      <c r="R15" s="30" t="str">
        <f t="shared" si="4"/>
        <v/>
      </c>
      <c r="S15" s="44" t="str">
        <f>IF(N15&lt;&gt;"",_xlfn.XLOOKUP(TEXT(N15,"0"),TEXT(CC!$C$3:$C$1000,"0"),CC!$G$3:$G$1000,""),"")</f>
        <v/>
      </c>
    </row>
    <row r="16" spans="1:20" x14ac:dyDescent="0.25">
      <c r="C16" s="52">
        <v>346894</v>
      </c>
      <c r="D16" s="49" t="s">
        <v>12</v>
      </c>
      <c r="E16" s="50">
        <v>1</v>
      </c>
      <c r="F16" s="51">
        <v>962.3</v>
      </c>
      <c r="G16" s="70">
        <f>IFERROR(SUMPRODUCT((TEXT(CC!$C$3:$C$1000,"0")=TEXT(C16,"0"))*IFERROR(CC!$E$3:$E$1000+0,0)),0)</f>
      </c>
      <c r="H16" s="56"/>
      <c r="I16" s="24" t="str">
        <f t="shared" si="5"/>
        <v/>
      </c>
      <c r="J16" s="34" cm="1">
        <f t="array" ref="J16">IFERROR(-_xlfn.IFS(OR(H16="y",H16="Y"),F16,AND(H16&lt;&gt;0,ISNUMBER(H16)),H16,G16&lt;&gt;0,G16),0)</f>
        <v>0</v>
      </c>
      <c r="K16" s="30" t="str">
        <f t="shared" si="2"/>
        <v/>
      </c>
      <c r="L16" s="57" t="str">
        <f>IF(C16&lt;&gt;"",_xlfn.XLOOKUP(TEXT(C16,"0"),TEXT(CC!$C$3:$C$1000,"0"),CC!$G$3:$G$1000,""),"")</f>
        <v/>
      </c>
      <c r="N16" s="44"/>
      <c r="O16" s="60"/>
      <c r="P16" s="27" t="str">
        <f t="shared" si="3"/>
        <v/>
      </c>
      <c r="Q16" s="34">
        <f>-NotOnSch[[#This Row],[Amount]]</f>
        <v>0</v>
      </c>
      <c r="R16" s="30" t="str">
        <f t="shared" si="4"/>
        <v/>
      </c>
      <c r="S16" s="44" t="str">
        <f>IF(N16&lt;&gt;"",_xlfn.XLOOKUP(TEXT(N16,"0"),TEXT(CC!$C$3:$C$1000,"0"),CC!$G$3:$G$1000,""),"")</f>
        <v/>
      </c>
    </row>
    <row r="17" spans="3:19" x14ac:dyDescent="0.25">
      <c r="C17" s="49">
        <v>347139</v>
      </c>
      <c r="D17" s="49" t="s">
        <v>12</v>
      </c>
      <c r="E17" s="50">
        <v>1</v>
      </c>
      <c r="F17" s="51">
        <v>403.8</v>
      </c>
      <c r="G17" s="70">
        <f>IFERROR(SUMPRODUCT((TEXT(CC!$C$3:$C$1000,"0")=TEXT(C17,"0"))*IFERROR(CC!$E$3:$E$1000+0,0)),0)</f>
      </c>
      <c r="H17" s="56"/>
      <c r="I17" s="24" t="str">
        <f t="shared" si="5"/>
        <v/>
      </c>
      <c r="J17" s="34" cm="1">
        <f t="array" ref="J17">IFERROR(-_xlfn.IFS(OR(H17="y",H17="Y"),F17,AND(H17&lt;&gt;0,ISNUMBER(H17)),H17,G17&lt;&gt;0,G17),0)</f>
        <v>0</v>
      </c>
      <c r="K17" s="30" t="str">
        <f t="shared" si="2"/>
        <v/>
      </c>
      <c r="L17" s="57" t="str">
        <f>IF(C17&lt;&gt;"",_xlfn.XLOOKUP(TEXT(C17,"0"),TEXT(CC!$C$3:$C$1000,"0"),CC!$G$3:$G$1000,""),"")</f>
        <v/>
      </c>
      <c r="N17" s="44"/>
      <c r="O17" s="60"/>
      <c r="P17" s="27" t="str">
        <f t="shared" si="3"/>
        <v/>
      </c>
      <c r="Q17" s="34">
        <f>-NotOnSch[[#This Row],[Amount]]</f>
        <v>0</v>
      </c>
      <c r="R17" s="30" t="str">
        <f t="shared" si="4"/>
        <v/>
      </c>
      <c r="S17" s="44" t="str">
        <f>IF(N17&lt;&gt;"",_xlfn.XLOOKUP(TEXT(N17,"0"),TEXT(CC!$C$3:$C$1000,"0"),CC!$G$3:$G$1000,""),"")</f>
        <v/>
      </c>
    </row>
    <row r="18" spans="3:19" x14ac:dyDescent="0.25">
      <c r="C18" s="52">
        <v>347140</v>
      </c>
      <c r="D18" s="52" t="s">
        <v>12</v>
      </c>
      <c r="E18" s="53">
        <v>1</v>
      </c>
      <c r="F18" s="54">
        <v>49.4</v>
      </c>
      <c r="G18" s="70">
        <f>IFERROR(SUMPRODUCT((TEXT(CC!$C$3:$C$1000,"0")=TEXT(C18,"0"))*IFERROR(CC!$E$3:$E$1000+0,0)),0)</f>
      </c>
      <c r="H18" s="56"/>
      <c r="I18" s="24" t="str">
        <f t="shared" si="5"/>
        <v/>
      </c>
      <c r="J18" s="34" cm="1">
        <f t="array" ref="J18">IFERROR(-_xlfn.IFS(OR(H18="y",H18="Y"),F18,AND(H18&lt;&gt;0,ISNUMBER(H18)),H18,G18&lt;&gt;0,G18),0)</f>
        <v>0</v>
      </c>
      <c r="K18" s="30" t="str">
        <f t="shared" si="2"/>
        <v/>
      </c>
      <c r="L18" s="57" t="str">
        <f>IF(C18&lt;&gt;"",_xlfn.XLOOKUP(TEXT(C18,"0"),TEXT(CC!$C$3:$C$1000,"0"),CC!$G$3:$G$1000,""),"")</f>
        <v/>
      </c>
      <c r="N18" s="44"/>
      <c r="O18" s="60"/>
      <c r="P18" s="27" t="str">
        <f t="shared" si="3"/>
        <v/>
      </c>
      <c r="Q18" s="34">
        <f>-NotOnSch[[#This Row],[Amount]]</f>
        <v>0</v>
      </c>
      <c r="R18" s="30" t="str">
        <f t="shared" si="4"/>
        <v/>
      </c>
      <c r="S18" s="44" t="str">
        <f>IF(N18&lt;&gt;"",_xlfn.XLOOKUP(TEXT(N18,"0"),TEXT(CC!$C$3:$C$1000,"0"),CC!$G$3:$G$1000,""),"")</f>
        <v/>
      </c>
    </row>
    <row r="19" spans="3:19" x14ac:dyDescent="0.25">
      <c r="C19" s="49">
        <v>347148</v>
      </c>
      <c r="D19" s="49" t="s">
        <v>12</v>
      </c>
      <c r="E19" s="50">
        <v>1</v>
      </c>
      <c r="F19" s="51">
        <v>65.02</v>
      </c>
      <c r="G19" s="70">
        <f>IFERROR(SUMPRODUCT((TEXT(CC!$C$3:$C$1000,"0")=TEXT(C19,"0"))*IFERROR(CC!$E$3:$E$1000+0,0)),0)</f>
      </c>
      <c r="H19" s="56"/>
      <c r="I19" s="24" t="str">
        <f t="shared" si="5"/>
        <v/>
      </c>
      <c r="J19" s="34" cm="1">
        <f t="array" ref="J19">IFERROR(-_xlfn.IFS(OR(H19="y",H19="Y"),F19,AND(H19&lt;&gt;0,ISNUMBER(H19)),H19,G19&lt;&gt;0,G19),0)</f>
        <v>0</v>
      </c>
      <c r="K19" s="30" t="str">
        <f t="shared" si="2"/>
        <v/>
      </c>
      <c r="L19" s="57" t="str">
        <f>IF(C19&lt;&gt;"",_xlfn.XLOOKUP(TEXT(C19,"0"),TEXT(CC!$C$3:$C$1000,"0"),CC!$G$3:$G$1000,""),"")</f>
        <v/>
      </c>
      <c r="N19" s="44"/>
      <c r="O19" s="60"/>
      <c r="P19" s="27" t="str">
        <f t="shared" si="3"/>
        <v/>
      </c>
      <c r="Q19" s="34">
        <f>-NotOnSch[[#This Row],[Amount]]</f>
        <v>0</v>
      </c>
      <c r="R19" s="30" t="str">
        <f t="shared" si="4"/>
        <v/>
      </c>
      <c r="S19" s="44" t="str">
        <f>IF(N19&lt;&gt;"",_xlfn.XLOOKUP(TEXT(N19,"0"),TEXT(CC!$C$3:$C$1000,"0"),CC!$G$3:$G$1000,""),"")</f>
        <v/>
      </c>
    </row>
    <row r="20" spans="3:19" x14ac:dyDescent="0.25">
      <c r="C20" s="52">
        <v>347151</v>
      </c>
      <c r="D20" s="49" t="s">
        <v>12</v>
      </c>
      <c r="E20" s="50">
        <v>1</v>
      </c>
      <c r="F20" s="51">
        <v>68.180000000000007</v>
      </c>
      <c r="G20" s="70">
        <f>IFERROR(SUMPRODUCT((TEXT(CC!$C$3:$C$1000,"0")=TEXT(C20,"0"))*IFERROR(CC!$E$3:$E$1000+0,0)),0)</f>
      </c>
      <c r="H20" s="56"/>
      <c r="I20" s="24" t="str">
        <f t="shared" si="5"/>
        <v/>
      </c>
      <c r="J20" s="34" cm="1">
        <f t="array" ref="J20">IFERROR(-_xlfn.IFS(OR(H20="y",H20="Y"),F20,AND(H20&lt;&gt;0,ISNUMBER(H20)),H20,G20&lt;&gt;0,G20),0)</f>
        <v>0</v>
      </c>
      <c r="K20" s="30" t="str">
        <f t="shared" si="2"/>
        <v/>
      </c>
      <c r="L20" s="57" t="str">
        <f>IF(C20&lt;&gt;"",_xlfn.XLOOKUP(TEXT(C20,"0"),TEXT(CC!$C$3:$C$1000,"0"),CC!$G$3:$G$1000,""),"")</f>
        <v/>
      </c>
      <c r="N20" s="44"/>
      <c r="O20" s="60"/>
      <c r="P20" s="27" t="str">
        <f t="shared" si="3"/>
        <v/>
      </c>
      <c r="Q20" s="34">
        <f>-NotOnSch[[#This Row],[Amount]]</f>
        <v>0</v>
      </c>
      <c r="R20" s="30" t="str">
        <f t="shared" si="4"/>
        <v/>
      </c>
      <c r="S20" s="44" t="str">
        <f>IF(N20&lt;&gt;"",_xlfn.XLOOKUP(TEXT(N20,"0"),TEXT(CC!$C$3:$C$1000,"0"),CC!$G$3:$G$1000,""),"")</f>
        <v/>
      </c>
    </row>
    <row r="21" spans="3:19" x14ac:dyDescent="0.25">
      <c r="C21" s="49">
        <v>347154</v>
      </c>
      <c r="D21" s="52" t="s">
        <v>12</v>
      </c>
      <c r="E21" s="53">
        <v>1</v>
      </c>
      <c r="F21" s="54">
        <v>12.18</v>
      </c>
      <c r="G21" s="70">
        <f>IFERROR(SUMPRODUCT((TEXT(CC!$C$3:$C$1000,"0")=TEXT(C21,"0"))*IFERROR(CC!$E$3:$E$1000+0,0)),0)</f>
      </c>
      <c r="H21" s="56"/>
      <c r="I21" s="24" t="str">
        <f t="shared" si="5"/>
        <v/>
      </c>
      <c r="J21" s="34" cm="1">
        <f t="array" ref="J21">IFERROR(-_xlfn.IFS(OR(H21="y",H21="Y"),F21,AND(H21&lt;&gt;0,ISNUMBER(H21)),H21,G21&lt;&gt;0,G21),0)</f>
        <v>0</v>
      </c>
      <c r="K21" s="30" t="str">
        <f t="shared" si="2"/>
        <v/>
      </c>
      <c r="L21" s="57" t="str">
        <f>IF(C21&lt;&gt;"",_xlfn.XLOOKUP(TEXT(C21,"0"),TEXT(CC!$C$3:$C$1000,"0"),CC!$G$3:$G$1000,""),"")</f>
        <v/>
      </c>
      <c r="N21" s="44"/>
      <c r="O21" s="60"/>
      <c r="P21" s="27" t="str">
        <f t="shared" si="3"/>
        <v/>
      </c>
      <c r="Q21" s="34">
        <f>-NotOnSch[[#This Row],[Amount]]</f>
        <v>0</v>
      </c>
      <c r="R21" s="30" t="str">
        <f t="shared" si="4"/>
        <v/>
      </c>
      <c r="S21" s="44" t="str">
        <f>IF(N21&lt;&gt;"",_xlfn.XLOOKUP(TEXT(N21,"0"),TEXT(CC!$C$3:$C$1000,"0"),CC!$G$3:$G$1000,""),"")</f>
        <v/>
      </c>
    </row>
    <row r="22" spans="3:19" x14ac:dyDescent="0.25">
      <c r="C22" s="52">
        <v>347155</v>
      </c>
      <c r="D22" s="49" t="s">
        <v>12</v>
      </c>
      <c r="E22" s="50">
        <v>1</v>
      </c>
      <c r="F22" s="51">
        <v>971.03</v>
      </c>
      <c r="G22" s="70">
        <f>IFERROR(SUMPRODUCT((TEXT(CC!$C$3:$C$1000,"0")=TEXT(C22,"0"))*IFERROR(CC!$E$3:$E$1000+0,0)),0)</f>
      </c>
      <c r="H22" s="56"/>
      <c r="I22" s="24" t="str">
        <f t="shared" si="5"/>
        <v/>
      </c>
      <c r="J22" s="34" cm="1">
        <f t="array" ref="J22">IFERROR(-_xlfn.IFS(OR(H22="y",H22="Y"),F22,AND(H22&lt;&gt;0,ISNUMBER(H22)),H22,G22&lt;&gt;0,G22),0)</f>
        <v>0</v>
      </c>
      <c r="K22" s="30" t="str">
        <f t="shared" si="2"/>
        <v/>
      </c>
      <c r="L22" s="57" t="str">
        <f>IF(C22&lt;&gt;"",_xlfn.XLOOKUP(TEXT(C22,"0"),TEXT(CC!$C$3:$C$1000,"0"),CC!$G$3:$G$1000,""),"")</f>
        <v/>
      </c>
      <c r="N22" s="44"/>
      <c r="O22" s="60"/>
      <c r="P22" s="27" t="str">
        <f t="shared" si="3"/>
        <v/>
      </c>
      <c r="Q22" s="34">
        <f>-NotOnSch[[#This Row],[Amount]]</f>
        <v>0</v>
      </c>
      <c r="R22" s="30" t="str">
        <f t="shared" si="4"/>
        <v/>
      </c>
      <c r="S22" s="44" t="str">
        <f>IF(N22&lt;&gt;"",_xlfn.XLOOKUP(TEXT(N22,"0"),TEXT(CC!$C$3:$C$1000,"0"),CC!$G$3:$G$1000,""),"")</f>
        <v/>
      </c>
    </row>
    <row r="23" spans="3:19" x14ac:dyDescent="0.25">
      <c r="C23" s="49">
        <v>347161</v>
      </c>
      <c r="D23" s="52" t="s">
        <v>12</v>
      </c>
      <c r="E23" s="53">
        <v>1</v>
      </c>
      <c r="F23" s="54">
        <v>137.83000000000001</v>
      </c>
      <c r="G23" s="70">
        <f>IFERROR(SUMPRODUCT((TEXT(CC!$C$3:$C$1000,"0")=TEXT(C23,"0"))*IFERROR(CC!$E$3:$E$1000+0,0)),0)</f>
      </c>
      <c r="H23" s="56"/>
      <c r="I23" s="24" t="str">
        <f t="shared" si="5"/>
        <v/>
      </c>
      <c r="J23" s="34" cm="1">
        <f t="array" ref="J23">IFERROR(-_xlfn.IFS(OR(H23="y",H23="Y"),F23,AND(H23&lt;&gt;0,ISNUMBER(H23)),H23,G23&lt;&gt;0,G23),0)</f>
        <v>0</v>
      </c>
      <c r="K23" s="30" t="str">
        <f t="shared" si="2"/>
        <v/>
      </c>
      <c r="L23" s="57" t="str">
        <f>IF(C23&lt;&gt;"",_xlfn.XLOOKUP(TEXT(C23,"0"),TEXT(CC!$C$3:$C$1000,"0"),CC!$G$3:$G$1000,""),"")</f>
        <v/>
      </c>
      <c r="N23" s="44"/>
      <c r="O23" s="60"/>
      <c r="P23" s="27" t="str">
        <f t="shared" si="3"/>
        <v/>
      </c>
      <c r="Q23" s="34">
        <f>-NotOnSch[[#This Row],[Amount]]</f>
        <v>0</v>
      </c>
      <c r="R23" s="30" t="str">
        <f t="shared" si="4"/>
        <v/>
      </c>
      <c r="S23" s="44" t="str">
        <f>IF(N23&lt;&gt;"",_xlfn.XLOOKUP(TEXT(N23,"0"),TEXT(CC!$C$3:$C$1000,"0"),CC!$G$3:$G$1000,""),"")</f>
        <v/>
      </c>
    </row>
    <row r="24" spans="3:19" x14ac:dyDescent="0.25">
      <c r="C24" s="52">
        <v>347162</v>
      </c>
      <c r="D24" s="49" t="s">
        <v>12</v>
      </c>
      <c r="E24" s="50">
        <v>1</v>
      </c>
      <c r="F24" s="51">
        <v>24.52</v>
      </c>
      <c r="G24" s="70">
        <f>IFERROR(SUMPRODUCT((TEXT(CC!$C$3:$C$1000,"0")=TEXT(C24,"0"))*IFERROR(CC!$E$3:$E$1000+0,0)),0)</f>
      </c>
      <c r="H24" s="56"/>
      <c r="I24" s="24" t="str">
        <f t="shared" si="5"/>
        <v/>
      </c>
      <c r="J24" s="34" cm="1">
        <f t="array" ref="J24">IFERROR(-_xlfn.IFS(OR(H24="y",H24="Y"),F24,AND(H24&lt;&gt;0,ISNUMBER(H24)),H24,G24&lt;&gt;0,G24),0)</f>
        <v>0</v>
      </c>
      <c r="K24" s="30" t="str">
        <f t="shared" si="2"/>
        <v/>
      </c>
      <c r="L24" s="57" t="str">
        <f>IF(C24&lt;&gt;"",_xlfn.XLOOKUP(TEXT(C24,"0"),TEXT(CC!$C$3:$C$1000,"0"),CC!$G$3:$G$1000,""),"")</f>
        <v/>
      </c>
      <c r="N24" s="44"/>
      <c r="O24" s="60"/>
      <c r="P24" s="27" t="str">
        <f t="shared" si="3"/>
        <v/>
      </c>
      <c r="Q24" s="34">
        <f>-NotOnSch[[#This Row],[Amount]]</f>
        <v>0</v>
      </c>
      <c r="R24" s="30" t="str">
        <f t="shared" si="4"/>
        <v/>
      </c>
      <c r="S24" s="44" t="str">
        <f>IF(N24&lt;&gt;"",_xlfn.XLOOKUP(TEXT(N24,"0"),TEXT(CC!$C$3:$C$1000,"0"),CC!$G$3:$G$1000,""),"")</f>
        <v/>
      </c>
    </row>
    <row r="25" spans="3:19" x14ac:dyDescent="0.25">
      <c r="C25" s="49">
        <v>809485</v>
      </c>
      <c r="D25" s="49" t="s">
        <v>12</v>
      </c>
      <c r="E25" s="50">
        <v>1</v>
      </c>
      <c r="F25" s="51">
        <v>595.54999999999995</v>
      </c>
      <c r="G25" s="70">
        <f>IFERROR(SUMPRODUCT((TEXT(CC!$C$3:$C$1000,"0")=TEXT(C25,"0"))*IFERROR(CC!$E$3:$E$1000+0,0)),0)</f>
      </c>
      <c r="H25" s="56"/>
      <c r="I25" s="24" t="str">
        <f t="shared" si="5"/>
        <v/>
      </c>
      <c r="J25" s="34" cm="1">
        <f t="array" ref="J25">IFERROR(-_xlfn.IFS(OR(H25="y",H25="Y"),F25,AND(H25&lt;&gt;0,ISNUMBER(H25)),H25,G25&lt;&gt;0,G25),0)</f>
        <v>0</v>
      </c>
      <c r="K25" s="30" t="str">
        <f t="shared" si="2"/>
        <v/>
      </c>
      <c r="L25" s="57" t="str">
        <f>IF(C25&lt;&gt;"",_xlfn.XLOOKUP(TEXT(C25,"0"),TEXT(CC!$C$3:$C$1000,"0"),CC!$G$3:$G$1000,""),"")</f>
        <v/>
      </c>
      <c r="N25" s="44"/>
      <c r="O25" s="60"/>
      <c r="P25" s="27" t="str">
        <f t="shared" si="3"/>
        <v/>
      </c>
      <c r="Q25" s="34">
        <f>-NotOnSch[[#This Row],[Amount]]</f>
        <v>0</v>
      </c>
      <c r="R25" s="30" t="str">
        <f t="shared" si="4"/>
        <v/>
      </c>
      <c r="S25" s="44" t="str">
        <f>IF(N25&lt;&gt;"",_xlfn.XLOOKUP(TEXT(N25,"0"),TEXT(CC!$C$3:$C$1000,"0"),CC!$G$3:$G$1000,""),"")</f>
        <v/>
      </c>
    </row>
    <row r="26" spans="3:19" x14ac:dyDescent="0.25">
      <c r="C26" s="52">
        <v>809614</v>
      </c>
      <c r="D26" s="52" t="s">
        <v>12</v>
      </c>
      <c r="E26" s="53">
        <v>1</v>
      </c>
      <c r="F26" s="54">
        <v>1337.63</v>
      </c>
      <c r="G26" s="70">
        <f>IFERROR(SUMPRODUCT((TEXT(CC!$C$3:$C$1000,"0")=TEXT(C26,"0"))*IFERROR(CC!$E$3:$E$1000+0,0)),0)</f>
      </c>
      <c r="H26" s="56"/>
      <c r="I26" s="24" t="str">
        <f t="shared" si="5"/>
        <v/>
      </c>
      <c r="J26" s="34" cm="1">
        <f t="array" ref="J26">IFERROR(-_xlfn.IFS(OR(H26="y",H26="Y"),F26,AND(H26&lt;&gt;0,ISNUMBER(H26)),H26,G26&lt;&gt;0,G26),0)</f>
        <v>0</v>
      </c>
      <c r="K26" s="30" t="str">
        <f t="shared" si="2"/>
        <v/>
      </c>
      <c r="L26" s="57" t="str">
        <f>IF(C26&lt;&gt;"",_xlfn.XLOOKUP(TEXT(C26,"0"),TEXT(CC!$C$3:$C$1000,"0"),CC!$G$3:$G$1000,""),"")</f>
        <v/>
      </c>
      <c r="N26" s="44"/>
      <c r="O26" s="60"/>
      <c r="P26" s="27" t="str">
        <f t="shared" si="3"/>
        <v/>
      </c>
      <c r="Q26" s="34">
        <f>-NotOnSch[[#This Row],[Amount]]</f>
        <v>0</v>
      </c>
      <c r="R26" s="30" t="str">
        <f t="shared" si="4"/>
        <v/>
      </c>
      <c r="S26" s="44" t="str">
        <f>IF(N26&lt;&gt;"",_xlfn.XLOOKUP(TEXT(N26,"0"),TEXT(CC!$C$3:$C$1000,"0"),CC!$G$3:$G$1000,""),"")</f>
        <v/>
      </c>
    </row>
    <row r="27" spans="3:19" x14ac:dyDescent="0.25">
      <c r="C27" s="49">
        <v>809619</v>
      </c>
      <c r="D27" s="52" t="s">
        <v>12</v>
      </c>
      <c r="E27" s="53">
        <v>1</v>
      </c>
      <c r="F27" s="54">
        <v>107.57</v>
      </c>
      <c r="G27" s="70">
        <f>IFERROR(SUMPRODUCT((TEXT(CC!$C$3:$C$1000,"0")=TEXT(C27,"0"))*IFERROR(CC!$E$3:$E$1000+0,0)),0)</f>
      </c>
      <c r="H27" s="56"/>
      <c r="I27" s="24" t="str">
        <f t="shared" si="5"/>
        <v/>
      </c>
      <c r="J27" s="34" cm="1">
        <f t="array" ref="J27">IFERROR(-_xlfn.IFS(OR(H27="y",H27="Y"),F27,AND(H27&lt;&gt;0,ISNUMBER(H27)),H27,G27&lt;&gt;0,G27),0)</f>
        <v>0</v>
      </c>
      <c r="K27" s="30" t="str">
        <f t="shared" si="2"/>
        <v/>
      </c>
      <c r="L27" s="57" t="str">
        <f>IF(C27&lt;&gt;"",_xlfn.XLOOKUP(TEXT(C27,"0"),TEXT(CC!$C$3:$C$1000,"0"),CC!$G$3:$G$1000,""),"")</f>
        <v/>
      </c>
      <c r="N27" s="44"/>
      <c r="O27" s="60"/>
      <c r="P27" s="27" t="str">
        <f t="shared" si="3"/>
        <v/>
      </c>
      <c r="Q27" s="34">
        <f>-NotOnSch[[#This Row],[Amount]]</f>
        <v>0</v>
      </c>
      <c r="R27" s="30" t="str">
        <f t="shared" si="4"/>
        <v/>
      </c>
      <c r="S27" s="44" t="str">
        <f>IF(N27&lt;&gt;"",_xlfn.XLOOKUP(TEXT(N27,"0"),TEXT(CC!$C$3:$C$1000,"0"),CC!$G$3:$G$1000,""),"")</f>
        <v/>
      </c>
    </row>
    <row r="28" spans="3:19" x14ac:dyDescent="0.25">
      <c r="C28" s="52">
        <v>809777</v>
      </c>
      <c r="D28" s="49" t="s">
        <v>12</v>
      </c>
      <c r="E28" s="50">
        <v>1</v>
      </c>
      <c r="F28" s="51">
        <v>29.96</v>
      </c>
      <c r="G28" s="70">
        <f>IFERROR(SUMPRODUCT((TEXT(CC!$C$3:$C$1000,"0")=TEXT(C28,"0"))*IFERROR(CC!$E$3:$E$1000+0,0)),0)</f>
      </c>
      <c r="H28" s="56"/>
      <c r="I28" s="24" t="str">
        <f t="shared" si="5"/>
        <v/>
      </c>
      <c r="J28" s="34" cm="1">
        <f t="array" ref="J28">IFERROR(-_xlfn.IFS(OR(H28="y",H28="Y"),F28,AND(H28&lt;&gt;0,ISNUMBER(H28)),H28,G28&lt;&gt;0,G28),0)</f>
        <v>0</v>
      </c>
      <c r="K28" s="30" t="str">
        <f t="shared" si="2"/>
        <v/>
      </c>
      <c r="L28" s="57" t="str">
        <f>IF(C28&lt;&gt;"",_xlfn.XLOOKUP(TEXT(C28,"0"),TEXT(CC!$C$3:$C$1000,"0"),CC!$G$3:$G$1000,""),"")</f>
        <v/>
      </c>
      <c r="N28" s="44"/>
      <c r="O28" s="60"/>
      <c r="P28" s="27" t="str">
        <f t="shared" si="3"/>
        <v/>
      </c>
      <c r="Q28" s="34">
        <f>-NotOnSch[[#This Row],[Amount]]</f>
        <v>0</v>
      </c>
      <c r="R28" s="30" t="str">
        <f t="shared" si="4"/>
        <v/>
      </c>
      <c r="S28" s="44" t="str">
        <f>IF(N28&lt;&gt;"",_xlfn.XLOOKUP(TEXT(N28,"0"),TEXT(CC!$C$3:$C$1000,"0"),CC!$G$3:$G$1000,""),"")</f>
        <v/>
      </c>
    </row>
    <row r="29" spans="3:19" x14ac:dyDescent="0.25">
      <c r="C29" s="49">
        <v>809800</v>
      </c>
      <c r="D29" s="52" t="s">
        <v>12</v>
      </c>
      <c r="E29" s="53">
        <v>1</v>
      </c>
      <c r="F29" s="54">
        <v>45.94</v>
      </c>
      <c r="G29" s="70">
        <f>IFERROR(SUMPRODUCT((TEXT(CC!$C$3:$C$1000,"0")=TEXT(C29,"0"))*IFERROR(CC!$E$3:$E$1000+0,0)),0)</f>
      </c>
      <c r="H29" s="56"/>
      <c r="I29" s="24" t="str">
        <f t="shared" si="5"/>
        <v/>
      </c>
      <c r="J29" s="34" cm="1">
        <f t="array" ref="J29">IFERROR(-_xlfn.IFS(OR(H29="y",H29="Y"),F29,AND(H29&lt;&gt;0,ISNUMBER(H29)),H29,G29&lt;&gt;0,G29),0)</f>
        <v>0</v>
      </c>
      <c r="K29" s="30" t="str">
        <f t="shared" si="2"/>
        <v/>
      </c>
      <c r="L29" s="57" t="str">
        <f>IF(C29&lt;&gt;"",_xlfn.XLOOKUP(TEXT(C29,"0"),TEXT(CC!$C$3:$C$1000,"0"),CC!$G$3:$G$1000,""),"")</f>
        <v/>
      </c>
      <c r="N29" s="44"/>
      <c r="O29" s="60"/>
      <c r="P29" s="27" t="str">
        <f t="shared" si="3"/>
        <v/>
      </c>
      <c r="Q29" s="34">
        <f>-NotOnSch[[#This Row],[Amount]]</f>
        <v>0</v>
      </c>
      <c r="R29" s="30" t="str">
        <f t="shared" si="4"/>
        <v/>
      </c>
      <c r="S29" s="44" t="str">
        <f>IF(N29&lt;&gt;"",_xlfn.XLOOKUP(TEXT(N29,"0"),TEXT(CC!$C$3:$C$1000,"0"),CC!$G$3:$G$1000,""),"")</f>
        <v/>
      </c>
    </row>
    <row r="30" spans="3:19" x14ac:dyDescent="0.25">
      <c r="C30" s="52">
        <v>809801</v>
      </c>
      <c r="D30" s="49" t="s">
        <v>12</v>
      </c>
      <c r="E30" s="50">
        <v>1</v>
      </c>
      <c r="F30" s="51">
        <v>11.2</v>
      </c>
      <c r="G30" s="70">
        <f>IFERROR(SUMPRODUCT((TEXT(CC!$C$3:$C$1000,"0")=TEXT(C30,"0"))*IFERROR(CC!$E$3:$E$1000+0,0)),0)</f>
      </c>
      <c r="H30" s="56"/>
      <c r="I30" s="24" t="str">
        <f t="shared" si="5"/>
        <v/>
      </c>
      <c r="J30" s="34" cm="1">
        <f t="array" ref="J30">IFERROR(-_xlfn.IFS(OR(H30="y",H30="Y"),F30,AND(H30&lt;&gt;0,ISNUMBER(H30)),H30,G30&lt;&gt;0,G30),0)</f>
        <v>0</v>
      </c>
      <c r="K30" s="30" t="str">
        <f t="shared" si="2"/>
        <v/>
      </c>
      <c r="L30" s="57" t="str">
        <f>IF(C30&lt;&gt;"",_xlfn.XLOOKUP(TEXT(C30,"0"),TEXT(CC!$C$3:$C$1000,"0"),CC!$G$3:$G$1000,""),"")</f>
        <v/>
      </c>
      <c r="N30" s="44"/>
      <c r="O30" s="60"/>
      <c r="P30" s="27" t="str">
        <f t="shared" si="3"/>
        <v/>
      </c>
      <c r="Q30" s="34">
        <f>-NotOnSch[[#This Row],[Amount]]</f>
        <v>0</v>
      </c>
      <c r="R30" s="30" t="str">
        <f t="shared" si="4"/>
        <v/>
      </c>
      <c r="S30" s="44" t="str">
        <f>IF(N30&lt;&gt;"",_xlfn.XLOOKUP(TEXT(N30,"0"),TEXT(CC!$C$3:$C$1000,"0"),CC!$G$3:$G$1000,""),"")</f>
        <v/>
      </c>
    </row>
    <row r="31" spans="3:19" x14ac:dyDescent="0.25">
      <c r="C31" s="49">
        <v>809804</v>
      </c>
      <c r="D31" s="52" t="s">
        <v>12</v>
      </c>
      <c r="E31" s="53">
        <v>1</v>
      </c>
      <c r="F31" s="54">
        <v>694.63</v>
      </c>
      <c r="G31" s="70">
        <f>IFERROR(SUMPRODUCT((TEXT(CC!$C$3:$C$1000,"0")=TEXT(C31,"0"))*IFERROR(CC!$E$3:$E$1000+0,0)),0)</f>
      </c>
      <c r="H31" s="56"/>
      <c r="I31" s="24" t="str">
        <f t="shared" si="5"/>
        <v/>
      </c>
      <c r="J31" s="34" cm="1">
        <f t="array" ref="J31">IFERROR(-_xlfn.IFS(OR(H31="y",H31="Y"),F31,AND(H31&lt;&gt;0,ISNUMBER(H31)),H31,G31&lt;&gt;0,G31),0)</f>
        <v>0</v>
      </c>
      <c r="K31" s="30" t="str">
        <f t="shared" si="2"/>
        <v/>
      </c>
      <c r="L31" s="57" t="str">
        <f>IF(C31&lt;&gt;"",_xlfn.XLOOKUP(TEXT(C31,"0"),TEXT(CC!$C$3:$C$1000,"0"),CC!$G$3:$G$1000,""),"")</f>
        <v/>
      </c>
      <c r="N31" s="44"/>
      <c r="O31" s="60"/>
      <c r="P31" s="27" t="str">
        <f t="shared" si="3"/>
        <v/>
      </c>
      <c r="Q31" s="34">
        <f>-NotOnSch[[#This Row],[Amount]]</f>
        <v>0</v>
      </c>
      <c r="R31" s="30" t="str">
        <f t="shared" si="4"/>
        <v/>
      </c>
      <c r="S31" s="44" t="str">
        <f>IF(N31&lt;&gt;"",_xlfn.XLOOKUP(TEXT(N31,"0"),TEXT(CC!$C$3:$C$1000,"0"),CC!$G$3:$G$1000,""),"")</f>
        <v/>
      </c>
    </row>
    <row r="32" spans="3:19" x14ac:dyDescent="0.25">
      <c r="C32" s="49">
        <v>809806</v>
      </c>
      <c r="D32" s="52" t="s">
        <v>12</v>
      </c>
      <c r="E32" s="53">
        <v>1</v>
      </c>
      <c r="F32" s="54">
        <v>125.48</v>
      </c>
      <c r="G32" s="70">
        <f>IFERROR(SUMPRODUCT((TEXT(CC!$C$3:$C$1000,"0")=TEXT(C32,"0"))*IFERROR(CC!$E$3:$E$1000+0,0)),0)</f>
      </c>
      <c r="H32" s="56"/>
      <c r="I32" s="24" t="str">
        <f t="shared" si="5"/>
        <v/>
      </c>
      <c r="J32" s="34" cm="1">
        <f t="array" ref="J32">IFERROR(-_xlfn.IFS(OR(H32="y",H32="Y"),F32,AND(H32&lt;&gt;0,ISNUMBER(H32)),H32,G32&lt;&gt;0,G32),0)</f>
        <v>0</v>
      </c>
      <c r="K32" s="30" t="str">
        <f t="shared" si="2"/>
        <v/>
      </c>
      <c r="L32" s="57" t="str">
        <f>IF(C32&lt;&gt;"",_xlfn.XLOOKUP(TEXT(C32,"0"),TEXT(CC!$C$3:$C$1000,"0"),CC!$G$3:$G$1000,""),"")</f>
        <v/>
      </c>
      <c r="N32" s="44"/>
      <c r="O32" s="60"/>
      <c r="P32" s="27" t="str">
        <f t="shared" si="3"/>
        <v/>
      </c>
      <c r="Q32" s="34">
        <f>-NotOnSch[[#This Row],[Amount]]</f>
        <v>0</v>
      </c>
      <c r="R32" s="30" t="str">
        <f t="shared" si="4"/>
        <v/>
      </c>
      <c r="S32" s="44" t="str">
        <f>IF(N32&lt;&gt;"",_xlfn.XLOOKUP(TEXT(N32,"0"),TEXT(CC!$C$3:$C$1000,"0"),CC!$G$3:$G$1000,""),"")</f>
        <v/>
      </c>
    </row>
    <row r="33" spans="3:20" x14ac:dyDescent="0.25">
      <c r="C33" s="52">
        <v>809808</v>
      </c>
      <c r="D33" s="49" t="s">
        <v>12</v>
      </c>
      <c r="E33" s="50">
        <v>1</v>
      </c>
      <c r="F33" s="51">
        <v>9.6</v>
      </c>
      <c r="G33" s="70">
        <f>IFERROR(SUMPRODUCT((TEXT(CC!$C$3:$C$1000,"0")=TEXT(C33,"0"))*IFERROR(CC!$E$3:$E$1000+0,0)),0)</f>
      </c>
      <c r="H33" s="56"/>
      <c r="I33" s="24" t="str">
        <f t="shared" si="5"/>
        <v/>
      </c>
      <c r="J33" s="34" cm="1">
        <f t="array" ref="J33">IFERROR(-_xlfn.IFS(OR(H33="y",H33="Y"),F33,AND(H33&lt;&gt;0,ISNUMBER(H33)),H33,G33&lt;&gt;0,G33),0)</f>
        <v>0</v>
      </c>
      <c r="K33" s="30" t="str">
        <f t="shared" si="2"/>
        <v/>
      </c>
      <c r="L33" s="57" t="str">
        <f>IF(C33&lt;&gt;"",_xlfn.XLOOKUP(TEXT(C33,"0"),TEXT(CC!$C$3:$C$1000,"0"),CC!$G$3:$G$1000,""),"")</f>
        <v/>
      </c>
      <c r="N33" s="44"/>
      <c r="O33" s="60"/>
      <c r="P33" s="27" t="str">
        <f t="shared" si="3"/>
        <v/>
      </c>
      <c r="Q33" s="34">
        <f>-NotOnSch[[#This Row],[Amount]]</f>
        <v>0</v>
      </c>
      <c r="R33" s="30" t="str">
        <f t="shared" si="4"/>
        <v/>
      </c>
      <c r="S33" s="44" t="str">
        <f>IF(N33&lt;&gt;"",_xlfn.XLOOKUP(TEXT(N33,"0"),TEXT(CC!$C$3:$C$1000,"0"),CC!$G$3:$G$1000,""),"")</f>
        <v/>
      </c>
    </row>
    <row r="34" spans="3:20" x14ac:dyDescent="0.25">
      <c r="C34" s="49">
        <v>809809</v>
      </c>
      <c r="D34" s="52" t="s">
        <v>12</v>
      </c>
      <c r="E34" s="53">
        <v>1</v>
      </c>
      <c r="F34" s="54">
        <v>398.22</v>
      </c>
      <c r="G34" s="70">
        <f>IFERROR(SUMPRODUCT((TEXT(CC!$C$3:$C$1000,"0")=TEXT(C34,"0"))*IFERROR(CC!$E$3:$E$1000+0,0)),0)</f>
      </c>
      <c r="H34" s="56"/>
      <c r="I34" s="24" t="str">
        <f t="shared" si="5"/>
        <v/>
      </c>
      <c r="J34" s="34" cm="1">
        <f t="array" ref="J34">IFERROR(-_xlfn.IFS(OR(H34="y",H34="Y"),F34,AND(H34&lt;&gt;0,ISNUMBER(H34)),H34,G34&lt;&gt;0,G34),0)</f>
        <v>0</v>
      </c>
      <c r="K34" s="30" t="str">
        <f t="shared" si="2"/>
        <v/>
      </c>
      <c r="L34" s="57" t="str">
        <f>IF(C34&lt;&gt;"",_xlfn.XLOOKUP(TEXT(C34,"0"),TEXT(CC!$C$3:$C$1000,"0"),CC!$G$3:$G$1000,""),"")</f>
        <v/>
      </c>
      <c r="N34" s="44"/>
      <c r="O34" s="60"/>
      <c r="P34" s="27" t="str">
        <f t="shared" si="3"/>
        <v/>
      </c>
      <c r="Q34" s="34">
        <f>-NotOnSch[[#This Row],[Amount]]</f>
        <v>0</v>
      </c>
      <c r="R34" s="30" t="str">
        <f t="shared" si="4"/>
        <v/>
      </c>
      <c r="S34" s="44" t="str">
        <f>IF(N34&lt;&gt;"",_xlfn.XLOOKUP(TEXT(N34,"0"),TEXT(CC!$C$3:$C$1000,"0"),CC!$G$3:$G$1000,""),"")</f>
        <v/>
      </c>
    </row>
    <row r="35" spans="3:20" x14ac:dyDescent="0.25">
      <c r="C35" s="52">
        <v>809810</v>
      </c>
      <c r="D35" s="52" t="s">
        <v>12</v>
      </c>
      <c r="E35" s="53">
        <v>1</v>
      </c>
      <c r="F35" s="54">
        <v>209.02</v>
      </c>
      <c r="G35" s="70">
        <f>IFERROR(SUMPRODUCT((TEXT(CC!$C$3:$C$1000,"0")=TEXT(C35,"0"))*IFERROR(CC!$E$3:$E$1000+0,0)),0)</f>
      </c>
      <c r="H35" s="56"/>
      <c r="I35" s="24" t="str">
        <f t="shared" si="5"/>
        <v/>
      </c>
      <c r="J35" s="34" cm="1">
        <f t="array" ref="J35">IFERROR(-_xlfn.IFS(OR(H35="y",H35="Y"),F35,AND(H35&lt;&gt;0,ISNUMBER(H35)),H35,G35&lt;&gt;0,G35),0)</f>
        <v>0</v>
      </c>
      <c r="K35" s="30" t="str">
        <f t="shared" si="2"/>
        <v/>
      </c>
      <c r="L35" s="57" t="str">
        <f>IF(C35&lt;&gt;"",_xlfn.XLOOKUP(TEXT(C35,"0"),TEXT(CC!$C$3:$C$1000,"0"),CC!$G$3:$G$1000,""),"")</f>
        <v/>
      </c>
      <c r="N35" s="44"/>
      <c r="O35" s="60"/>
      <c r="P35" s="27" t="str">
        <f t="shared" si="3"/>
        <v/>
      </c>
      <c r="Q35" s="34">
        <f>-NotOnSch[[#This Row],[Amount]]</f>
        <v>0</v>
      </c>
      <c r="R35" s="30" t="str">
        <f t="shared" si="4"/>
        <v/>
      </c>
      <c r="S35" s="44" t="str">
        <f>IF(N35&lt;&gt;"",_xlfn.XLOOKUP(TEXT(N35,"0"),TEXT(CC!$C$3:$C$1000,"0"),CC!$G$3:$G$1000,""),"")</f>
        <v/>
      </c>
    </row>
    <row r="36" spans="3:20" x14ac:dyDescent="0.25">
      <c r="C36" s="49">
        <v>809814</v>
      </c>
      <c r="D36" s="49" t="s">
        <v>12</v>
      </c>
      <c r="E36" s="50">
        <v>1</v>
      </c>
      <c r="F36" s="51">
        <v>1410.57</v>
      </c>
      <c r="G36" s="70">
        <f>IFERROR(SUMPRODUCT((TEXT(CC!$C$3:$C$1000,"0")=TEXT(C36,"0"))*IFERROR(CC!$E$3:$E$1000+0,0)),0)</f>
      </c>
      <c r="H36" s="56"/>
      <c r="I36" s="24" t="str">
        <f t="shared" si="5"/>
        <v/>
      </c>
      <c r="J36" s="34" cm="1">
        <f t="array" ref="J36">IFERROR(-_xlfn.IFS(OR(H36="y",H36="Y"),F36,AND(H36&lt;&gt;0,ISNUMBER(H36)),H36,G36&lt;&gt;0,G36),0)</f>
        <v>0</v>
      </c>
      <c r="K36" s="30" t="str">
        <f t="shared" si="2"/>
        <v/>
      </c>
      <c r="L36" s="57" t="str">
        <f>IF(C36&lt;&gt;"",_xlfn.XLOOKUP(TEXT(C36,"0"),TEXT(CC!$C$3:$C$1000,"0"),CC!$G$3:$G$1000,""),"")</f>
        <v/>
      </c>
    </row>
    <row r="37" spans="3:20" x14ac:dyDescent="0.25">
      <c r="C37" s="52">
        <v>809815</v>
      </c>
      <c r="D37" s="52" t="s">
        <v>12</v>
      </c>
      <c r="E37" s="53">
        <v>1</v>
      </c>
      <c r="F37" s="54">
        <v>458.36</v>
      </c>
      <c r="G37" s="70">
        <f>IFERROR(SUMPRODUCT((TEXT(CC!$C$3:$C$1000,"0")=TEXT(C37,"0"))*IFERROR(CC!$E$3:$E$1000+0,0)),0)</f>
      </c>
      <c r="H37" s="56"/>
      <c r="I37" s="24" t="str">
        <f t="shared" si="5"/>
        <v/>
      </c>
      <c r="J37" s="34" cm="1">
        <f t="array" ref="J37">IFERROR(-_xlfn.IFS(OR(H37="y",H37="Y"),F37,AND(H37&lt;&gt;0,ISNUMBER(H37)),H37,G37&lt;&gt;0,G37),0)</f>
        <v>0</v>
      </c>
      <c r="K37" s="30" t="str">
        <f t="shared" si="2"/>
        <v/>
      </c>
      <c r="L37" s="57" t="str">
        <f>IF(C37&lt;&gt;"",_xlfn.XLOOKUP(TEXT(C37,"0"),TEXT(CC!$C$3:$C$1000,"0"),CC!$G$3:$G$1000,""),"")</f>
        <v/>
      </c>
      <c r="N37" s="85" t="s">
        <v>60</v>
      </c>
      <c r="O37" s="86"/>
      <c r="P37" s="86"/>
      <c r="Q37" s="86"/>
      <c r="R37" s="86"/>
      <c r="S37" s="86"/>
      <c r="T37" s="87"/>
    </row>
    <row r="38" spans="3:20" x14ac:dyDescent="0.25">
      <c r="C38" s="49">
        <v>809818</v>
      </c>
      <c r="D38" s="49" t="s">
        <v>12</v>
      </c>
      <c r="E38" s="50">
        <v>1</v>
      </c>
      <c r="F38" s="51">
        <v>94.44</v>
      </c>
      <c r="G38" s="70">
        <f>IFERROR(SUMPRODUCT((TEXT(CC!$C$3:$C$1000,"0")=TEXT(C38,"0"))*IFERROR(CC!$E$3:$E$1000+0,0)),0)</f>
      </c>
      <c r="H38" s="56"/>
      <c r="I38" s="24" t="str">
        <f t="shared" si="5"/>
        <v/>
      </c>
      <c r="J38" s="34" cm="1">
        <f t="array" ref="J38">IFERROR(-_xlfn.IFS(OR(H38="y",H38="Y"),F38,AND(H38&lt;&gt;0,ISNUMBER(H38)),H38,G38&lt;&gt;0,G38),0)</f>
        <v>0</v>
      </c>
      <c r="K38" s="30" t="str">
        <f t="shared" si="2"/>
        <v/>
      </c>
      <c r="L38" s="57" t="str">
        <f>IF(C38&lt;&gt;"",_xlfn.XLOOKUP(TEXT(C38,"0"),TEXT(CC!$C$3:$C$1000,"0"),CC!$G$3:$G$1000,""),"")</f>
        <v/>
      </c>
      <c r="N38" s="31" t="s">
        <v>46</v>
      </c>
      <c r="O38" s="31" t="s">
        <v>47</v>
      </c>
      <c r="P38" s="32" t="s">
        <v>45</v>
      </c>
      <c r="Q38" s="32" t="s">
        <v>68</v>
      </c>
      <c r="R38" s="32" t="s">
        <v>69</v>
      </c>
      <c r="S38" s="32" t="s">
        <v>70</v>
      </c>
      <c r="T38" s="36" t="s">
        <v>75</v>
      </c>
    </row>
    <row r="39" spans="3:20" x14ac:dyDescent="0.25">
      <c r="C39" s="52">
        <v>809819</v>
      </c>
      <c r="D39" s="52" t="s">
        <v>12</v>
      </c>
      <c r="E39" s="53">
        <v>1</v>
      </c>
      <c r="F39" s="54">
        <v>-403.8</v>
      </c>
      <c r="G39" s="70">
        <f>IFERROR(SUMPRODUCT((TEXT(CC!$C$3:$C$1000,"0")=TEXT(C39,"0"))*IFERROR(CC!$E$3:$E$1000+0,0)),0)</f>
      </c>
      <c r="H39" s="56"/>
      <c r="I39" s="24" t="str">
        <f t="shared" si="5"/>
        <v/>
      </c>
      <c r="J39" s="34" cm="1">
        <f t="array" ref="J39">IFERROR(-_xlfn.IFS(OR(H39="y",H39="Y"),F39,AND(H39&lt;&gt;0,ISNUMBER(H39)),H39,G39&lt;&gt;0,G39),0)</f>
        <v>0</v>
      </c>
      <c r="K39" s="30" t="str">
        <f t="shared" si="2"/>
        <v/>
      </c>
      <c r="L39" s="57" t="str">
        <f>IF(C39&lt;&gt;"",_xlfn.XLOOKUP(TEXT(C39,"0"),TEXT(CC!$C$3:$C$1000,"0"),CC!$G$3:$G$1000,""),"")</f>
        <v/>
      </c>
      <c r="N39" s="58"/>
      <c r="O39" s="62"/>
      <c r="P39" s="26" t="str">
        <f t="shared" ref="P39:P60" si="6">IF(N39&lt;&gt;"","511011","")</f>
        <v/>
      </c>
      <c r="Q39" s="23">
        <f>-O39</f>
        <v>0</v>
      </c>
      <c r="R39" s="23" t="str">
        <f t="shared" ref="R39:R60" si="7">IF(N39&lt;&gt;"","BAL-FWD","")</f>
        <v/>
      </c>
      <c r="S39" s="29" t="str">
        <f>IF(N39&lt;&gt;"",N39,"")</f>
        <v/>
      </c>
      <c r="T39" s="58"/>
    </row>
    <row r="40" spans="3:20" x14ac:dyDescent="0.25">
      <c r="C40" s="49">
        <v>809820</v>
      </c>
      <c r="D40" s="49" t="s">
        <v>12</v>
      </c>
      <c r="E40" s="50">
        <v>1</v>
      </c>
      <c r="F40" s="51">
        <v>58.66</v>
      </c>
      <c r="G40" s="70">
        <f>IFERROR(SUMPRODUCT((TEXT(CC!$C$3:$C$1000,"0")=TEXT(C40,"0"))*IFERROR(CC!$E$3:$E$1000+0,0)),0)</f>
      </c>
      <c r="H40" s="56"/>
      <c r="I40" s="24" t="str">
        <f t="shared" si="5"/>
        <v/>
      </c>
      <c r="J40" s="34" cm="1">
        <f t="array" ref="J40">IFERROR(-_xlfn.IFS(OR(H40="y",H40="Y"),F40,AND(H40&lt;&gt;0,ISNUMBER(H40)),H40,G40&lt;&gt;0,G40),0)</f>
        <v>0</v>
      </c>
      <c r="K40" s="30" t="str">
        <f t="shared" si="2"/>
        <v/>
      </c>
      <c r="L40" s="57" t="str">
        <f>IF(C40&lt;&gt;"",_xlfn.XLOOKUP(TEXT(C40,"0"),TEXT(CC!$C$3:$C$1000,"0"),CC!$G$3:$G$1000,""),"")</f>
        <v/>
      </c>
      <c r="N40" s="44"/>
      <c r="O40" s="63"/>
      <c r="P40" s="27" t="str">
        <f t="shared" si="6"/>
        <v/>
      </c>
      <c r="Q40" s="24">
        <f t="shared" ref="Q40:Q60" si="8">-O40</f>
        <v>0</v>
      </c>
      <c r="R40" s="24" t="str">
        <f t="shared" si="7"/>
        <v/>
      </c>
      <c r="S40" s="30" t="str">
        <f t="shared" ref="S40:S60" si="9">IF(N40&lt;&gt;"",N40,"")</f>
        <v/>
      </c>
      <c r="T40" s="44"/>
    </row>
    <row r="41" spans="3:20" x14ac:dyDescent="0.25">
      <c r="C41" s="52">
        <v>809821</v>
      </c>
      <c r="D41" s="52" t="s">
        <v>12</v>
      </c>
      <c r="E41" s="53">
        <v>1</v>
      </c>
      <c r="F41" s="54">
        <v>54.82</v>
      </c>
      <c r="G41" s="70">
        <f>IFERROR(SUMPRODUCT((TEXT(CC!$C$3:$C$1000,"0")=TEXT(C41,"0"))*IFERROR(CC!$E$3:$E$1000+0,0)),0)</f>
      </c>
      <c r="H41" s="56"/>
      <c r="I41" s="24" t="str">
        <f t="shared" si="5"/>
        <v/>
      </c>
      <c r="J41" s="34" cm="1">
        <f t="array" ref="J41">IFERROR(-_xlfn.IFS(OR(H41="y",H41="Y"),F41,AND(H41&lt;&gt;0,ISNUMBER(H41)),H41,G41&lt;&gt;0,G41),0)</f>
        <v>0</v>
      </c>
      <c r="K41" s="30" t="str">
        <f t="shared" si="2"/>
        <v/>
      </c>
      <c r="L41" s="57" t="str">
        <f>IF(C41&lt;&gt;"",_xlfn.XLOOKUP(TEXT(C41,"0"),TEXT(CC!$C$3:$C$1000,"0"),CC!$G$3:$G$1000,""),"")</f>
        <v/>
      </c>
      <c r="N41" s="44"/>
      <c r="O41" s="63"/>
      <c r="P41" s="27" t="str">
        <f t="shared" si="6"/>
        <v/>
      </c>
      <c r="Q41" s="24">
        <f t="shared" si="8"/>
        <v>0</v>
      </c>
      <c r="R41" s="24" t="str">
        <f t="shared" si="7"/>
        <v/>
      </c>
      <c r="S41" s="30" t="str">
        <f t="shared" si="9"/>
        <v/>
      </c>
      <c r="T41" s="44"/>
    </row>
    <row r="42" spans="3:20" x14ac:dyDescent="0.25">
      <c r="C42" s="49">
        <v>809822</v>
      </c>
      <c r="D42" s="49" t="s">
        <v>12</v>
      </c>
      <c r="E42" s="50">
        <v>1</v>
      </c>
      <c r="F42" s="51">
        <v>-58.66</v>
      </c>
      <c r="G42" s="70">
        <f>IFERROR(SUMPRODUCT((TEXT(CC!$C$3:$C$1000,"0")=TEXT(C42,"0"))*IFERROR(CC!$E$3:$E$1000+0,0)),0)</f>
      </c>
      <c r="H42" s="56"/>
      <c r="I42" s="24" t="str">
        <f t="shared" si="5"/>
        <v/>
      </c>
      <c r="J42" s="34" cm="1">
        <f t="array" ref="J42">IFERROR(-_xlfn.IFS(OR(H42="y",H42="Y"),F42,AND(H42&lt;&gt;0,ISNUMBER(H42)),H42,G42&lt;&gt;0,G42),0)</f>
        <v>0</v>
      </c>
      <c r="K42" s="30" t="str">
        <f t="shared" si="2"/>
        <v/>
      </c>
      <c r="L42" s="57" t="str">
        <f>IF(C42&lt;&gt;"",_xlfn.XLOOKUP(TEXT(C42,"0"),TEXT(CC!$C$3:$C$1000,"0"),CC!$G$3:$G$1000,""),"")</f>
        <v/>
      </c>
      <c r="N42" s="44"/>
      <c r="O42" s="63"/>
      <c r="P42" s="27" t="str">
        <f t="shared" si="6"/>
        <v/>
      </c>
      <c r="Q42" s="24">
        <f t="shared" si="8"/>
        <v>0</v>
      </c>
      <c r="R42" s="24" t="str">
        <f t="shared" si="7"/>
        <v/>
      </c>
      <c r="S42" s="30" t="str">
        <f t="shared" si="9"/>
        <v/>
      </c>
      <c r="T42" s="44"/>
    </row>
    <row r="43" spans="3:20" x14ac:dyDescent="0.25">
      <c r="C43" s="52">
        <v>809825</v>
      </c>
      <c r="D43" s="52" t="s">
        <v>12</v>
      </c>
      <c r="E43" s="53">
        <v>1</v>
      </c>
      <c r="F43" s="54">
        <v>-65.180000000000007</v>
      </c>
      <c r="G43" s="70">
        <f>IFERROR(SUMPRODUCT((TEXT(CC!$C$3:$C$1000,"0")=TEXT(C43,"0"))*IFERROR(CC!$E$3:$E$1000+0,0)),0)</f>
      </c>
      <c r="H43" s="56"/>
      <c r="I43" s="24" t="str">
        <f t="shared" si="5"/>
        <v/>
      </c>
      <c r="J43" s="34" cm="1">
        <f t="array" ref="J43">IFERROR(-_xlfn.IFS(OR(H43="y",H43="Y"),F43,AND(H43&lt;&gt;0,ISNUMBER(H43)),H43,G43&lt;&gt;0,G43),0)</f>
        <v>0</v>
      </c>
      <c r="K43" s="30" t="str">
        <f t="shared" si="2"/>
        <v/>
      </c>
      <c r="L43" s="57" t="str">
        <f>IF(C43&lt;&gt;"",_xlfn.XLOOKUP(TEXT(C43,"0"),TEXT(CC!$C$3:$C$1000,"0"),CC!$G$3:$G$1000,""),"")</f>
        <v/>
      </c>
      <c r="N43" s="44"/>
      <c r="O43" s="63"/>
      <c r="P43" s="27" t="str">
        <f t="shared" si="6"/>
        <v/>
      </c>
      <c r="Q43" s="24">
        <f t="shared" si="8"/>
        <v>0</v>
      </c>
      <c r="R43" s="24" t="str">
        <f t="shared" si="7"/>
        <v/>
      </c>
      <c r="S43" s="30" t="str">
        <f t="shared" si="9"/>
        <v/>
      </c>
      <c r="T43" s="44"/>
    </row>
    <row r="44" spans="3:20" x14ac:dyDescent="0.25">
      <c r="C44" s="49">
        <v>809828</v>
      </c>
      <c r="D44" s="49" t="s">
        <v>12</v>
      </c>
      <c r="E44" s="50">
        <v>1</v>
      </c>
      <c r="F44" s="51">
        <v>28.28</v>
      </c>
      <c r="G44" s="70">
        <f>IFERROR(SUMPRODUCT((TEXT(CC!$C$3:$C$1000,"0")=TEXT(C44,"0"))*IFERROR(CC!$E$3:$E$1000+0,0)),0)</f>
      </c>
      <c r="H44" s="56"/>
      <c r="I44" s="24" t="str">
        <f t="shared" si="5"/>
        <v/>
      </c>
      <c r="J44" s="34" cm="1">
        <f t="array" ref="J44">IFERROR(-_xlfn.IFS(OR(H44="y",H44="Y"),F44,AND(H44&lt;&gt;0,ISNUMBER(H44)),H44,G44&lt;&gt;0,G44),0)</f>
        <v>0</v>
      </c>
      <c r="K44" s="30" t="str">
        <f t="shared" si="2"/>
        <v/>
      </c>
      <c r="L44" s="57" t="str">
        <f>IF(C44&lt;&gt;"",_xlfn.XLOOKUP(TEXT(C44,"0"),TEXT(CC!$C$3:$C$1000,"0"),CC!$G$3:$G$1000,""),"")</f>
        <v/>
      </c>
      <c r="N44" s="44"/>
      <c r="O44" s="63"/>
      <c r="P44" s="27" t="str">
        <f t="shared" si="6"/>
        <v/>
      </c>
      <c r="Q44" s="24">
        <f t="shared" si="8"/>
        <v>0</v>
      </c>
      <c r="R44" s="24" t="str">
        <f t="shared" si="7"/>
        <v/>
      </c>
      <c r="S44" s="30" t="str">
        <f t="shared" si="9"/>
        <v/>
      </c>
      <c r="T44" s="44"/>
    </row>
    <row r="45" spans="3:20" x14ac:dyDescent="0.25">
      <c r="C45" s="52">
        <v>809829</v>
      </c>
      <c r="D45" s="52" t="s">
        <v>12</v>
      </c>
      <c r="E45" s="53">
        <v>1</v>
      </c>
      <c r="F45" s="54">
        <v>737.36</v>
      </c>
      <c r="G45" s="70">
        <f>IFERROR(SUMPRODUCT((TEXT(CC!$C$3:$C$1000,"0")=TEXT(C45,"0"))*IFERROR(CC!$E$3:$E$1000+0,0)),0)</f>
      </c>
      <c r="H45" s="56"/>
      <c r="I45" s="24" t="str">
        <f t="shared" si="5"/>
        <v/>
      </c>
      <c r="J45" s="34" cm="1">
        <f t="array" ref="J45">IFERROR(-_xlfn.IFS(OR(H45="y",H45="Y"),F45,AND(H45&lt;&gt;0,ISNUMBER(H45)),H45,G45&lt;&gt;0,G45),0)</f>
        <v>0</v>
      </c>
      <c r="K45" s="30" t="str">
        <f t="shared" si="2"/>
        <v/>
      </c>
      <c r="L45" s="57" t="str">
        <f>IF(C45&lt;&gt;"",_xlfn.XLOOKUP(TEXT(C45,"0"),TEXT(CC!$C$3:$C$1000,"0"),CC!$G$3:$G$1000,""),"")</f>
        <v/>
      </c>
      <c r="N45" s="44"/>
      <c r="O45" s="63"/>
      <c r="P45" s="27" t="str">
        <f t="shared" si="6"/>
        <v/>
      </c>
      <c r="Q45" s="24">
        <f t="shared" si="8"/>
        <v>0</v>
      </c>
      <c r="R45" s="24" t="str">
        <f t="shared" si="7"/>
        <v/>
      </c>
      <c r="S45" s="30" t="str">
        <f t="shared" si="9"/>
        <v/>
      </c>
      <c r="T45" s="44"/>
    </row>
    <row r="46" spans="3:20" x14ac:dyDescent="0.25">
      <c r="C46" s="49">
        <v>809830</v>
      </c>
      <c r="D46" s="49" t="s">
        <v>12</v>
      </c>
      <c r="E46" s="50">
        <v>1</v>
      </c>
      <c r="F46" s="51">
        <v>-75.58</v>
      </c>
      <c r="G46" s="70">
        <f>IFERROR(SUMPRODUCT((TEXT(CC!$C$3:$C$1000,"0")=TEXT(C46,"0"))*IFERROR(CC!$E$3:$E$1000+0,0)),0)</f>
      </c>
      <c r="H46" s="56"/>
      <c r="I46" s="24" t="str">
        <f t="shared" si="5"/>
        <v/>
      </c>
      <c r="J46" s="34" cm="1">
        <f t="array" ref="J46">IFERROR(-_xlfn.IFS(OR(H46="y",H46="Y"),F46,AND(H46&lt;&gt;0,ISNUMBER(H46)),H46,G46&lt;&gt;0,G46),0)</f>
        <v>0</v>
      </c>
      <c r="K46" s="30" t="str">
        <f t="shared" ref="K46:K77" si="10">IF(J46&lt;&gt;0,C46,"")</f>
        <v/>
      </c>
      <c r="L46" s="57" t="str">
        <f>IF(C46&lt;&gt;"",_xlfn.XLOOKUP(TEXT(C46,"0"),TEXT(CC!$C$3:$C$1000,"0"),CC!$G$3:$G$1000,""),"")</f>
        <v/>
      </c>
      <c r="N46" s="44"/>
      <c r="O46" s="63"/>
      <c r="P46" s="27" t="str">
        <f t="shared" si="6"/>
        <v/>
      </c>
      <c r="Q46" s="24">
        <f t="shared" si="8"/>
        <v>0</v>
      </c>
      <c r="R46" s="24" t="str">
        <f t="shared" si="7"/>
        <v/>
      </c>
      <c r="S46" s="30" t="str">
        <f t="shared" si="9"/>
        <v/>
      </c>
      <c r="T46" s="44"/>
    </row>
    <row r="47" spans="3:20" x14ac:dyDescent="0.25">
      <c r="C47" s="49">
        <v>809831</v>
      </c>
      <c r="D47" s="49" t="s">
        <v>12</v>
      </c>
      <c r="E47" s="50">
        <v>1</v>
      </c>
      <c r="F47" s="51">
        <v>41.07</v>
      </c>
      <c r="G47" s="70">
        <f>IFERROR(SUMPRODUCT((TEXT(CC!$C$3:$C$1000,"0")=TEXT(C47,"0"))*IFERROR(CC!$E$3:$E$1000+0,0)),0)</f>
      </c>
      <c r="H47" s="56"/>
      <c r="I47" s="24" t="str">
        <f t="shared" si="5"/>
        <v/>
      </c>
      <c r="J47" s="34" cm="1">
        <f t="array" ref="J47">IFERROR(-_xlfn.IFS(OR(H47="y",H47="Y"),F47,AND(H47&lt;&gt;0,ISNUMBER(H47)),H47,G47&lt;&gt;0,G47),0)</f>
        <v>0</v>
      </c>
      <c r="K47" s="30" t="str">
        <f t="shared" si="10"/>
        <v/>
      </c>
      <c r="L47" s="57" t="str">
        <f>IF(C47&lt;&gt;"",_xlfn.XLOOKUP(TEXT(C47,"0"),TEXT(CC!$C$3:$C$1000,"0"),CC!$G$3:$G$1000,""),"")</f>
        <v/>
      </c>
      <c r="N47" s="44"/>
      <c r="O47" s="63"/>
      <c r="P47" s="27" t="str">
        <f t="shared" si="6"/>
        <v/>
      </c>
      <c r="Q47" s="24">
        <f t="shared" si="8"/>
        <v>0</v>
      </c>
      <c r="R47" s="24" t="str">
        <f t="shared" si="7"/>
        <v/>
      </c>
      <c r="S47" s="30" t="str">
        <f t="shared" si="9"/>
        <v/>
      </c>
      <c r="T47" s="44"/>
    </row>
    <row r="48" spans="3:20" x14ac:dyDescent="0.25">
      <c r="C48" s="52">
        <v>809832</v>
      </c>
      <c r="D48" s="52" t="s">
        <v>12</v>
      </c>
      <c r="E48" s="53">
        <v>1</v>
      </c>
      <c r="F48" s="54">
        <v>4.68</v>
      </c>
      <c r="G48" s="70">
        <f>IFERROR(SUMPRODUCT((TEXT(CC!$C$3:$C$1000,"0")=TEXT(C48,"0"))*IFERROR(CC!$E$3:$E$1000+0,0)),0)</f>
      </c>
      <c r="H48" s="56"/>
      <c r="I48" s="24" t="str">
        <f t="shared" si="5"/>
        <v/>
      </c>
      <c r="J48" s="34" cm="1">
        <f t="array" ref="J48">IFERROR(-_xlfn.IFS(OR(H48="y",H48="Y"),F48,AND(H48&lt;&gt;0,ISNUMBER(H48)),H48,G48&lt;&gt;0,G48),0)</f>
        <v>0</v>
      </c>
      <c r="K48" s="30" t="str">
        <f t="shared" si="10"/>
        <v/>
      </c>
      <c r="L48" s="57" t="str">
        <f>IF(C48&lt;&gt;"",_xlfn.XLOOKUP(TEXT(C48,"0"),TEXT(CC!$C$3:$C$1000,"0"),CC!$G$3:$G$1000,""),"")</f>
        <v/>
      </c>
      <c r="N48" s="44"/>
      <c r="O48" s="63"/>
      <c r="P48" s="27" t="str">
        <f t="shared" si="6"/>
        <v/>
      </c>
      <c r="Q48" s="24">
        <f t="shared" si="8"/>
        <v>0</v>
      </c>
      <c r="R48" s="24" t="str">
        <f t="shared" si="7"/>
        <v/>
      </c>
      <c r="S48" s="30" t="str">
        <f t="shared" si="9"/>
        <v/>
      </c>
      <c r="T48" s="44"/>
    </row>
    <row r="49" spans="3:20" x14ac:dyDescent="0.25">
      <c r="C49" s="49">
        <v>809833</v>
      </c>
      <c r="D49" s="49" t="s">
        <v>12</v>
      </c>
      <c r="E49" s="50">
        <v>1</v>
      </c>
      <c r="F49" s="51">
        <v>157.24</v>
      </c>
      <c r="G49" s="70">
        <f>IFERROR(SUMPRODUCT((TEXT(CC!$C$3:$C$1000,"0")=TEXT(C49,"0"))*IFERROR(CC!$E$3:$E$1000+0,0)),0)</f>
      </c>
      <c r="H49" s="56"/>
      <c r="I49" s="24" t="str">
        <f t="shared" si="5"/>
        <v/>
      </c>
      <c r="J49" s="34" cm="1">
        <f t="array" ref="J49">IFERROR(-_xlfn.IFS(OR(H49="y",H49="Y"),F49,AND(H49&lt;&gt;0,ISNUMBER(H49)),H49,G49&lt;&gt;0,G49),0)</f>
        <v>0</v>
      </c>
      <c r="K49" s="30" t="str">
        <f t="shared" si="10"/>
        <v/>
      </c>
      <c r="L49" s="57" t="str">
        <f>IF(C49&lt;&gt;"",_xlfn.XLOOKUP(TEXT(C49,"0"),TEXT(CC!$C$3:$C$1000,"0"),CC!$G$3:$G$1000,""),"")</f>
        <v/>
      </c>
      <c r="N49" s="44"/>
      <c r="O49" s="63"/>
      <c r="P49" s="27" t="str">
        <f t="shared" si="6"/>
        <v/>
      </c>
      <c r="Q49" s="24">
        <f t="shared" si="8"/>
        <v>0</v>
      </c>
      <c r="R49" s="24" t="str">
        <f t="shared" si="7"/>
        <v/>
      </c>
      <c r="S49" s="30" t="str">
        <f t="shared" si="9"/>
        <v/>
      </c>
      <c r="T49" s="44"/>
    </row>
    <row r="50" spans="3:20" x14ac:dyDescent="0.25">
      <c r="C50" s="52">
        <v>809835</v>
      </c>
      <c r="D50" s="52" t="s">
        <v>12</v>
      </c>
      <c r="E50" s="53">
        <v>1</v>
      </c>
      <c r="F50" s="54">
        <v>-4.68</v>
      </c>
      <c r="G50" s="70">
        <f>IFERROR(SUMPRODUCT((TEXT(CC!$C$3:$C$1000,"0")=TEXT(C50,"0"))*IFERROR(CC!$E$3:$E$1000+0,0)),0)</f>
      </c>
      <c r="H50" s="56"/>
      <c r="I50" s="24" t="str">
        <f t="shared" si="5"/>
        <v/>
      </c>
      <c r="J50" s="34" cm="1">
        <f t="array" ref="J50">IFERROR(-_xlfn.IFS(OR(H50="y",H50="Y"),F50,AND(H50&lt;&gt;0,ISNUMBER(H50)),H50,G50&lt;&gt;0,G50),0)</f>
        <v>0</v>
      </c>
      <c r="K50" s="30" t="str">
        <f t="shared" si="10"/>
        <v/>
      </c>
      <c r="L50" s="57" t="str">
        <f>IF(C50&lt;&gt;"",_xlfn.XLOOKUP(TEXT(C50,"0"),TEXT(CC!$C$3:$C$1000,"0"),CC!$G$3:$G$1000,""),"")</f>
        <v/>
      </c>
      <c r="N50" s="44"/>
      <c r="O50" s="63"/>
      <c r="P50" s="27" t="str">
        <f t="shared" si="6"/>
        <v/>
      </c>
      <c r="Q50" s="24">
        <f t="shared" si="8"/>
        <v>0</v>
      </c>
      <c r="R50" s="24" t="str">
        <f t="shared" si="7"/>
        <v/>
      </c>
      <c r="S50" s="30" t="str">
        <f t="shared" si="9"/>
        <v/>
      </c>
      <c r="T50" s="44"/>
    </row>
    <row r="51" spans="3:20" x14ac:dyDescent="0.25">
      <c r="C51" s="49">
        <v>809836</v>
      </c>
      <c r="D51" s="49" t="s">
        <v>12</v>
      </c>
      <c r="E51" s="50">
        <v>1</v>
      </c>
      <c r="F51" s="51">
        <v>-329.22</v>
      </c>
      <c r="G51" s="70">
        <f>IFERROR(SUMPRODUCT((TEXT(CC!$C$3:$C$1000,"0")=TEXT(C51,"0"))*IFERROR(CC!$E$3:$E$1000+0,0)),0)</f>
      </c>
      <c r="H51" s="56"/>
      <c r="I51" s="24" t="str">
        <f t="shared" si="5"/>
        <v/>
      </c>
      <c r="J51" s="34" cm="1">
        <f t="array" ref="J51">IFERROR(-_xlfn.IFS(OR(H51="y",H51="Y"),F51,AND(H51&lt;&gt;0,ISNUMBER(H51)),H51,G51&lt;&gt;0,G51),0)</f>
        <v>0</v>
      </c>
      <c r="K51" s="30" t="str">
        <f t="shared" si="10"/>
        <v/>
      </c>
      <c r="L51" s="57" t="str">
        <f>IF(C51&lt;&gt;"",_xlfn.XLOOKUP(TEXT(C51,"0"),TEXT(CC!$C$3:$C$1000,"0"),CC!$G$3:$G$1000,""),"")</f>
        <v/>
      </c>
      <c r="N51" s="44"/>
      <c r="O51" s="63"/>
      <c r="P51" s="27" t="str">
        <f t="shared" si="6"/>
        <v/>
      </c>
      <c r="Q51" s="24">
        <f t="shared" si="8"/>
        <v>0</v>
      </c>
      <c r="R51" s="24" t="str">
        <f t="shared" si="7"/>
        <v/>
      </c>
      <c r="S51" s="30" t="str">
        <f t="shared" si="9"/>
        <v/>
      </c>
      <c r="T51" s="44"/>
    </row>
    <row r="52" spans="3:20" x14ac:dyDescent="0.25">
      <c r="C52" s="52">
        <v>809837</v>
      </c>
      <c r="D52" s="52" t="s">
        <v>12</v>
      </c>
      <c r="E52" s="53">
        <v>1</v>
      </c>
      <c r="F52" s="54">
        <v>1755</v>
      </c>
      <c r="G52" s="70">
        <f>IFERROR(SUMPRODUCT((TEXT(CC!$C$3:$C$1000,"0")=TEXT(C52,"0"))*IFERROR(CC!$E$3:$E$1000+0,0)),0)</f>
      </c>
      <c r="H52" s="56"/>
      <c r="I52" s="24" t="str">
        <f t="shared" si="5"/>
        <v/>
      </c>
      <c r="J52" s="34" cm="1">
        <f t="array" ref="J52">IFERROR(-_xlfn.IFS(OR(H52="y",H52="Y"),F52,AND(H52&lt;&gt;0,ISNUMBER(H52)),H52,G52&lt;&gt;0,G52),0)</f>
        <v>0</v>
      </c>
      <c r="K52" s="30" t="str">
        <f t="shared" si="10"/>
        <v/>
      </c>
      <c r="L52" s="57" t="str">
        <f>IF(C52&lt;&gt;"",_xlfn.XLOOKUP(TEXT(C52,"0"),TEXT(CC!$C$3:$C$1000,"0"),CC!$G$3:$G$1000,""),"")</f>
        <v/>
      </c>
      <c r="N52" s="44"/>
      <c r="O52" s="63"/>
      <c r="P52" s="27" t="str">
        <f t="shared" si="6"/>
        <v/>
      </c>
      <c r="Q52" s="24">
        <f t="shared" si="8"/>
        <v>0</v>
      </c>
      <c r="R52" s="24" t="str">
        <f t="shared" si="7"/>
        <v/>
      </c>
      <c r="S52" s="30" t="str">
        <f t="shared" si="9"/>
        <v/>
      </c>
      <c r="T52" s="44"/>
    </row>
    <row r="53" spans="3:20" x14ac:dyDescent="0.25">
      <c r="C53" s="49">
        <v>809838</v>
      </c>
      <c r="D53" s="49" t="s">
        <v>12</v>
      </c>
      <c r="E53" s="50">
        <v>1</v>
      </c>
      <c r="F53" s="51">
        <v>8243.92</v>
      </c>
      <c r="G53" s="70">
        <f>IFERROR(SUMPRODUCT((TEXT(CC!$C$3:$C$1000,"0")=TEXT(C53,"0"))*IFERROR(CC!$E$3:$E$1000+0,0)),0)</f>
      </c>
      <c r="H53" s="56"/>
      <c r="I53" s="24" t="str">
        <f t="shared" si="5"/>
        <v/>
      </c>
      <c r="J53" s="34" cm="1">
        <f t="array" ref="J53">IFERROR(-_xlfn.IFS(OR(H53="y",H53="Y"),F53,AND(H53&lt;&gt;0,ISNUMBER(H53)),H53,G53&lt;&gt;0,G53),0)</f>
        <v>0</v>
      </c>
      <c r="K53" s="30" t="str">
        <f t="shared" si="10"/>
        <v/>
      </c>
      <c r="L53" s="57" t="str">
        <f>IF(C53&lt;&gt;"",_xlfn.XLOOKUP(TEXT(C53,"0"),TEXT(CC!$C$3:$C$1000,"0"),CC!$G$3:$G$1000,""),"")</f>
        <v/>
      </c>
      <c r="N53" s="44"/>
      <c r="O53" s="63"/>
      <c r="P53" s="27" t="str">
        <f t="shared" si="6"/>
        <v/>
      </c>
      <c r="Q53" s="24">
        <f t="shared" si="8"/>
        <v>0</v>
      </c>
      <c r="R53" s="24" t="str">
        <f t="shared" si="7"/>
        <v/>
      </c>
      <c r="S53" s="30" t="str">
        <f t="shared" si="9"/>
        <v/>
      </c>
      <c r="T53" s="44"/>
    </row>
    <row r="54" spans="3:20" x14ac:dyDescent="0.25">
      <c r="C54" s="52">
        <v>809840</v>
      </c>
      <c r="D54" s="52" t="s">
        <v>12</v>
      </c>
      <c r="E54" s="53">
        <v>1</v>
      </c>
      <c r="F54" s="54">
        <v>4604.3999999999996</v>
      </c>
      <c r="G54" s="70">
        <f>IFERROR(SUMPRODUCT((TEXT(CC!$C$3:$C$1000,"0")=TEXT(C54,"0"))*IFERROR(CC!$E$3:$E$1000+0,0)),0)</f>
      </c>
      <c r="H54" s="56"/>
      <c r="I54" s="24" t="str">
        <f t="shared" si="5"/>
        <v/>
      </c>
      <c r="J54" s="34" cm="1">
        <f t="array" ref="J54">IFERROR(-_xlfn.IFS(OR(H54="y",H54="Y"),F54,AND(H54&lt;&gt;0,ISNUMBER(H54)),H54,G54&lt;&gt;0,G54),0)</f>
        <v>0</v>
      </c>
      <c r="K54" s="30" t="str">
        <f t="shared" si="10"/>
        <v/>
      </c>
      <c r="L54" s="57" t="str">
        <f>IF(C54&lt;&gt;"",_xlfn.XLOOKUP(TEXT(C54,"0"),TEXT(CC!$C$3:$C$1000,"0"),CC!$G$3:$G$1000,""),"")</f>
        <v/>
      </c>
      <c r="N54" s="44"/>
      <c r="O54" s="63"/>
      <c r="P54" s="27" t="str">
        <f t="shared" si="6"/>
        <v/>
      </c>
      <c r="Q54" s="24">
        <f t="shared" si="8"/>
        <v>0</v>
      </c>
      <c r="R54" s="24" t="str">
        <f t="shared" si="7"/>
        <v/>
      </c>
      <c r="S54" s="30" t="str">
        <f t="shared" si="9"/>
        <v/>
      </c>
      <c r="T54" s="44"/>
    </row>
    <row r="55" spans="3:20" x14ac:dyDescent="0.25">
      <c r="C55" s="52">
        <v>809844</v>
      </c>
      <c r="D55" s="52" t="s">
        <v>12</v>
      </c>
      <c r="E55" s="53">
        <v>1</v>
      </c>
      <c r="F55" s="54">
        <v>265.92</v>
      </c>
      <c r="G55" s="70">
        <f>IFERROR(SUMPRODUCT((TEXT(CC!$C$3:$C$1000,"0")=TEXT(C55,"0"))*IFERROR(CC!$E$3:$E$1000+0,0)),0)</f>
      </c>
      <c r="H55" s="56"/>
      <c r="I55" s="24" t="str">
        <f t="shared" si="5"/>
        <v/>
      </c>
      <c r="J55" s="34" cm="1">
        <f t="array" ref="J55">IFERROR(-_xlfn.IFS(OR(H55="y",H55="Y"),F55,AND(H55&lt;&gt;0,ISNUMBER(H55)),H55,G55&lt;&gt;0,G55),0)</f>
        <v>0</v>
      </c>
      <c r="K55" s="30" t="str">
        <f t="shared" si="10"/>
        <v/>
      </c>
      <c r="L55" s="57" t="str">
        <f>IF(C55&lt;&gt;"",_xlfn.XLOOKUP(TEXT(C55,"0"),TEXT(CC!$C$3:$C$1000,"0"),CC!$G$3:$G$1000,""),"")</f>
        <v/>
      </c>
      <c r="N55" s="44"/>
      <c r="O55" s="63"/>
      <c r="P55" s="27" t="str">
        <f t="shared" si="6"/>
        <v/>
      </c>
      <c r="Q55" s="24">
        <f t="shared" si="8"/>
        <v>0</v>
      </c>
      <c r="R55" s="24" t="str">
        <f t="shared" si="7"/>
        <v/>
      </c>
      <c r="S55" s="30" t="str">
        <f t="shared" si="9"/>
        <v/>
      </c>
      <c r="T55" s="44"/>
    </row>
    <row r="56" spans="3:20" x14ac:dyDescent="0.25">
      <c r="C56" s="49">
        <v>809847</v>
      </c>
      <c r="D56" s="49" t="s">
        <v>12</v>
      </c>
      <c r="E56" s="50">
        <v>1</v>
      </c>
      <c r="F56" s="51">
        <v>1671.94</v>
      </c>
      <c r="G56" s="70">
        <f>IFERROR(SUMPRODUCT((TEXT(CC!$C$3:$C$1000,"0")=TEXT(C56,"0"))*IFERROR(CC!$E$3:$E$1000+0,0)),0)</f>
      </c>
      <c r="H56" s="56"/>
      <c r="I56" s="24" t="str">
        <f t="shared" si="5"/>
        <v/>
      </c>
      <c r="J56" s="34" cm="1">
        <f t="array" ref="J56">IFERROR(-_xlfn.IFS(OR(H56="y",H56="Y"),F56,AND(H56&lt;&gt;0,ISNUMBER(H56)),H56,G56&lt;&gt;0,G56),0)</f>
        <v>0</v>
      </c>
      <c r="K56" s="30" t="str">
        <f t="shared" si="10"/>
        <v/>
      </c>
      <c r="L56" s="57" t="str">
        <f>IF(C56&lt;&gt;"",_xlfn.XLOOKUP(TEXT(C56,"0"),TEXT(CC!$C$3:$C$1000,"0"),CC!$G$3:$G$1000,""),"")</f>
        <v/>
      </c>
      <c r="N56" s="44"/>
      <c r="O56" s="63"/>
      <c r="P56" s="27" t="str">
        <f t="shared" si="6"/>
        <v/>
      </c>
      <c r="Q56" s="24">
        <f t="shared" si="8"/>
        <v>0</v>
      </c>
      <c r="R56" s="24" t="str">
        <f t="shared" si="7"/>
        <v/>
      </c>
      <c r="S56" s="30" t="str">
        <f t="shared" si="9"/>
        <v/>
      </c>
      <c r="T56" s="44"/>
    </row>
    <row r="57" spans="3:20" x14ac:dyDescent="0.25">
      <c r="C57" s="52">
        <v>809851</v>
      </c>
      <c r="D57" s="52" t="s">
        <v>12</v>
      </c>
      <c r="E57" s="53">
        <v>1</v>
      </c>
      <c r="F57" s="54">
        <v>7958.2</v>
      </c>
      <c r="G57" s="70">
        <f>IFERROR(SUMPRODUCT((TEXT(CC!$C$3:$C$1000,"0")=TEXT(C57,"0"))*IFERROR(CC!$E$3:$E$1000+0,0)),0)</f>
      </c>
      <c r="H57" s="56"/>
      <c r="I57" s="24" t="str">
        <f t="shared" si="5"/>
        <v/>
      </c>
      <c r="J57" s="34" cm="1">
        <f t="array" ref="J57">IFERROR(-_xlfn.IFS(OR(H57="y",H57="Y"),F57,AND(H57&lt;&gt;0,ISNUMBER(H57)),H57,G57&lt;&gt;0,G57),0)</f>
        <v>0</v>
      </c>
      <c r="K57" s="30" t="str">
        <f t="shared" si="10"/>
        <v/>
      </c>
      <c r="L57" s="57" t="str">
        <f>IF(C57&lt;&gt;"",_xlfn.XLOOKUP(TEXT(C57,"0"),TEXT(CC!$C$3:$C$1000,"0"),CC!$G$3:$G$1000,""),"")</f>
        <v/>
      </c>
      <c r="N57" s="44"/>
      <c r="O57" s="63"/>
      <c r="P57" s="27" t="str">
        <f t="shared" si="6"/>
        <v/>
      </c>
      <c r="Q57" s="24">
        <f t="shared" si="8"/>
        <v>0</v>
      </c>
      <c r="R57" s="24" t="str">
        <f t="shared" si="7"/>
        <v/>
      </c>
      <c r="S57" s="30" t="str">
        <f t="shared" si="9"/>
        <v/>
      </c>
      <c r="T57" s="44"/>
    </row>
    <row r="58" spans="3:20" x14ac:dyDescent="0.25">
      <c r="C58" s="49">
        <v>809852</v>
      </c>
      <c r="D58" s="49" t="s">
        <v>12</v>
      </c>
      <c r="E58" s="50">
        <v>1</v>
      </c>
      <c r="F58" s="51">
        <v>1144.5999999999999</v>
      </c>
      <c r="G58" s="70">
        <f>IFERROR(SUMPRODUCT((TEXT(CC!$C$3:$C$1000,"0")=TEXT(C58,"0"))*IFERROR(CC!$E$3:$E$1000+0,0)),0)</f>
      </c>
      <c r="H58" s="56"/>
      <c r="I58" s="24" t="str">
        <f t="shared" si="5"/>
        <v/>
      </c>
      <c r="J58" s="34" cm="1">
        <f t="array" ref="J58">IFERROR(-_xlfn.IFS(OR(H58="y",H58="Y"),F58,AND(H58&lt;&gt;0,ISNUMBER(H58)),H58,G58&lt;&gt;0,G58),0)</f>
        <v>0</v>
      </c>
      <c r="K58" s="30" t="str">
        <f t="shared" si="10"/>
        <v/>
      </c>
      <c r="L58" s="57" t="str">
        <f>IF(C58&lt;&gt;"",_xlfn.XLOOKUP(TEXT(C58,"0"),TEXT(CC!$C$3:$C$1000,"0"),CC!$G$3:$G$1000,""),"")</f>
        <v/>
      </c>
      <c r="N58" s="44"/>
      <c r="O58" s="63"/>
      <c r="P58" s="27" t="str">
        <f t="shared" si="6"/>
        <v/>
      </c>
      <c r="Q58" s="24">
        <f t="shared" si="8"/>
        <v>0</v>
      </c>
      <c r="R58" s="24" t="str">
        <f t="shared" si="7"/>
        <v/>
      </c>
      <c r="S58" s="30" t="str">
        <f t="shared" si="9"/>
        <v/>
      </c>
      <c r="T58" s="44"/>
    </row>
    <row r="59" spans="3:20" x14ac:dyDescent="0.25">
      <c r="C59" s="52">
        <v>809853</v>
      </c>
      <c r="D59" s="52" t="s">
        <v>12</v>
      </c>
      <c r="E59" s="53">
        <v>1</v>
      </c>
      <c r="F59" s="54">
        <v>506.69</v>
      </c>
      <c r="G59" s="70">
        <f>IFERROR(SUMPRODUCT((TEXT(CC!$C$3:$C$1000,"0")=TEXT(C59,"0"))*IFERROR(CC!$E$3:$E$1000+0,0)),0)</f>
      </c>
      <c r="H59" s="56"/>
      <c r="I59" s="24" t="str">
        <f t="shared" si="5"/>
        <v/>
      </c>
      <c r="J59" s="34" cm="1">
        <f t="array" ref="J59">IFERROR(-_xlfn.IFS(OR(H59="y",H59="Y"),F59,AND(H59&lt;&gt;0,ISNUMBER(H59)),H59,G59&lt;&gt;0,G59),0)</f>
        <v>0</v>
      </c>
      <c r="K59" s="30" t="str">
        <f t="shared" si="10"/>
        <v/>
      </c>
      <c r="L59" s="57" t="str">
        <f>IF(C59&lt;&gt;"",_xlfn.XLOOKUP(TEXT(C59,"0"),TEXT(CC!$C$3:$C$1000,"0"),CC!$G$3:$G$1000,""),"")</f>
        <v/>
      </c>
      <c r="N59" s="44"/>
      <c r="O59" s="63"/>
      <c r="P59" s="27" t="str">
        <f t="shared" si="6"/>
        <v/>
      </c>
      <c r="Q59" s="24">
        <f t="shared" si="8"/>
        <v>0</v>
      </c>
      <c r="R59" s="24" t="str">
        <f t="shared" si="7"/>
        <v/>
      </c>
      <c r="S59" s="30" t="str">
        <f t="shared" si="9"/>
        <v/>
      </c>
      <c r="T59" s="44"/>
    </row>
    <row r="60" spans="3:20" x14ac:dyDescent="0.25">
      <c r="C60" s="49">
        <v>809856</v>
      </c>
      <c r="D60" s="49" t="s">
        <v>12</v>
      </c>
      <c r="E60" s="50">
        <v>1</v>
      </c>
      <c r="F60" s="51">
        <v>253.03</v>
      </c>
      <c r="G60" s="70">
        <f>IFERROR(SUMPRODUCT((TEXT(CC!$C$3:$C$1000,"0")=TEXT(C60,"0"))*IFERROR(CC!$E$3:$E$1000+0,0)),0)</f>
      </c>
      <c r="H60" s="56"/>
      <c r="I60" s="24" t="str">
        <f t="shared" si="5"/>
        <v/>
      </c>
      <c r="J60" s="34" cm="1">
        <f t="array" ref="J60">IFERROR(-_xlfn.IFS(OR(H60="y",H60="Y"),F60,AND(H60&lt;&gt;0,ISNUMBER(H60)),H60,G60&lt;&gt;0,G60),0)</f>
        <v>0</v>
      </c>
      <c r="K60" s="30" t="str">
        <f t="shared" si="10"/>
        <v/>
      </c>
      <c r="L60" s="57" t="str">
        <f>IF(C60&lt;&gt;"",_xlfn.XLOOKUP(TEXT(C60,"0"),TEXT(CC!$C$3:$C$1000,"0"),CC!$G$3:$G$1000,""),"")</f>
        <v/>
      </c>
      <c r="N60" s="44"/>
      <c r="O60" s="63"/>
      <c r="P60" s="27" t="str">
        <f t="shared" si="6"/>
        <v/>
      </c>
      <c r="Q60" s="24">
        <f t="shared" si="8"/>
        <v>0</v>
      </c>
      <c r="R60" s="24" t="str">
        <f t="shared" si="7"/>
        <v/>
      </c>
      <c r="S60" s="30" t="str">
        <f t="shared" si="9"/>
        <v/>
      </c>
      <c r="T60" s="44"/>
    </row>
    <row r="61" spans="3:20" x14ac:dyDescent="0.25">
      <c r="C61" s="52">
        <v>809857</v>
      </c>
      <c r="D61" s="52" t="s">
        <v>12</v>
      </c>
      <c r="E61" s="53">
        <v>1</v>
      </c>
      <c r="F61" s="54">
        <v>2530.1</v>
      </c>
      <c r="G61" s="70">
        <f>IFERROR(SUMPRODUCT((TEXT(CC!$C$3:$C$1000,"0")=TEXT(C61,"0"))*IFERROR(CC!$E$3:$E$1000+0,0)),0)</f>
      </c>
      <c r="H61" s="56"/>
      <c r="I61" s="24" t="str">
        <f t="shared" si="5"/>
        <v/>
      </c>
      <c r="J61" s="34" cm="1">
        <f t="array" ref="J61">IFERROR(-_xlfn.IFS(OR(H61="y",H61="Y"),F61,AND(H61&lt;&gt;0,ISNUMBER(H61)),H61,G61&lt;&gt;0,G61),0)</f>
        <v>0</v>
      </c>
      <c r="K61" s="30" t="str">
        <f t="shared" si="10"/>
        <v/>
      </c>
      <c r="L61" s="57" t="str">
        <f>IF(C61&lt;&gt;"",_xlfn.XLOOKUP(TEXT(C61,"0"),TEXT(CC!$C$3:$C$1000,"0"),CC!$G$3:$G$1000,""),"")</f>
        <v/>
      </c>
    </row>
    <row r="62" spans="3:20" x14ac:dyDescent="0.25">
      <c r="C62" s="49">
        <v>809858</v>
      </c>
      <c r="D62" s="49" t="s">
        <v>12</v>
      </c>
      <c r="E62" s="50">
        <v>1</v>
      </c>
      <c r="F62" s="51">
        <v>988.07</v>
      </c>
      <c r="G62" s="70">
        <f>IFERROR(SUMPRODUCT((TEXT(CC!$C$3:$C$1000,"0")=TEXT(C62,"0"))*IFERROR(CC!$E$3:$E$1000+0,0)),0)</f>
      </c>
      <c r="H62" s="56"/>
      <c r="I62" s="24" t="str">
        <f t="shared" si="5"/>
        <v/>
      </c>
      <c r="J62" s="34" cm="1">
        <f t="array" ref="J62">IFERROR(-_xlfn.IFS(OR(H62="y",H62="Y"),F62,AND(H62&lt;&gt;0,ISNUMBER(H62)),H62,G62&lt;&gt;0,G62),0)</f>
        <v>0</v>
      </c>
      <c r="K62" s="30" t="str">
        <f t="shared" si="10"/>
        <v/>
      </c>
      <c r="L62" s="57" t="str">
        <f>IF(C62&lt;&gt;"",_xlfn.XLOOKUP(TEXT(C62,"0"),TEXT(CC!$C$3:$C$1000,"0"),CC!$G$3:$G$1000,""),"")</f>
        <v/>
      </c>
    </row>
    <row r="63" spans="3:20" x14ac:dyDescent="0.25">
      <c r="C63" s="52">
        <v>809864</v>
      </c>
      <c r="D63" s="52" t="s">
        <v>12</v>
      </c>
      <c r="E63" s="53">
        <v>1</v>
      </c>
      <c r="F63" s="54">
        <v>312.86</v>
      </c>
      <c r="G63" s="70">
        <f>IFERROR(SUMPRODUCT((TEXT(CC!$C$3:$C$1000,"0")=TEXT(C63,"0"))*IFERROR(CC!$E$3:$E$1000+0,0)),0)</f>
      </c>
      <c r="H63" s="56"/>
      <c r="I63" s="24" t="str">
        <f t="shared" si="5"/>
        <v/>
      </c>
      <c r="J63" s="34" cm="1">
        <f t="array" ref="J63">IFERROR(-_xlfn.IFS(OR(H63="y",H63="Y"),F63,AND(H63&lt;&gt;0,ISNUMBER(H63)),H63,G63&lt;&gt;0,G63),0)</f>
        <v>0</v>
      </c>
      <c r="K63" s="30" t="str">
        <f t="shared" si="10"/>
        <v/>
      </c>
      <c r="L63" s="57" t="str">
        <f>IF(C63&lt;&gt;"",_xlfn.XLOOKUP(TEXT(C63,"0"),TEXT(CC!$C$3:$C$1000,"0"),CC!$G$3:$G$1000,""),"")</f>
        <v/>
      </c>
    </row>
    <row r="64" spans="3:20" x14ac:dyDescent="0.25">
      <c r="C64" s="49">
        <v>809868</v>
      </c>
      <c r="D64" s="49" t="s">
        <v>12</v>
      </c>
      <c r="E64" s="50">
        <v>1</v>
      </c>
      <c r="F64" s="51">
        <v>240.85</v>
      </c>
      <c r="G64" s="70">
        <f>IFERROR(SUMPRODUCT((TEXT(CC!$C$3:$C$1000,"0")=TEXT(C64,"0"))*IFERROR(CC!$E$3:$E$1000+0,0)),0)</f>
      </c>
      <c r="H64" s="56"/>
      <c r="I64" s="24" t="str">
        <f t="shared" si="5"/>
        <v/>
      </c>
      <c r="J64" s="34" cm="1">
        <f t="array" ref="J64">IFERROR(-_xlfn.IFS(OR(H64="y",H64="Y"),F64,AND(H64&lt;&gt;0,ISNUMBER(H64)),H64,G64&lt;&gt;0,G64),0)</f>
        <v>0</v>
      </c>
      <c r="K64" s="30" t="str">
        <f t="shared" si="10"/>
        <v/>
      </c>
      <c r="L64" s="57" t="str">
        <f>IF(C64&lt;&gt;"",_xlfn.XLOOKUP(TEXT(C64,"0"),TEXT(CC!$C$3:$C$1000,"0"),CC!$G$3:$G$1000,""),"")</f>
        <v/>
      </c>
    </row>
    <row r="65" spans="3:12" x14ac:dyDescent="0.25">
      <c r="C65" s="52">
        <v>809871</v>
      </c>
      <c r="D65" s="52" t="s">
        <v>12</v>
      </c>
      <c r="E65" s="53">
        <v>1</v>
      </c>
      <c r="F65" s="54">
        <v>192.6</v>
      </c>
      <c r="G65" s="70">
        <f>IFERROR(SUMPRODUCT((TEXT(CC!$C$3:$C$1000,"0")=TEXT(C65,"0"))*IFERROR(CC!$E$3:$E$1000+0,0)),0)</f>
      </c>
      <c r="H65" s="56"/>
      <c r="I65" s="24" t="str">
        <f t="shared" si="5"/>
        <v/>
      </c>
      <c r="J65" s="34" cm="1">
        <f t="array" ref="J65">IFERROR(-_xlfn.IFS(OR(H65="y",H65="Y"),F65,AND(H65&lt;&gt;0,ISNUMBER(H65)),H65,G65&lt;&gt;0,G65),0)</f>
        <v>0</v>
      </c>
      <c r="K65" s="30" t="str">
        <f t="shared" si="10"/>
        <v/>
      </c>
      <c r="L65" s="57" t="str">
        <f>IF(C65&lt;&gt;"",_xlfn.XLOOKUP(TEXT(C65,"0"),TEXT(CC!$C$3:$C$1000,"0"),CC!$G$3:$G$1000,""),"")</f>
        <v/>
      </c>
    </row>
    <row r="66" spans="3:12" x14ac:dyDescent="0.25">
      <c r="C66" s="49">
        <v>809873</v>
      </c>
      <c r="D66" s="49" t="s">
        <v>12</v>
      </c>
      <c r="E66" s="50">
        <v>1</v>
      </c>
      <c r="F66" s="51">
        <v>122.91</v>
      </c>
      <c r="G66" s="70">
        <f>IFERROR(SUMPRODUCT((TEXT(CC!$C$3:$C$1000,"0")=TEXT(C66,"0"))*IFERROR(CC!$E$3:$E$1000+0,0)),0)</f>
      </c>
      <c r="H66" s="56"/>
      <c r="I66" s="24" t="str">
        <f t="shared" si="5"/>
        <v/>
      </c>
      <c r="J66" s="34" cm="1">
        <f t="array" ref="J66">IFERROR(-_xlfn.IFS(OR(H66="y",H66="Y"),F66,AND(H66&lt;&gt;0,ISNUMBER(H66)),H66,G66&lt;&gt;0,G66),0)</f>
        <v>0</v>
      </c>
      <c r="K66" s="30" t="str">
        <f t="shared" si="10"/>
        <v/>
      </c>
      <c r="L66" s="57" t="str">
        <f>IF(C66&lt;&gt;"",_xlfn.XLOOKUP(TEXT(C66,"0"),TEXT(CC!$C$3:$C$1000,"0"),CC!$G$3:$G$1000,""),"")</f>
        <v/>
      </c>
    </row>
    <row r="67" spans="3:12" x14ac:dyDescent="0.25">
      <c r="C67" s="52">
        <v>809874</v>
      </c>
      <c r="D67" s="52" t="s">
        <v>12</v>
      </c>
      <c r="E67" s="53">
        <v>1</v>
      </c>
      <c r="F67" s="54">
        <v>199.85</v>
      </c>
      <c r="G67" s="70">
        <f>IFERROR(SUMPRODUCT((TEXT(CC!$C$3:$C$1000,"0")=TEXT(C67,"0"))*IFERROR(CC!$E$3:$E$1000+0,0)),0)</f>
      </c>
      <c r="H67" s="56"/>
      <c r="I67" s="24" t="str">
        <f t="shared" si="5"/>
        <v/>
      </c>
      <c r="J67" s="34" cm="1">
        <f t="array" ref="J67">IFERROR(-_xlfn.IFS(OR(H67="y",H67="Y"),F67,AND(H67&lt;&gt;0,ISNUMBER(H67)),H67,G67&lt;&gt;0,G67),0)</f>
        <v>0</v>
      </c>
      <c r="K67" s="30" t="str">
        <f t="shared" si="10"/>
        <v/>
      </c>
      <c r="L67" s="57" t="str">
        <f>IF(C67&lt;&gt;"",_xlfn.XLOOKUP(TEXT(C67,"0"),TEXT(CC!$C$3:$C$1000,"0"),CC!$G$3:$G$1000,""),"")</f>
        <v/>
      </c>
    </row>
    <row r="68" spans="3:12" x14ac:dyDescent="0.25">
      <c r="C68" s="49">
        <v>809875</v>
      </c>
      <c r="D68" s="49" t="s">
        <v>12</v>
      </c>
      <c r="E68" s="50">
        <v>1</v>
      </c>
      <c r="F68" s="51">
        <v>192.6</v>
      </c>
      <c r="G68" s="70">
        <f>IFERROR(SUMPRODUCT((TEXT(CC!$C$3:$C$1000,"0")=TEXT(C68,"0"))*IFERROR(CC!$E$3:$E$1000+0,0)),0)</f>
      </c>
      <c r="H68" s="56"/>
      <c r="I68" s="24" t="str">
        <f t="shared" si="5"/>
        <v/>
      </c>
      <c r="J68" s="34" cm="1">
        <f t="array" ref="J68">IFERROR(-_xlfn.IFS(OR(H68="y",H68="Y"),F68,AND(H68&lt;&gt;0,ISNUMBER(H68)),H68,G68&lt;&gt;0,G68),0)</f>
        <v>0</v>
      </c>
      <c r="K68" s="30" t="str">
        <f t="shared" si="10"/>
        <v/>
      </c>
      <c r="L68" s="57" t="str">
        <f>IF(C68&lt;&gt;"",_xlfn.XLOOKUP(TEXT(C68,"0"),TEXT(CC!$C$3:$C$1000,"0"),CC!$G$3:$G$1000,""),"")</f>
        <v/>
      </c>
    </row>
    <row r="69" spans="3:12" x14ac:dyDescent="0.25">
      <c r="C69" s="52">
        <v>809876</v>
      </c>
      <c r="D69" s="52" t="s">
        <v>12</v>
      </c>
      <c r="E69" s="53">
        <v>1</v>
      </c>
      <c r="F69" s="54">
        <v>-109.58</v>
      </c>
      <c r="G69" s="70">
        <f>IFERROR(SUMPRODUCT((TEXT(CC!$C$3:$C$1000,"0")=TEXT(C69,"0"))*IFERROR(CC!$E$3:$E$1000+0,0)),0)</f>
      </c>
      <c r="H69" s="56"/>
      <c r="I69" s="24" t="str">
        <f t="shared" si="5"/>
        <v/>
      </c>
      <c r="J69" s="34" cm="1">
        <f t="array" ref="J69">IFERROR(-_xlfn.IFS(OR(H69="y",H69="Y"),F69,AND(H69&lt;&gt;0,ISNUMBER(H69)),H69,G69&lt;&gt;0,G69),0)</f>
        <v>0</v>
      </c>
      <c r="K69" s="30" t="str">
        <f t="shared" si="10"/>
        <v/>
      </c>
      <c r="L69" s="57" t="str">
        <f>IF(C69&lt;&gt;"",_xlfn.XLOOKUP(TEXT(C69,"0"),TEXT(CC!$C$3:$C$1000,"0"),CC!$G$3:$G$1000,""),"")</f>
        <v/>
      </c>
    </row>
    <row r="70" spans="3:12" x14ac:dyDescent="0.25">
      <c r="C70" s="49" t="s">
        <v>32</v>
      </c>
      <c r="D70" s="49" t="s">
        <v>12</v>
      </c>
      <c r="E70" s="50">
        <v>1</v>
      </c>
      <c r="F70" s="51">
        <v>781.96</v>
      </c>
      <c r="G70" s="70">
        <f>IFERROR(SUMPRODUCT((TEXT(CC!$C$3:$C$1000,"0")=TEXT(C70,"0"))*IFERROR(CC!$E$3:$E$1000+0,0)),0)</f>
      </c>
      <c r="H70" s="56"/>
      <c r="I70" s="24" t="str">
        <f t="shared" si="5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10"/>
        <v/>
      </c>
      <c r="L70" s="57" t="str">
        <f>IF(C70&lt;&gt;"",_xlfn.XLOOKUP(TEXT(C70,"0"),TEXT(CC!$C$3:$C$1000,"0"),CC!$G$3:$G$1000,""),"")</f>
        <v/>
      </c>
    </row>
    <row r="71" spans="3:12" x14ac:dyDescent="0.25">
      <c r="C71" s="52" t="s">
        <v>31</v>
      </c>
      <c r="D71" s="52" t="s">
        <v>12</v>
      </c>
      <c r="E71" s="53">
        <v>1</v>
      </c>
      <c r="F71" s="54">
        <v>-581.02</v>
      </c>
      <c r="G71" s="70">
        <f>IFERROR(SUMPRODUCT((TEXT(CC!$C$3:$C$1000,"0")=TEXT(C71,"0"))*IFERROR(CC!$E$3:$E$1000+0,0)),0)</f>
      </c>
      <c r="H71" s="56"/>
      <c r="I71" s="24" t="str">
        <f t="shared" si="5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10"/>
        <v/>
      </c>
      <c r="L71" s="57" t="str">
        <f>IF(C71&lt;&gt;"",_xlfn.XLOOKUP(TEXT(C71,"0"),TEXT(CC!$C$3:$C$1000,"0"),CC!$G$3:$G$1000,""),"")</f>
        <v/>
      </c>
    </row>
    <row r="72" spans="3:12" x14ac:dyDescent="0.25">
      <c r="C72" s="49" t="s">
        <v>40</v>
      </c>
      <c r="D72" s="49" t="s">
        <v>12</v>
      </c>
      <c r="E72" s="50">
        <v>1</v>
      </c>
      <c r="F72" s="51">
        <v>-781.96</v>
      </c>
      <c r="G72" s="70">
        <f>IFERROR(SUMPRODUCT((TEXT(CC!$C$3:$C$1000,"0")=TEXT(C72,"0"))*IFERROR(CC!$E$3:$E$1000+0,0)),0)</f>
      </c>
      <c r="H72" s="56"/>
      <c r="I72" s="24" t="str">
        <f t="shared" si="5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10"/>
        <v/>
      </c>
      <c r="L72" s="57" t="str">
        <f>IF(C72&lt;&gt;"",_xlfn.XLOOKUP(TEXT(C72,"0"),TEXT(CC!$C$3:$C$1000,"0"),CC!$G$3:$G$1000,""),"")</f>
        <v/>
      </c>
    </row>
    <row r="73" spans="3:12" x14ac:dyDescent="0.25">
      <c r="C73" s="52" t="s">
        <v>26</v>
      </c>
      <c r="D73" s="52" t="s">
        <v>12</v>
      </c>
      <c r="E73" s="53">
        <v>1</v>
      </c>
      <c r="F73" s="54">
        <v>-65</v>
      </c>
      <c r="G73" s="70">
        <f>IFERROR(SUMPRODUCT((TEXT(CC!$C$3:$C$1000,"0")=TEXT(C73,"0"))*IFERROR(CC!$E$3:$E$1000+0,0)),0)</f>
      </c>
      <c r="H73" s="56"/>
      <c r="I73" s="24" t="str">
        <f t="shared" si="5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10"/>
        <v/>
      </c>
      <c r="L73" s="57" t="str">
        <f>IF(C73&lt;&gt;"",_xlfn.XLOOKUP(TEXT(C73,"0"),TEXT(CC!$C$3:$C$1000,"0"),CC!$G$3:$G$1000,""),"")</f>
        <v/>
      </c>
    </row>
    <row r="74" spans="3:12" x14ac:dyDescent="0.25">
      <c r="C74" s="49" t="s">
        <v>8</v>
      </c>
      <c r="D74" s="49" t="s">
        <v>12</v>
      </c>
      <c r="E74" s="50">
        <v>1</v>
      </c>
      <c r="F74" s="51">
        <v>-183.95</v>
      </c>
      <c r="G74" s="70">
        <f>IFERROR(SUMPRODUCT((TEXT(CC!$C$3:$C$1000,"0")=TEXT(C74,"0"))*IFERROR(CC!$E$3:$E$1000+0,0)),0)</f>
      </c>
      <c r="H74" s="56"/>
      <c r="I74" s="24" t="str">
        <f t="shared" si="5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10"/>
        <v/>
      </c>
      <c r="L74" s="57" t="str">
        <f>IF(C74&lt;&gt;"",_xlfn.XLOOKUP(TEXT(C74,"0"),TEXT(CC!$C$3:$C$1000,"0"),CC!$G$3:$G$1000,""),"")</f>
        <v/>
      </c>
    </row>
    <row r="75" spans="3:12" x14ac:dyDescent="0.25">
      <c r="C75" s="52" t="s">
        <v>11</v>
      </c>
      <c r="D75" s="52" t="s">
        <v>12</v>
      </c>
      <c r="E75" s="53">
        <v>1</v>
      </c>
      <c r="F75" s="54">
        <v>-112.43</v>
      </c>
      <c r="G75" s="70">
        <f>IFERROR(SUMPRODUCT((TEXT(CC!$C$3:$C$1000,"0")=TEXT(C75,"0"))*IFERROR(CC!$E$3:$E$1000+0,0)),0)</f>
      </c>
      <c r="H75" s="56"/>
      <c r="I75" s="24" t="str">
        <f t="shared" si="5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10"/>
        <v/>
      </c>
      <c r="L75" s="57" t="str">
        <f>IF(C75&lt;&gt;"",_xlfn.XLOOKUP(TEXT(C75,"0"),TEXT(CC!$C$3:$C$1000,"0"),CC!$G$3:$G$1000,""),"")</f>
        <v/>
      </c>
    </row>
    <row r="76" spans="3:12" x14ac:dyDescent="0.25">
      <c r="C76" s="49" t="s">
        <v>40</v>
      </c>
      <c r="D76" s="49" t="s">
        <v>12</v>
      </c>
      <c r="E76" s="50">
        <v>1</v>
      </c>
      <c r="F76" s="51">
        <v>-265.92</v>
      </c>
      <c r="G76" s="70">
        <f>IFERROR(SUMPRODUCT((TEXT(CC!$C$3:$C$1000,"0")=TEXT(C76,"0"))*IFERROR(CC!$E$3:$E$1000+0,0)),0)</f>
      </c>
      <c r="H76" s="56"/>
      <c r="I76" s="24" t="str">
        <f t="shared" si="5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10"/>
        <v/>
      </c>
      <c r="L76" s="57" t="str">
        <f>IF(C76&lt;&gt;"",_xlfn.XLOOKUP(TEXT(C76,"0"),TEXT(CC!$C$3:$C$1000,"0"),CC!$G$3:$G$1000,""),"")</f>
        <v/>
      </c>
    </row>
    <row r="77" spans="3:12" x14ac:dyDescent="0.25">
      <c r="C77" s="52" t="s">
        <v>26</v>
      </c>
      <c r="D77" s="52" t="s">
        <v>12</v>
      </c>
      <c r="E77" s="53">
        <v>1</v>
      </c>
      <c r="F77" s="54">
        <v>-436.68</v>
      </c>
      <c r="G77" s="70">
        <f>IFERROR(SUMPRODUCT((TEXT(CC!$C$3:$C$1000,"0")=TEXT(C77,"0"))*IFERROR(CC!$E$3:$E$1000+0,0)),0)</f>
      </c>
      <c r="H77" s="56"/>
      <c r="I77" s="24" t="str">
        <f t="shared" si="5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10"/>
        <v/>
      </c>
      <c r="L77" s="57" t="str">
        <f>IF(C77&lt;&gt;"",_xlfn.XLOOKUP(TEXT(C77,"0"),TEXT(CC!$C$3:$C$1000,"0"),CC!$G$3:$G$1000,""),"")</f>
        <v/>
      </c>
    </row>
    <row r="78" spans="3:12" x14ac:dyDescent="0.25">
      <c r="C78" s="49" t="s">
        <v>8</v>
      </c>
      <c r="D78" s="49" t="s">
        <v>12</v>
      </c>
      <c r="E78" s="50">
        <v>1</v>
      </c>
      <c r="F78" s="51">
        <v>-110</v>
      </c>
      <c r="G78" s="70">
        <f>IFERROR(SUMPRODUCT((TEXT(CC!$C$3:$C$1000,"0")=TEXT(C78,"0"))*IFERROR(CC!$E$3:$E$1000+0,0)),0)</f>
      </c>
      <c r="H78" s="56"/>
      <c r="I78" s="24" t="str">
        <f t="shared" si="5"/>
        <v/>
      </c>
      <c r="J78" s="34" cm="1">
        <f t="array" ref="J78">IFERROR(-_xlfn.IFS(OR(H78="y",H78="Y"),F78,AND(H78&lt;&gt;0,ISNUMBER(H78)),H78,G78&lt;&gt;0,G78),0)</f>
        <v>0</v>
      </c>
      <c r="K78" s="30" t="str">
        <f t="shared" ref="K78:K108" si="11">IF(J78&lt;&gt;0,C78,"")</f>
        <v/>
      </c>
      <c r="L78" s="57" t="str">
        <f>IF(C78&lt;&gt;"",_xlfn.XLOOKUP(TEXT(C78,"0"),TEXT(CC!$C$3:$C$1000,"0"),CC!$G$3:$G$1000,""),"")</f>
        <v/>
      </c>
    </row>
    <row r="79" spans="3:12" x14ac:dyDescent="0.25">
      <c r="C79" s="52" t="s">
        <v>11</v>
      </c>
      <c r="D79" s="52" t="s">
        <v>12</v>
      </c>
      <c r="E79" s="53">
        <v>1</v>
      </c>
      <c r="F79" s="54">
        <v>-141.02000000000001</v>
      </c>
      <c r="G79" s="70">
        <f>IFERROR(SUMPRODUCT((TEXT(CC!$C$3:$C$1000,"0")=TEXT(C79,"0"))*IFERROR(CC!$E$3:$E$1000+0,0)),0)</f>
      </c>
      <c r="H79" s="56"/>
      <c r="I79" s="24" t="str">
        <f t="shared" ref="I79:I142" si="12">IF(J79&lt;&gt;0,"511011","")</f>
        <v/>
      </c>
      <c r="J79" s="34" cm="1">
        <f t="array" ref="J79">IFERROR(-_xlfn.IFS(OR(H79="y",H79="Y"),F79,AND(H79&lt;&gt;0,ISNUMBER(H79)),H79,G79&lt;&gt;0,G79),0)</f>
        <v>0</v>
      </c>
      <c r="K79" s="30" t="str">
        <f t="shared" si="11"/>
        <v/>
      </c>
      <c r="L79" s="57" t="str">
        <f>IF(C79&lt;&gt;"",_xlfn.XLOOKUP(TEXT(C79,"0"),TEXT(CC!$C$3:$C$1000,"0"),CC!$G$3:$G$1000,""),"")</f>
        <v/>
      </c>
    </row>
    <row r="80" spans="3:12" x14ac:dyDescent="0.25">
      <c r="C80" s="49" t="s">
        <v>4</v>
      </c>
      <c r="D80" s="49" t="s">
        <v>12</v>
      </c>
      <c r="E80" s="50">
        <v>1</v>
      </c>
      <c r="F80" s="51">
        <v>-120.98</v>
      </c>
      <c r="G80" s="70">
        <f>IFERROR(SUMPRODUCT((TEXT(CC!$C$3:$C$1000,"0")=TEXT(C80,"0"))*IFERROR(CC!$E$3:$E$1000+0,0)),0)</f>
      </c>
      <c r="H80" s="56"/>
      <c r="I80" s="24" t="str">
        <f t="shared" si="12"/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11"/>
        <v/>
      </c>
      <c r="L80" s="57" t="str">
        <f>IF(C80&lt;&gt;"",_xlfn.XLOOKUP(TEXT(C80,"0"),TEXT(CC!$C$3:$C$1000,"0"),CC!$G$3:$G$1000,""),"")</f>
        <v/>
      </c>
    </row>
    <row r="81" spans="3:12" x14ac:dyDescent="0.25">
      <c r="C81" s="52" t="s">
        <v>23</v>
      </c>
      <c r="D81" s="52" t="s">
        <v>12</v>
      </c>
      <c r="E81" s="53">
        <v>1</v>
      </c>
      <c r="F81" s="54">
        <v>-77.38</v>
      </c>
      <c r="G81" s="70">
        <f>IFERROR(SUMPRODUCT((TEXT(CC!$C$3:$C$1000,"0")=TEXT(C81,"0"))*IFERROR(CC!$E$3:$E$1000+0,0)),0)</f>
      </c>
      <c r="H81" s="56"/>
      <c r="I81" s="24" t="str">
        <f t="shared" si="12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11"/>
        <v/>
      </c>
      <c r="L81" s="57" t="str">
        <f>IF(C81&lt;&gt;"",_xlfn.XLOOKUP(TEXT(C81,"0"),TEXT(CC!$C$3:$C$1000,"0"),CC!$G$3:$G$1000,""),"")</f>
        <v/>
      </c>
    </row>
    <row r="82" spans="3:12" x14ac:dyDescent="0.25">
      <c r="C82" s="49" t="s">
        <v>6</v>
      </c>
      <c r="D82" s="49" t="s">
        <v>12</v>
      </c>
      <c r="E82" s="50">
        <v>1</v>
      </c>
      <c r="F82" s="51">
        <v>74.61</v>
      </c>
      <c r="G82" s="70">
        <f>IFERROR(SUMPRODUCT((TEXT(CC!$C$3:$C$1000,"0")=TEXT(C82,"0"))*IFERROR(CC!$E$3:$E$1000+0,0)),0)</f>
      </c>
      <c r="H82" s="56"/>
      <c r="I82" s="24" t="str">
        <f t="shared" si="12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11"/>
        <v/>
      </c>
      <c r="L82" s="57" t="str">
        <f>IF(C82&lt;&gt;"",_xlfn.XLOOKUP(TEXT(C82,"0"),TEXT(CC!$C$3:$C$1000,"0"),CC!$G$3:$G$1000,""),"")</f>
        <v/>
      </c>
    </row>
    <row r="83" spans="3:12" x14ac:dyDescent="0.25">
      <c r="C83" s="52" t="s">
        <v>17</v>
      </c>
      <c r="D83" s="52" t="s">
        <v>12</v>
      </c>
      <c r="E83" s="53">
        <v>1</v>
      </c>
      <c r="F83" s="54">
        <v>-84.15</v>
      </c>
      <c r="G83" s="70">
        <f>IFERROR(SUMPRODUCT((TEXT(CC!$C$3:$C$1000,"0")=TEXT(C83,"0"))*IFERROR(CC!$E$3:$E$1000+0,0)),0)</f>
      </c>
      <c r="H83" s="56"/>
      <c r="I83" s="24" t="str">
        <f t="shared" si="12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11"/>
        <v/>
      </c>
      <c r="L83" s="57" t="str">
        <f>IF(C83&lt;&gt;"",_xlfn.XLOOKUP(TEXT(C83,"0"),TEXT(CC!$C$3:$C$1000,"0"),CC!$G$3:$G$1000,""),"")</f>
        <v/>
      </c>
    </row>
    <row r="84" spans="3:12" x14ac:dyDescent="0.25">
      <c r="C84" s="49" t="s">
        <v>0</v>
      </c>
      <c r="D84" s="49" t="s">
        <v>12</v>
      </c>
      <c r="E84" s="50">
        <v>1</v>
      </c>
      <c r="F84" s="51">
        <v>-152.35</v>
      </c>
      <c r="G84" s="70">
        <f>IFERROR(SUMPRODUCT((TEXT(CC!$C$3:$C$1000,"0")=TEXT(C84,"0"))*IFERROR(CC!$E$3:$E$1000+0,0)),0)</f>
      </c>
      <c r="H84" s="56"/>
      <c r="I84" s="24" t="str">
        <f t="shared" si="12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11"/>
        <v/>
      </c>
      <c r="L84" s="57" t="str">
        <f>IF(C84&lt;&gt;"",_xlfn.XLOOKUP(TEXT(C84,"0"),TEXT(CC!$C$3:$C$1000,"0"),CC!$G$3:$G$1000,""),"")</f>
        <v/>
      </c>
    </row>
    <row r="85" spans="3:12" x14ac:dyDescent="0.25">
      <c r="C85" s="52" t="s">
        <v>33</v>
      </c>
      <c r="D85" s="52" t="s">
        <v>12</v>
      </c>
      <c r="E85" s="53">
        <v>1</v>
      </c>
      <c r="F85" s="54">
        <v>-116.24</v>
      </c>
      <c r="G85" s="70">
        <f>IFERROR(SUMPRODUCT((TEXT(CC!$C$3:$C$1000,"0")=TEXT(C85,"0"))*IFERROR(CC!$E$3:$E$1000+0,0)),0)</f>
      </c>
      <c r="H85" s="56"/>
      <c r="I85" s="24" t="str">
        <f t="shared" si="12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11"/>
        <v/>
      </c>
      <c r="L85" s="57" t="str">
        <f>IF(C85&lt;&gt;"",_xlfn.XLOOKUP(TEXT(C85,"0"),TEXT(CC!$C$3:$C$1000,"0"),CC!$G$3:$G$1000,""),"")</f>
        <v/>
      </c>
    </row>
    <row r="86" spans="3:12" x14ac:dyDescent="0.25">
      <c r="C86" s="49" t="s">
        <v>25</v>
      </c>
      <c r="D86" s="49" t="s">
        <v>12</v>
      </c>
      <c r="E86" s="50">
        <v>1</v>
      </c>
      <c r="F86" s="51">
        <v>126.73</v>
      </c>
      <c r="G86" s="70">
        <f>IFERROR(SUMPRODUCT((TEXT(CC!$C$3:$C$1000,"0")=TEXT(C86,"0"))*IFERROR(CC!$E$3:$E$1000+0,0)),0)</f>
      </c>
      <c r="H86" s="56"/>
      <c r="I86" s="24" t="str">
        <f t="shared" si="12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11"/>
        <v/>
      </c>
      <c r="L86" s="57" t="str">
        <f>IF(C86&lt;&gt;"",_xlfn.XLOOKUP(TEXT(C86,"0"),TEXT(CC!$C$3:$C$1000,"0"),CC!$G$3:$G$1000,""),"")</f>
        <v/>
      </c>
    </row>
    <row r="87" spans="3:12" x14ac:dyDescent="0.25">
      <c r="C87" s="52" t="s">
        <v>21</v>
      </c>
      <c r="D87" s="52" t="s">
        <v>12</v>
      </c>
      <c r="E87" s="53">
        <v>1</v>
      </c>
      <c r="F87" s="54">
        <v>192.6</v>
      </c>
      <c r="G87" s="70">
        <f>IFERROR(SUMPRODUCT((TEXT(CC!$C$3:$C$1000,"0")=TEXT(C87,"0"))*IFERROR(CC!$E$3:$E$1000+0,0)),0)</f>
      </c>
      <c r="H87" s="56"/>
      <c r="I87" s="24" t="str">
        <f t="shared" si="12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11"/>
        <v/>
      </c>
      <c r="L87" s="57" t="str">
        <f>IF(C87&lt;&gt;"",_xlfn.XLOOKUP(TEXT(C87,"0"),TEXT(CC!$C$3:$C$1000,"0"),CC!$G$3:$G$1000,""),"")</f>
        <v/>
      </c>
    </row>
    <row r="88" spans="3:12" x14ac:dyDescent="0.25">
      <c r="C88" s="49" t="s">
        <v>29</v>
      </c>
      <c r="D88" s="49" t="s">
        <v>12</v>
      </c>
      <c r="E88" s="50">
        <v>1</v>
      </c>
      <c r="F88" s="51">
        <v>785.81</v>
      </c>
      <c r="G88" s="70">
        <f>IFERROR(SUMPRODUCT((TEXT(CC!$C$3:$C$1000,"0")=TEXT(C88,"0"))*IFERROR(CC!$E$3:$E$1000+0,0)),0)</f>
      </c>
      <c r="H88" s="56"/>
      <c r="I88" s="24" t="str">
        <f t="shared" si="12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11"/>
        <v/>
      </c>
      <c r="L88" s="57" t="str">
        <f>IF(C88&lt;&gt;"",_xlfn.XLOOKUP(TEXT(C88,"0"),TEXT(CC!$C$3:$C$1000,"0"),CC!$G$3:$G$1000,""),"")</f>
        <v/>
      </c>
    </row>
    <row r="89" spans="3:12" x14ac:dyDescent="0.25">
      <c r="C89" s="52" t="s">
        <v>18</v>
      </c>
      <c r="D89" s="52" t="s">
        <v>12</v>
      </c>
      <c r="E89" s="53">
        <v>1</v>
      </c>
      <c r="F89" s="54">
        <v>176.55</v>
      </c>
      <c r="G89" s="70">
        <f>IFERROR(SUMPRODUCT((TEXT(CC!$C$3:$C$1000,"0")=TEXT(C89,"0"))*IFERROR(CC!$E$3:$E$1000+0,0)),0)</f>
      </c>
      <c r="H89" s="56"/>
      <c r="I89" s="24" t="str">
        <f t="shared" si="12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11"/>
        <v/>
      </c>
      <c r="L89" s="57" t="str">
        <f>IF(C89&lt;&gt;"",_xlfn.XLOOKUP(TEXT(C89,"0"),TEXT(CC!$C$3:$C$1000,"0"),CC!$G$3:$G$1000,""),"")</f>
        <v/>
      </c>
    </row>
    <row r="90" spans="3:12" x14ac:dyDescent="0.25">
      <c r="C90" s="49" t="s">
        <v>7</v>
      </c>
      <c r="D90" s="49" t="s">
        <v>12</v>
      </c>
      <c r="E90" s="50">
        <v>1</v>
      </c>
      <c r="F90" s="51">
        <v>443.8</v>
      </c>
      <c r="G90" s="70">
        <f>IFERROR(SUMPRODUCT((TEXT(CC!$C$3:$C$1000,"0")=TEXT(C90,"0"))*IFERROR(CC!$E$3:$E$1000+0,0)),0)</f>
      </c>
      <c r="H90" s="56"/>
      <c r="I90" s="24" t="str">
        <f t="shared" si="12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11"/>
        <v/>
      </c>
      <c r="L90" s="57" t="str">
        <f>IF(C90&lt;&gt;"",_xlfn.XLOOKUP(TEXT(C90,"0"),TEXT(CC!$C$3:$C$1000,"0"),CC!$G$3:$G$1000,""),"")</f>
        <v/>
      </c>
    </row>
    <row r="91" spans="3:12" x14ac:dyDescent="0.25">
      <c r="C91" s="52" t="s">
        <v>15</v>
      </c>
      <c r="D91" s="52" t="s">
        <v>12</v>
      </c>
      <c r="E91" s="53">
        <v>1</v>
      </c>
      <c r="F91" s="54">
        <v>160.12</v>
      </c>
      <c r="G91" s="70">
        <f>IFERROR(SUMPRODUCT((TEXT(CC!$C$3:$C$1000,"0")=TEXT(C91,"0"))*IFERROR(CC!$E$3:$E$1000+0,0)),0)</f>
      </c>
      <c r="H91" s="56"/>
      <c r="I91" s="24" t="str">
        <f t="shared" si="12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11"/>
        <v/>
      </c>
      <c r="L91" s="57" t="str">
        <f>IF(C91&lt;&gt;"",_xlfn.XLOOKUP(TEXT(C91,"0"),TEXT(CC!$C$3:$C$1000,"0"),CC!$G$3:$G$1000,""),"")</f>
        <v/>
      </c>
    </row>
    <row r="92" spans="3:12" x14ac:dyDescent="0.25">
      <c r="C92" s="49" t="s">
        <v>34</v>
      </c>
      <c r="D92" s="49" t="s">
        <v>12</v>
      </c>
      <c r="E92" s="50">
        <v>1</v>
      </c>
      <c r="F92" s="51">
        <v>148.12</v>
      </c>
      <c r="G92" s="70">
        <f>IFERROR(SUMPRODUCT((TEXT(CC!$C$3:$C$1000,"0")=TEXT(C92,"0"))*IFERROR(CC!$E$3:$E$1000+0,0)),0)</f>
      </c>
      <c r="H92" s="56"/>
      <c r="I92" s="24" t="str">
        <f t="shared" si="12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11"/>
        <v/>
      </c>
      <c r="L92" s="57" t="str">
        <f>IF(C92&lt;&gt;"",_xlfn.XLOOKUP(TEXT(C92,"0"),TEXT(CC!$C$3:$C$1000,"0"),CC!$G$3:$G$1000,""),"")</f>
        <v/>
      </c>
    </row>
    <row r="93" spans="3:12" x14ac:dyDescent="0.25">
      <c r="C93" s="52" t="s">
        <v>30</v>
      </c>
      <c r="D93" s="52" t="s">
        <v>12</v>
      </c>
      <c r="E93" s="53">
        <v>1</v>
      </c>
      <c r="F93" s="54">
        <v>136.84</v>
      </c>
      <c r="G93" s="70">
        <f>IFERROR(SUMPRODUCT((TEXT(CC!$C$3:$C$1000,"0")=TEXT(C93,"0"))*IFERROR(CC!$E$3:$E$1000+0,0)),0)</f>
      </c>
      <c r="H93" s="56"/>
      <c r="I93" s="24" t="str">
        <f t="shared" si="12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11"/>
        <v/>
      </c>
      <c r="L93" s="57" t="str">
        <f>IF(C93&lt;&gt;"",_xlfn.XLOOKUP(TEXT(C93,"0"),TEXT(CC!$C$3:$C$1000,"0"),CC!$G$3:$G$1000,""),"")</f>
        <v/>
      </c>
    </row>
    <row r="94" spans="3:12" x14ac:dyDescent="0.25">
      <c r="C94" s="49" t="s">
        <v>22</v>
      </c>
      <c r="D94" s="49" t="s">
        <v>12</v>
      </c>
      <c r="E94" s="50">
        <v>1</v>
      </c>
      <c r="F94" s="51">
        <v>204.51</v>
      </c>
      <c r="G94" s="70">
        <f>IFERROR(SUMPRODUCT((TEXT(CC!$C$3:$C$1000,"0")=TEXT(C94,"0"))*IFERROR(CC!$E$3:$E$1000+0,0)),0)</f>
      </c>
      <c r="H94" s="56"/>
      <c r="I94" s="24" t="str">
        <f t="shared" si="12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11"/>
        <v/>
      </c>
      <c r="L94" s="57" t="str">
        <f>IF(C94&lt;&gt;"",_xlfn.XLOOKUP(TEXT(C94,"0"),TEXT(CC!$C$3:$C$1000,"0"),CC!$G$3:$G$1000,""),"")</f>
        <v/>
      </c>
    </row>
    <row r="95" spans="3:12" x14ac:dyDescent="0.25">
      <c r="C95" s="52" t="s">
        <v>42</v>
      </c>
      <c r="D95" s="52" t="s">
        <v>12</v>
      </c>
      <c r="E95" s="53">
        <v>1</v>
      </c>
      <c r="F95" s="54">
        <v>394.74</v>
      </c>
      <c r="G95" s="70">
        <f>IFERROR(SUMPRODUCT((TEXT(CC!$C$3:$C$1000,"0")=TEXT(C95,"0"))*IFERROR(CC!$E$3:$E$1000+0,0)),0)</f>
      </c>
      <c r="H95" s="56"/>
      <c r="I95" s="24" t="str">
        <f t="shared" si="12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11"/>
        <v/>
      </c>
      <c r="L95" s="57" t="str">
        <f>IF(C95&lt;&gt;"",_xlfn.XLOOKUP(TEXT(C95,"0"),TEXT(CC!$C$3:$C$1000,"0"),CC!$G$3:$G$1000,""),"")</f>
        <v/>
      </c>
    </row>
    <row r="96" spans="3:12" x14ac:dyDescent="0.25">
      <c r="C96" s="49" t="s">
        <v>36</v>
      </c>
      <c r="D96" s="49" t="s">
        <v>12</v>
      </c>
      <c r="E96" s="50">
        <v>1</v>
      </c>
      <c r="F96" s="51">
        <v>98.39</v>
      </c>
      <c r="G96" s="70">
        <f>IFERROR(SUMPRODUCT((TEXT(CC!$C$3:$C$1000,"0")=TEXT(C96,"0"))*IFERROR(CC!$E$3:$E$1000+0,0)),0)</f>
      </c>
      <c r="H96" s="56"/>
      <c r="I96" s="24" t="str">
        <f t="shared" si="12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11"/>
        <v/>
      </c>
      <c r="L96" s="57" t="str">
        <f>IF(C96&lt;&gt;"",_xlfn.XLOOKUP(TEXT(C96,"0"),TEXT(CC!$C$3:$C$1000,"0"),CC!$G$3:$G$1000,""),"")</f>
        <v/>
      </c>
    </row>
    <row r="97" spans="3:12" x14ac:dyDescent="0.25">
      <c r="C97" s="52" t="s">
        <v>1</v>
      </c>
      <c r="D97" s="52" t="s">
        <v>12</v>
      </c>
      <c r="E97" s="53">
        <v>1</v>
      </c>
      <c r="F97" s="54">
        <v>156.43</v>
      </c>
      <c r="G97" s="70">
        <f>IFERROR(SUMPRODUCT((TEXT(CC!$C$3:$C$1000,"0")=TEXT(C97,"0"))*IFERROR(CC!$E$3:$E$1000+0,0)),0)</f>
      </c>
      <c r="H97" s="56"/>
      <c r="I97" s="24" t="str">
        <f t="shared" si="12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11"/>
        <v/>
      </c>
      <c r="L97" s="57" t="str">
        <f>IF(C97&lt;&gt;"",_xlfn.XLOOKUP(TEXT(C97,"0"),TEXT(CC!$C$3:$C$1000,"0"),CC!$G$3:$G$1000,""),"")</f>
        <v/>
      </c>
    </row>
    <row r="98" spans="3:12" x14ac:dyDescent="0.25">
      <c r="C98" s="49" t="s">
        <v>35</v>
      </c>
      <c r="D98" s="49" t="s">
        <v>12</v>
      </c>
      <c r="E98" s="50">
        <v>1</v>
      </c>
      <c r="F98" s="51">
        <v>116.24</v>
      </c>
      <c r="G98" s="70">
        <f>IFERROR(SUMPRODUCT((TEXT(CC!$C$3:$C$1000,"0")=TEXT(C98,"0"))*IFERROR(CC!$E$3:$E$1000+0,0)),0)</f>
      </c>
      <c r="H98" s="56"/>
      <c r="I98" s="24" t="str">
        <f t="shared" si="12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11"/>
        <v/>
      </c>
      <c r="L98" s="57" t="str">
        <f>IF(C98&lt;&gt;"",_xlfn.XLOOKUP(TEXT(C98,"0"),TEXT(CC!$C$3:$C$1000,"0"),CC!$G$3:$G$1000,""),"")</f>
        <v/>
      </c>
    </row>
    <row r="99" spans="3:12" x14ac:dyDescent="0.25">
      <c r="C99" s="52" t="s">
        <v>24</v>
      </c>
      <c r="D99" s="52" t="s">
        <v>12</v>
      </c>
      <c r="E99" s="53">
        <v>1</v>
      </c>
      <c r="F99" s="54">
        <v>192.6</v>
      </c>
      <c r="G99" s="70">
        <f>IFERROR(SUMPRODUCT((TEXT(CC!$C$3:$C$1000,"0")=TEXT(C99,"0"))*IFERROR(CC!$E$3:$E$1000+0,0)),0)</f>
      </c>
      <c r="H99" s="56"/>
      <c r="I99" s="24" t="str">
        <f t="shared" si="12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11"/>
        <v/>
      </c>
      <c r="L99" s="57" t="str">
        <f>IF(C99&lt;&gt;"",_xlfn.XLOOKUP(TEXT(C99,"0"),TEXT(CC!$C$3:$C$1000,"0"),CC!$G$3:$G$1000,""),"")</f>
        <v/>
      </c>
    </row>
    <row r="100" spans="3:12" x14ac:dyDescent="0.25">
      <c r="C100" s="49" t="s">
        <v>38</v>
      </c>
      <c r="D100" s="49" t="s">
        <v>12</v>
      </c>
      <c r="E100" s="50">
        <v>1</v>
      </c>
      <c r="F100" s="51">
        <v>142.46</v>
      </c>
      <c r="G100" s="70">
        <f>IFERROR(SUMPRODUCT((TEXT(CC!$C$3:$C$1000,"0")=TEXT(C100,"0"))*IFERROR(CC!$E$3:$E$1000+0,0)),0)</f>
      </c>
      <c r="H100" s="56"/>
      <c r="I100" s="24" t="str">
        <f t="shared" si="12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11"/>
        <v/>
      </c>
      <c r="L100" s="57" t="str">
        <f>IF(C100&lt;&gt;"",_xlfn.XLOOKUP(TEXT(C100,"0"),TEXT(CC!$C$3:$C$1000,"0"),CC!$G$3:$G$1000,""),"")</f>
        <v/>
      </c>
    </row>
    <row r="101" spans="3:12" x14ac:dyDescent="0.25">
      <c r="C101" s="52" t="s">
        <v>5</v>
      </c>
      <c r="D101" s="52" t="s">
        <v>12</v>
      </c>
      <c r="E101" s="53">
        <v>1</v>
      </c>
      <c r="F101" s="54">
        <v>152.35</v>
      </c>
      <c r="G101" s="70">
        <f>IFERROR(SUMPRODUCT((TEXT(CC!$C$3:$C$1000,"0")=TEXT(C101,"0"))*IFERROR(CC!$E$3:$E$1000+0,0)),0)</f>
      </c>
      <c r="H101" s="56"/>
      <c r="I101" s="24" t="str">
        <f t="shared" si="12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11"/>
        <v/>
      </c>
      <c r="L101" s="57" t="str">
        <f>IF(C101&lt;&gt;"",_xlfn.XLOOKUP(TEXT(C101,"0"),TEXT(CC!$C$3:$C$1000,"0"),CC!$G$3:$G$1000,""),"")</f>
        <v/>
      </c>
    </row>
    <row r="102" spans="3:12" x14ac:dyDescent="0.25">
      <c r="C102" s="49" t="s">
        <v>2</v>
      </c>
      <c r="D102" s="49" t="s">
        <v>12</v>
      </c>
      <c r="E102" s="50">
        <v>1</v>
      </c>
      <c r="F102" s="51">
        <v>142.52000000000001</v>
      </c>
      <c r="G102" s="70">
        <f>IFERROR(SUMPRODUCT((TEXT(CC!$C$3:$C$1000,"0")=TEXT(C102,"0"))*IFERROR(CC!$E$3:$E$1000+0,0)),0)</f>
      </c>
      <c r="H102" s="56"/>
      <c r="I102" s="24" t="str">
        <f t="shared" si="12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11"/>
        <v/>
      </c>
      <c r="L102" s="57" t="str">
        <f>IF(C102&lt;&gt;"",_xlfn.XLOOKUP(TEXT(C102,"0"),TEXT(CC!$C$3:$C$1000,"0"),CC!$G$3:$G$1000,""),"")</f>
        <v/>
      </c>
    </row>
    <row r="103" spans="3:12" x14ac:dyDescent="0.25">
      <c r="C103" s="52" t="s">
        <v>27</v>
      </c>
      <c r="D103" s="52" t="s">
        <v>12</v>
      </c>
      <c r="E103" s="53">
        <v>1</v>
      </c>
      <c r="F103" s="54">
        <v>72.72</v>
      </c>
      <c r="G103" s="70">
        <f>IFERROR(SUMPRODUCT((TEXT(CC!$C$3:$C$1000,"0")=TEXT(C103,"0"))*IFERROR(CC!$E$3:$E$1000+0,0)),0)</f>
      </c>
      <c r="H103" s="56"/>
      <c r="I103" s="24" t="str">
        <f t="shared" si="12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11"/>
        <v/>
      </c>
      <c r="L103" s="57" t="str">
        <f>IF(C103&lt;&gt;"",_xlfn.XLOOKUP(TEXT(C103,"0"),TEXT(CC!$C$3:$C$1000,"0"),CC!$G$3:$G$1000,""),"")</f>
        <v/>
      </c>
    </row>
    <row r="104" spans="3:12" x14ac:dyDescent="0.25">
      <c r="C104" s="49" t="s">
        <v>20</v>
      </c>
      <c r="D104" s="49" t="s">
        <v>12</v>
      </c>
      <c r="E104" s="50">
        <v>1</v>
      </c>
      <c r="F104" s="51">
        <v>240.78</v>
      </c>
      <c r="G104" s="70">
        <f>IFERROR(SUMPRODUCT((TEXT(CC!$C$3:$C$1000,"0")=TEXT(C104,"0"))*IFERROR(CC!$E$3:$E$1000+0,0)),0)</f>
      </c>
      <c r="H104" s="56"/>
      <c r="I104" s="24" t="str">
        <f t="shared" si="12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11"/>
        <v/>
      </c>
      <c r="L104" s="57" t="str">
        <f>IF(C104&lt;&gt;"",_xlfn.XLOOKUP(TEXT(C104,"0"),TEXT(CC!$C$3:$C$1000,"0"),CC!$G$3:$G$1000,""),"")</f>
        <v/>
      </c>
    </row>
    <row r="105" spans="3:12" x14ac:dyDescent="0.25">
      <c r="C105" s="52" t="s">
        <v>14</v>
      </c>
      <c r="D105" s="52" t="s">
        <v>12</v>
      </c>
      <c r="E105" s="53">
        <v>1</v>
      </c>
      <c r="F105" s="54">
        <v>19.78</v>
      </c>
      <c r="G105" s="70">
        <f>IFERROR(SUMPRODUCT((TEXT(CC!$C$3:$C$1000,"0")=TEXT(C105,"0"))*IFERROR(CC!$E$3:$E$1000+0,0)),0)</f>
      </c>
      <c r="H105" s="56"/>
      <c r="I105" s="24" t="str">
        <f t="shared" si="12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11"/>
        <v/>
      </c>
      <c r="L105" s="57" t="str">
        <f>IF(C105&lt;&gt;"",_xlfn.XLOOKUP(TEXT(C105,"0"),TEXT(CC!$C$3:$C$1000,"0"),CC!$G$3:$G$1000,""),"")</f>
        <v/>
      </c>
    </row>
    <row r="106" spans="3:12" x14ac:dyDescent="0.25">
      <c r="C106" s="49" t="s">
        <v>16</v>
      </c>
      <c r="D106" s="49" t="s">
        <v>12</v>
      </c>
      <c r="E106" s="50">
        <v>1</v>
      </c>
      <c r="F106" s="51">
        <v>19.78</v>
      </c>
      <c r="G106" s="70">
        <f>IFERROR(SUMPRODUCT((TEXT(CC!$C$3:$C$1000,"0")=TEXT(C106,"0"))*IFERROR(CC!$E$3:$E$1000+0,0)),0)</f>
      </c>
      <c r="H106" s="56"/>
      <c r="I106" s="24" t="str">
        <f t="shared" si="12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11"/>
        <v/>
      </c>
      <c r="L106" s="57" t="str">
        <f>IF(C106&lt;&gt;"",_xlfn.XLOOKUP(TEXT(C106,"0"),TEXT(CC!$C$3:$C$1000,"0"),CC!$G$3:$G$1000,""),"")</f>
        <v/>
      </c>
    </row>
    <row r="107" spans="3:12" x14ac:dyDescent="0.25">
      <c r="C107" s="52" t="s">
        <v>13</v>
      </c>
      <c r="D107" s="52" t="s">
        <v>12</v>
      </c>
      <c r="E107" s="53">
        <v>1</v>
      </c>
      <c r="F107" s="54">
        <v>32.049999999999997</v>
      </c>
      <c r="G107" s="70">
        <f>IFERROR(SUMPRODUCT((TEXT(CC!$C$3:$C$1000,"0")=TEXT(C107,"0"))*IFERROR(CC!$E$3:$E$1000+0,0)),0)</f>
      </c>
      <c r="H107" s="56"/>
      <c r="I107" s="24" t="str">
        <f t="shared" si="12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11"/>
        <v/>
      </c>
      <c r="L107" s="57" t="str">
        <f>IF(C107&lt;&gt;"",_xlfn.XLOOKUP(TEXT(C107,"0"),TEXT(CC!$C$3:$C$1000,"0"),CC!$G$3:$G$1000,""),"")</f>
        <v/>
      </c>
    </row>
    <row r="108" spans="3:12" x14ac:dyDescent="0.25">
      <c r="C108" s="49" t="s">
        <v>28</v>
      </c>
      <c r="D108" s="49" t="s">
        <v>12</v>
      </c>
      <c r="E108" s="50">
        <v>1</v>
      </c>
      <c r="F108" s="51">
        <v>-38700.39</v>
      </c>
      <c r="G108" s="70">
        <f>IFERROR(SUMPRODUCT((TEXT(CC!$C$3:$C$1000,"0")=TEXT(C108,"0"))*IFERROR(CC!$E$3:$E$1000+0,0)),0)</f>
      </c>
      <c r="H108" s="56"/>
      <c r="I108" s="24" t="str">
        <f t="shared" si="12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11"/>
        <v/>
      </c>
      <c r="L108" s="57" t="str">
        <f>IF(C108&lt;&gt;"",_xlfn.XLOOKUP(TEXT(C108,"0"),TEXT(CC!$C$3:$C$1000,"0"),CC!$G$3:$G$1000,""),"")</f>
        <v/>
      </c>
    </row>
    <row r="109" spans="3:12" x14ac:dyDescent="0.25">
      <c r="G109" s="70">
        <f>IFERROR(SUMPRODUCT((TEXT(CC!$C$3:$C$1000,"0")=TEXT(C109,"0"))*IFERROR(CC!$E$3:$E$1000+0,0)),0)</f>
      </c>
      <c r="H109" s="56"/>
      <c r="I109" s="24" t="str">
        <f t="shared" si="12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3">IF(J109&lt;&gt;0,C109,"")</f>
        <v/>
      </c>
      <c r="L109" s="57" t="str">
        <f>IF(C109&lt;&gt;"",_xlfn.XLOOKUP(TEXT(C109,"0"),TEXT(CC!$C$3:$C$1000,"0"),CC!$G$3:$G$1000,""),"")</f>
        <v/>
      </c>
    </row>
    <row r="110" spans="3:12" x14ac:dyDescent="0.25">
      <c r="G110" s="70">
        <f>IFERROR(SUMPRODUCT((TEXT(CC!$C$3:$C$1000,"0")=TEXT(C110,"0"))*IFERROR(CC!$E$3:$E$1000+0,0)),0)</f>
      </c>
      <c r="H110" s="56"/>
      <c r="I110" s="24" t="str">
        <f t="shared" si="12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3"/>
        <v/>
      </c>
      <c r="L110" s="57" t="str">
        <f>IF(C110&lt;&gt;"",_xlfn.XLOOKUP(TEXT(C110,"0"),TEXT(CC!$C$3:$C$1000,"0"),CC!$G$3:$G$1000,""),"")</f>
        <v/>
      </c>
    </row>
    <row r="111" spans="3:12" x14ac:dyDescent="0.25">
      <c r="G111" s="70">
        <f>IFERROR(SUMPRODUCT((TEXT(CC!$C$3:$C$1000,"0")=TEXT(C111,"0"))*IFERROR(CC!$E$3:$E$1000+0,0)),0)</f>
      </c>
      <c r="H111" s="56"/>
      <c r="I111" s="24" t="str">
        <f t="shared" si="12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3"/>
        <v/>
      </c>
      <c r="L111" s="57" t="str">
        <f>IF(C111&lt;&gt;"",_xlfn.XLOOKUP(TEXT(C111,"0"),TEXT(CC!$C$3:$C$1000,"0"),CC!$G$3:$G$1000,""),"")</f>
        <v/>
      </c>
    </row>
    <row r="112" spans="3:12" x14ac:dyDescent="0.25">
      <c r="G112" s="70">
        <f>IFERROR(SUMPRODUCT((TEXT(CC!$C$3:$C$1000,"0")=TEXT(C112,"0"))*IFERROR(CC!$E$3:$E$1000+0,0)),0)</f>
      </c>
      <c r="H112" s="56"/>
      <c r="I112" s="24" t="str">
        <f t="shared" si="12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3"/>
        <v/>
      </c>
      <c r="L112" s="57" t="str">
        <f>IF(C112&lt;&gt;"",_xlfn.XLOOKUP(TEXT(C112,"0"),TEXT(CC!$C$3:$C$1000,"0"),CC!$G$3:$G$1000,""),"")</f>
        <v/>
      </c>
    </row>
    <row r="113" spans="7:12" x14ac:dyDescent="0.25">
      <c r="G113" s="70">
        <f>IFERROR(SUMPRODUCT((TEXT(CC!$C$3:$C$1000,"0")=TEXT(C113,"0"))*IFERROR(CC!$E$3:$E$1000+0,0)),0)</f>
      </c>
      <c r="H113" s="56"/>
      <c r="I113" s="24" t="str">
        <f t="shared" si="12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3"/>
        <v/>
      </c>
      <c r="L113" s="57" t="str">
        <f>IF(C113&lt;&gt;"",_xlfn.XLOOKUP(TEXT(C113,"0"),TEXT(CC!$C$3:$C$1000,"0"),CC!$G$3:$G$1000,""),"")</f>
        <v/>
      </c>
    </row>
    <row r="114" spans="7:12" x14ac:dyDescent="0.25">
      <c r="G114" s="70">
        <f>IFERROR(SUMPRODUCT((TEXT(CC!$C$3:$C$1000,"0")=TEXT(C114,"0"))*IFERROR(CC!$E$3:$E$1000+0,0)),0)</f>
      </c>
      <c r="H114" s="56"/>
      <c r="I114" s="24" t="str">
        <f t="shared" si="12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3"/>
        <v/>
      </c>
      <c r="L114" s="57" t="str">
        <f>IF(C114&lt;&gt;"",_xlfn.XLOOKUP(TEXT(C114,"0"),TEXT(CC!$C$3:$C$1000,"0"),CC!$G$3:$G$1000,""),"")</f>
        <v/>
      </c>
    </row>
    <row r="115" spans="7:12" x14ac:dyDescent="0.25">
      <c r="G115" s="70">
        <f>IFERROR(SUMPRODUCT((TEXT(CC!$C$3:$C$1000,"0")=TEXT(C115,"0"))*IFERROR(CC!$E$3:$E$1000+0,0)),0)</f>
      </c>
      <c r="H115" s="56"/>
      <c r="I115" s="24" t="str">
        <f t="shared" si="12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3"/>
        <v/>
      </c>
      <c r="L115" s="57" t="str">
        <f>IF(C115&lt;&gt;"",_xlfn.XLOOKUP(TEXT(C115,"0"),TEXT(CC!$C$3:$C$1000,"0"),CC!$G$3:$G$1000,""),"")</f>
        <v/>
      </c>
    </row>
    <row r="116" spans="7:12" x14ac:dyDescent="0.25">
      <c r="G116" s="70">
        <f>IFERROR(SUMPRODUCT((TEXT(CC!$C$3:$C$1000,"0")=TEXT(C116,"0"))*IFERROR(CC!$E$3:$E$1000+0,0)),0)</f>
      </c>
      <c r="H116" s="56"/>
      <c r="I116" s="24" t="str">
        <f t="shared" si="12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3"/>
        <v/>
      </c>
      <c r="L116" s="57" t="str">
        <f>IF(C116&lt;&gt;"",_xlfn.XLOOKUP(TEXT(C116,"0"),TEXT(CC!$C$3:$C$1000,"0"),CC!$G$3:$G$1000,""),"")</f>
        <v/>
      </c>
    </row>
    <row r="117" spans="7:12" x14ac:dyDescent="0.25">
      <c r="G117" s="70">
        <f>IFERROR(SUMPRODUCT((TEXT(CC!$C$3:$C$1000,"0")=TEXT(C117,"0"))*IFERROR(CC!$E$3:$E$1000+0,0)),0)</f>
      </c>
      <c r="H117" s="56"/>
      <c r="I117" s="24" t="str">
        <f t="shared" si="12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3"/>
        <v/>
      </c>
      <c r="L117" s="57" t="str">
        <f>IF(C117&lt;&gt;"",_xlfn.XLOOKUP(TEXT(C117,"0"),TEXT(CC!$C$3:$C$1000,"0"),CC!$G$3:$G$1000,""),"")</f>
        <v/>
      </c>
    </row>
    <row r="118" spans="7:12" x14ac:dyDescent="0.25">
      <c r="G118" s="70">
        <f>IFERROR(SUMPRODUCT((TEXT(CC!$C$3:$C$1000,"0")=TEXT(C118,"0"))*IFERROR(CC!$E$3:$E$1000+0,0)),0)</f>
      </c>
      <c r="H118" s="56"/>
      <c r="I118" s="24" t="str">
        <f t="shared" si="12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3"/>
        <v/>
      </c>
      <c r="L118" s="57" t="str">
        <f>IF(C118&lt;&gt;"",_xlfn.XLOOKUP(TEXT(C118,"0"),TEXT(CC!$C$3:$C$1000,"0"),CC!$G$3:$G$1000,""),"")</f>
        <v/>
      </c>
    </row>
    <row r="119" spans="7:12" x14ac:dyDescent="0.25">
      <c r="G119" s="70">
        <f>IFERROR(SUMPRODUCT((TEXT(CC!$C$3:$C$1000,"0")=TEXT(C119,"0"))*IFERROR(CC!$E$3:$E$1000+0,0)),0)</f>
      </c>
      <c r="H119" s="56"/>
      <c r="I119" s="24" t="str">
        <f t="shared" si="12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3"/>
        <v/>
      </c>
      <c r="L119" s="57" t="str">
        <f>IF(C119&lt;&gt;"",_xlfn.XLOOKUP(TEXT(C119,"0"),TEXT(CC!$C$3:$C$1000,"0"),CC!$G$3:$G$1000,""),"")</f>
        <v/>
      </c>
    </row>
    <row r="120" spans="7:12" x14ac:dyDescent="0.25">
      <c r="G120" s="70">
        <f>IFERROR(SUMPRODUCT((TEXT(CC!$C$3:$C$1000,"0")=TEXT(C120,"0"))*IFERROR(CC!$E$3:$E$1000+0,0)),0)</f>
      </c>
      <c r="H120" s="56"/>
      <c r="I120" s="24" t="str">
        <f t="shared" si="12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3"/>
        <v/>
      </c>
      <c r="L120" s="57" t="str">
        <f>IF(C120&lt;&gt;"",_xlfn.XLOOKUP(TEXT(C120,"0"),TEXT(CC!$C$3:$C$1000,"0"),CC!$G$3:$G$1000,""),"")</f>
        <v/>
      </c>
    </row>
    <row r="121" spans="7:12" x14ac:dyDescent="0.25">
      <c r="G121" s="70">
        <f>IFERROR(SUMPRODUCT((TEXT(CC!$C$3:$C$1000,"0")=TEXT(C121,"0"))*IFERROR(CC!$E$3:$E$1000+0,0)),0)</f>
      </c>
      <c r="H121" s="56"/>
      <c r="I121" s="24" t="str">
        <f t="shared" si="12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3"/>
        <v/>
      </c>
      <c r="L121" s="57" t="str">
        <f>IF(C121&lt;&gt;"",_xlfn.XLOOKUP(TEXT(C121,"0"),TEXT(CC!$C$3:$C$1000,"0"),CC!$G$3:$G$1000,""),"")</f>
        <v/>
      </c>
    </row>
    <row r="122" spans="7:12" x14ac:dyDescent="0.25">
      <c r="G122" s="70">
        <f>IFERROR(SUMPRODUCT((TEXT(CC!$C$3:$C$1000,"0")=TEXT(C122,"0"))*IFERROR(CC!$E$3:$E$1000+0,0)),0)</f>
      </c>
      <c r="H122" s="56"/>
      <c r="I122" s="24" t="str">
        <f t="shared" si="12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3"/>
        <v/>
      </c>
      <c r="L122" s="57" t="str">
        <f>IF(C122&lt;&gt;"",_xlfn.XLOOKUP(TEXT(C122,"0"),TEXT(CC!$C$3:$C$1000,"0"),CC!$G$3:$G$1000,""),"")</f>
        <v/>
      </c>
    </row>
    <row r="123" spans="7:12" x14ac:dyDescent="0.25">
      <c r="G123" s="70">
        <f>IFERROR(SUMPRODUCT((TEXT(CC!$C$3:$C$1000,"0")=TEXT(C123,"0"))*IFERROR(CC!$E$3:$E$1000+0,0)),0)</f>
      </c>
      <c r="H123" s="56"/>
      <c r="I123" s="24" t="str">
        <f t="shared" si="12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3"/>
        <v/>
      </c>
      <c r="L123" s="57" t="str">
        <f>IF(C123&lt;&gt;"",_xlfn.XLOOKUP(TEXT(C123,"0"),TEXT(CC!$C$3:$C$1000,"0"),CC!$G$3:$G$1000,""),"")</f>
        <v/>
      </c>
    </row>
    <row r="124" spans="7:12" x14ac:dyDescent="0.25">
      <c r="G124" s="70">
        <f>IFERROR(SUMPRODUCT((TEXT(CC!$C$3:$C$1000,"0")=TEXT(C124,"0"))*IFERROR(CC!$E$3:$E$1000+0,0)),0)</f>
      </c>
      <c r="H124" s="56"/>
      <c r="I124" s="24" t="str">
        <f t="shared" si="12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3"/>
        <v/>
      </c>
      <c r="L124" s="57" t="str">
        <f>IF(C124&lt;&gt;"",_xlfn.XLOOKUP(TEXT(C124,"0"),TEXT(CC!$C$3:$C$1000,"0"),CC!$G$3:$G$1000,""),"")</f>
        <v/>
      </c>
    </row>
    <row r="125" spans="7:12" x14ac:dyDescent="0.25">
      <c r="G125" s="70">
        <f>IFERROR(SUMPRODUCT((TEXT(CC!$C$3:$C$1000,"0")=TEXT(C125,"0"))*IFERROR(CC!$E$3:$E$1000+0,0)),0)</f>
      </c>
      <c r="H125" s="56"/>
      <c r="I125" s="24" t="str">
        <f t="shared" si="12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3"/>
        <v/>
      </c>
      <c r="L125" s="57" t="str">
        <f>IF(C125&lt;&gt;"",_xlfn.XLOOKUP(TEXT(C125,"0"),TEXT(CC!$C$3:$C$1000,"0"),CC!$G$3:$G$1000,""),"")</f>
        <v/>
      </c>
    </row>
    <row r="126" spans="7:12" x14ac:dyDescent="0.25">
      <c r="G126" s="70">
        <f>IFERROR(SUMPRODUCT((TEXT(CC!$C$3:$C$1000,"0")=TEXT(C126,"0"))*IFERROR(CC!$E$3:$E$1000+0,0)),0)</f>
      </c>
      <c r="H126" s="56"/>
      <c r="I126" s="24" t="str">
        <f t="shared" si="12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3"/>
        <v/>
      </c>
      <c r="L126" s="57" t="str">
        <f>IF(C126&lt;&gt;"",_xlfn.XLOOKUP(TEXT(C126,"0"),TEXT(CC!$C$3:$C$1000,"0"),CC!$G$3:$G$1000,""),"")</f>
        <v/>
      </c>
    </row>
    <row r="127" spans="7:12" x14ac:dyDescent="0.25">
      <c r="G127" s="70">
        <f>IFERROR(SUMPRODUCT((TEXT(CC!$C$3:$C$1000,"0")=TEXT(C127,"0"))*IFERROR(CC!$E$3:$E$1000+0,0)),0)</f>
      </c>
      <c r="H127" s="56"/>
      <c r="I127" s="24" t="str">
        <f t="shared" si="12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3"/>
        <v/>
      </c>
      <c r="L127" s="57" t="str">
        <f>IF(C127&lt;&gt;"",_xlfn.XLOOKUP(TEXT(C127,"0"),TEXT(CC!$C$3:$C$1000,"0"),CC!$G$3:$G$1000,""),"")</f>
        <v/>
      </c>
    </row>
    <row r="128" spans="7:12" x14ac:dyDescent="0.25">
      <c r="G128" s="70">
        <f>IFERROR(SUMPRODUCT((TEXT(CC!$C$3:$C$1000,"0")=TEXT(C128,"0"))*IFERROR(CC!$E$3:$E$1000+0,0)),0)</f>
      </c>
      <c r="H128" s="56"/>
      <c r="I128" s="24" t="str">
        <f t="shared" si="12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3"/>
        <v/>
      </c>
      <c r="L128" s="57" t="str">
        <f>IF(C128&lt;&gt;"",_xlfn.XLOOKUP(TEXT(C128,"0"),TEXT(CC!$C$3:$C$1000,"0"),CC!$G$3:$G$1000,""),"")</f>
        <v/>
      </c>
    </row>
    <row r="129" spans="7:12" x14ac:dyDescent="0.25">
      <c r="G129" s="70">
        <f>IFERROR(SUMPRODUCT((TEXT(CC!$C$3:$C$1000,"0")=TEXT(C129,"0"))*IFERROR(CC!$E$3:$E$1000+0,0)),0)</f>
      </c>
      <c r="H129" s="56"/>
      <c r="I129" s="24" t="str">
        <f t="shared" si="12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3"/>
        <v/>
      </c>
      <c r="L129" s="57" t="str">
        <f>IF(C129&lt;&gt;"",_xlfn.XLOOKUP(TEXT(C129,"0"),TEXT(CC!$C$3:$C$1000,"0"),CC!$G$3:$G$1000,""),"")</f>
        <v/>
      </c>
    </row>
    <row r="130" spans="7:12" x14ac:dyDescent="0.25">
      <c r="G130" s="70">
        <f>IFERROR(SUMPRODUCT((TEXT(CC!$C$3:$C$1000,"0")=TEXT(C130,"0"))*IFERROR(CC!$E$3:$E$1000+0,0)),0)</f>
      </c>
      <c r="H130" s="56"/>
      <c r="I130" s="24" t="str">
        <f t="shared" si="12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3"/>
        <v/>
      </c>
      <c r="L130" s="57" t="str">
        <f>IF(C130&lt;&gt;"",_xlfn.XLOOKUP(TEXT(C130,"0"),TEXT(CC!$C$3:$C$1000,"0"),CC!$G$3:$G$1000,""),"")</f>
        <v/>
      </c>
    </row>
    <row r="131" spans="7:12" x14ac:dyDescent="0.25">
      <c r="G131" s="70">
        <f>IFERROR(SUMPRODUCT((TEXT(CC!$C$3:$C$1000,"0")=TEXT(C131,"0"))*IFERROR(CC!$E$3:$E$1000+0,0)),0)</f>
      </c>
      <c r="H131" s="56"/>
      <c r="I131" s="24" t="str">
        <f t="shared" si="12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3"/>
        <v/>
      </c>
      <c r="L131" s="57" t="str">
        <f>IF(C131&lt;&gt;"",_xlfn.XLOOKUP(TEXT(C131,"0"),TEXT(CC!$C$3:$C$1000,"0"),CC!$G$3:$G$1000,""),"")</f>
        <v/>
      </c>
    </row>
    <row r="132" spans="7:12" x14ac:dyDescent="0.25">
      <c r="G132" s="70">
        <f>IFERROR(SUMPRODUCT((TEXT(CC!$C$3:$C$1000,"0")=TEXT(C132,"0"))*IFERROR(CC!$E$3:$E$1000+0,0)),0)</f>
      </c>
      <c r="H132" s="56"/>
      <c r="I132" s="24" t="str">
        <f t="shared" si="12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3"/>
        <v/>
      </c>
      <c r="L132" s="57" t="str">
        <f>IF(C132&lt;&gt;"",_xlfn.XLOOKUP(TEXT(C132,"0"),TEXT(CC!$C$3:$C$1000,"0"),CC!$G$3:$G$1000,""),"")</f>
        <v/>
      </c>
    </row>
    <row r="133" spans="7:12" x14ac:dyDescent="0.25">
      <c r="G133" s="70">
        <f>IFERROR(SUMPRODUCT((TEXT(CC!$C$3:$C$1000,"0")=TEXT(C133,"0"))*IFERROR(CC!$E$3:$E$1000+0,0)),0)</f>
      </c>
      <c r="H133" s="56"/>
      <c r="I133" s="24" t="str">
        <f t="shared" si="12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3"/>
        <v/>
      </c>
      <c r="L133" s="57" t="str">
        <f>IF(C133&lt;&gt;"",_xlfn.XLOOKUP(TEXT(C133,"0"),TEXT(CC!$C$3:$C$1000,"0"),CC!$G$3:$G$1000,""),"")</f>
        <v/>
      </c>
    </row>
    <row r="134" spans="7:12" x14ac:dyDescent="0.25">
      <c r="G134" s="70">
        <f>IFERROR(SUMPRODUCT((TEXT(CC!$C$3:$C$1000,"0")=TEXT(C134,"0"))*IFERROR(CC!$E$3:$E$1000+0,0)),0)</f>
      </c>
      <c r="H134" s="56"/>
      <c r="I134" s="24" t="str">
        <f t="shared" si="12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3"/>
        <v/>
      </c>
      <c r="L134" s="57" t="str">
        <f>IF(C134&lt;&gt;"",_xlfn.XLOOKUP(TEXT(C134,"0"),TEXT(CC!$C$3:$C$1000,"0"),CC!$G$3:$G$1000,""),"")</f>
        <v/>
      </c>
    </row>
    <row r="135" spans="7:12" x14ac:dyDescent="0.25">
      <c r="G135" s="70">
        <f>IFERROR(SUMPRODUCT((TEXT(CC!$C$3:$C$1000,"0")=TEXT(C135,"0"))*IFERROR(CC!$E$3:$E$1000+0,0)),0)</f>
      </c>
      <c r="H135" s="56"/>
      <c r="I135" s="24" t="str">
        <f t="shared" si="12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3"/>
        <v/>
      </c>
      <c r="L135" s="57" t="str">
        <f>IF(C135&lt;&gt;"",_xlfn.XLOOKUP(TEXT(C135,"0"),TEXT(CC!$C$3:$C$1000,"0"),CC!$G$3:$G$1000,""),"")</f>
        <v/>
      </c>
    </row>
    <row r="136" spans="7:12" x14ac:dyDescent="0.25">
      <c r="G136" s="70">
        <f>IFERROR(SUMPRODUCT((TEXT(CC!$C$3:$C$1000,"0")=TEXT(C136,"0"))*IFERROR(CC!$E$3:$E$1000+0,0)),0)</f>
      </c>
      <c r="H136" s="56"/>
      <c r="I136" s="24" t="str">
        <f t="shared" si="12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3"/>
        <v/>
      </c>
      <c r="L136" s="57" t="str">
        <f>IF(C136&lt;&gt;"",_xlfn.XLOOKUP(TEXT(C136,"0"),TEXT(CC!$C$3:$C$1000,"0"),CC!$G$3:$G$1000,""),"")</f>
        <v/>
      </c>
    </row>
    <row r="137" spans="7:12" x14ac:dyDescent="0.25">
      <c r="G137" s="70">
        <f>IFERROR(SUMPRODUCT((TEXT(CC!$C$3:$C$1000,"0")=TEXT(C137,"0"))*IFERROR(CC!$E$3:$E$1000+0,0)),0)</f>
      </c>
      <c r="H137" s="56"/>
      <c r="I137" s="24" t="str">
        <f t="shared" si="12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3"/>
        <v/>
      </c>
      <c r="L137" s="57" t="str">
        <f>IF(C137&lt;&gt;"",_xlfn.XLOOKUP(TEXT(C137,"0"),TEXT(CC!$C$3:$C$1000,"0"),CC!$G$3:$G$1000,""),"")</f>
        <v/>
      </c>
    </row>
    <row r="138" spans="7:12" x14ac:dyDescent="0.25">
      <c r="G138" s="70">
        <f>IFERROR(SUMPRODUCT((TEXT(CC!$C$3:$C$1000,"0")=TEXT(C138,"0"))*IFERROR(CC!$E$3:$E$1000+0,0)),0)</f>
      </c>
      <c r="H138" s="56"/>
      <c r="I138" s="24" t="str">
        <f t="shared" si="12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3"/>
        <v/>
      </c>
      <c r="L138" s="57" t="str">
        <f>IF(C138&lt;&gt;"",_xlfn.XLOOKUP(TEXT(C138,"0"),TEXT(CC!$C$3:$C$1000,"0"),CC!$G$3:$G$1000,""),"")</f>
        <v/>
      </c>
    </row>
    <row r="139" spans="7:12" x14ac:dyDescent="0.25">
      <c r="G139" s="70">
        <f>IFERROR(SUMPRODUCT((TEXT(CC!$C$3:$C$1000,"0")=TEXT(C139,"0"))*IFERROR(CC!$E$3:$E$1000+0,0)),0)</f>
      </c>
      <c r="H139" s="56"/>
      <c r="I139" s="24" t="str">
        <f t="shared" si="12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3"/>
        <v/>
      </c>
      <c r="L139" s="57" t="str">
        <f>IF(C139&lt;&gt;"",_xlfn.XLOOKUP(TEXT(C139,"0"),TEXT(CC!$C$3:$C$1000,"0"),CC!$G$3:$G$1000,""),"")</f>
        <v/>
      </c>
    </row>
    <row r="140" spans="7:12" x14ac:dyDescent="0.25">
      <c r="G140" s="70">
        <f>IFERROR(SUMPRODUCT((TEXT(CC!$C$3:$C$1000,"0")=TEXT(C140,"0"))*IFERROR(CC!$E$3:$E$1000+0,0)),0)</f>
      </c>
      <c r="H140" s="56"/>
      <c r="I140" s="24" t="str">
        <f t="shared" si="12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3"/>
        <v/>
      </c>
      <c r="L140" s="57" t="str">
        <f>IF(C140&lt;&gt;"",_xlfn.XLOOKUP(TEXT(C140,"0"),TEXT(CC!$C$3:$C$1000,"0"),CC!$G$3:$G$1000,""),"")</f>
        <v/>
      </c>
    </row>
    <row r="141" spans="7:12" x14ac:dyDescent="0.25">
      <c r="G141" s="70">
        <f>IFERROR(SUMPRODUCT((TEXT(CC!$C$3:$C$1000,"0")=TEXT(C141,"0"))*IFERROR(CC!$E$3:$E$1000+0,0)),0)</f>
      </c>
      <c r="H141" s="56"/>
      <c r="I141" s="24" t="str">
        <f t="shared" si="12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3"/>
        <v/>
      </c>
      <c r="L141" s="57" t="str">
        <f>IF(C141&lt;&gt;"",_xlfn.XLOOKUP(TEXT(C141,"0"),TEXT(CC!$C$3:$C$1000,"0"),CC!$G$3:$G$1000,""),"")</f>
        <v/>
      </c>
    </row>
    <row r="142" spans="7:12" x14ac:dyDescent="0.25">
      <c r="G142" s="70">
        <f>IFERROR(SUMPRODUCT((TEXT(CC!$C$3:$C$1000,"0")=TEXT(C142,"0"))*IFERROR(CC!$E$3:$E$1000+0,0)),0)</f>
      </c>
      <c r="H142" s="56"/>
      <c r="I142" s="24" t="str">
        <f t="shared" si="12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3"/>
        <v/>
      </c>
      <c r="L142" s="57" t="str">
        <f>IF(C142&lt;&gt;"",_xlfn.XLOOKUP(TEXT(C142,"0"),TEXT(CC!$C$3:$C$1000,"0"),CC!$G$3:$G$1000,""),"")</f>
        <v/>
      </c>
    </row>
    <row r="143" spans="7:12" x14ac:dyDescent="0.25">
      <c r="G143" s="70">
        <f>IFERROR(SUMPRODUCT((TEXT(CC!$C$3:$C$1000,"0")=TEXT(C143,"0"))*IFERROR(CC!$E$3:$E$1000+0,0)),0)</f>
      </c>
      <c r="H143" s="56"/>
      <c r="I143" s="24" t="str">
        <f t="shared" ref="I143:I206" si="14">IF(J143&lt;&gt;0,"511011","")</f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3"/>
        <v/>
      </c>
      <c r="L143" s="57" t="str">
        <f>IF(C143&lt;&gt;"",_xlfn.XLOOKUP(TEXT(C143,"0"),TEXT(CC!$C$3:$C$1000,"0"),CC!$G$3:$G$1000,""),"")</f>
        <v/>
      </c>
    </row>
    <row r="144" spans="7:12" x14ac:dyDescent="0.25">
      <c r="G144" s="70">
        <f>IFERROR(SUMPRODUCT((TEXT(CC!$C$3:$C$1000,"0")=TEXT(C144,"0"))*IFERROR(CC!$E$3:$E$1000+0,0)),0)</f>
      </c>
      <c r="H144" s="56"/>
      <c r="I144" s="24" t="str">
        <f t="shared" si="14"/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5">IF(J144&lt;&gt;0,C144,"")</f>
        <v/>
      </c>
      <c r="L144" s="57" t="str">
        <f>IF(C144&lt;&gt;"",_xlfn.XLOOKUP(TEXT(C144,"0"),TEXT(CC!$C$3:$C$1000,"0"),CC!$G$3:$G$1000,""),"")</f>
        <v/>
      </c>
    </row>
    <row r="145" spans="7:12" x14ac:dyDescent="0.25">
      <c r="G145" s="70">
        <f>IFERROR(SUMPRODUCT((TEXT(CC!$C$3:$C$1000,"0")=TEXT(C145,"0"))*IFERROR(CC!$E$3:$E$1000+0,0)),0)</f>
      </c>
      <c r="H145" s="56"/>
      <c r="I145" s="24" t="str">
        <f t="shared" si="14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5"/>
        <v/>
      </c>
      <c r="L145" s="57" t="str">
        <f>IF(C145&lt;&gt;"",_xlfn.XLOOKUP(TEXT(C145,"0"),TEXT(CC!$C$3:$C$1000,"0"),CC!$G$3:$G$1000,""),"")</f>
        <v/>
      </c>
    </row>
    <row r="146" spans="7:12" x14ac:dyDescent="0.25">
      <c r="G146" s="70">
        <f>IFERROR(SUMPRODUCT((TEXT(CC!$C$3:$C$1000,"0")=TEXT(C146,"0"))*IFERROR(CC!$E$3:$E$1000+0,0)),0)</f>
      </c>
      <c r="H146" s="56"/>
      <c r="I146" s="24" t="str">
        <f t="shared" si="14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5"/>
        <v/>
      </c>
      <c r="L146" s="57" t="str">
        <f>IF(C146&lt;&gt;"",_xlfn.XLOOKUP(TEXT(C146,"0"),TEXT(CC!$C$3:$C$1000,"0"),CC!$G$3:$G$1000,""),"")</f>
        <v/>
      </c>
    </row>
    <row r="147" spans="7:12" x14ac:dyDescent="0.25">
      <c r="G147" s="70">
        <f>IFERROR(SUMPRODUCT((TEXT(CC!$C$3:$C$1000,"0")=TEXT(C147,"0"))*IFERROR(CC!$E$3:$E$1000+0,0)),0)</f>
      </c>
      <c r="H147" s="56"/>
      <c r="I147" s="24" t="str">
        <f t="shared" si="14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5"/>
        <v/>
      </c>
      <c r="L147" s="57" t="str">
        <f>IF(C147&lt;&gt;"",_xlfn.XLOOKUP(TEXT(C147,"0"),TEXT(CC!$C$3:$C$1000,"0"),CC!$G$3:$G$1000,""),"")</f>
        <v/>
      </c>
    </row>
    <row r="148" spans="7:12" x14ac:dyDescent="0.25">
      <c r="G148" s="70">
        <f>IFERROR(SUMPRODUCT((TEXT(CC!$C$3:$C$1000,"0")=TEXT(C148,"0"))*IFERROR(CC!$E$3:$E$1000+0,0)),0)</f>
      </c>
      <c r="H148" s="56"/>
      <c r="I148" s="24" t="str">
        <f t="shared" si="14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5"/>
        <v/>
      </c>
      <c r="L148" s="57" t="str">
        <f>IF(C148&lt;&gt;"",_xlfn.XLOOKUP(TEXT(C148,"0"),TEXT(CC!$C$3:$C$1000,"0"),CC!$G$3:$G$1000,""),"")</f>
        <v/>
      </c>
    </row>
    <row r="149" spans="7:12" x14ac:dyDescent="0.25">
      <c r="G149" s="70">
        <f>IFERROR(SUMPRODUCT((TEXT(CC!$C$3:$C$1000,"0")=TEXT(C149,"0"))*IFERROR(CC!$E$3:$E$1000+0,0)),0)</f>
      </c>
      <c r="H149" s="56"/>
      <c r="I149" s="24" t="str">
        <f t="shared" si="14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5"/>
        <v/>
      </c>
      <c r="L149" s="57" t="str">
        <f>IF(C149&lt;&gt;"",_xlfn.XLOOKUP(TEXT(C149,"0"),TEXT(CC!$C$3:$C$1000,"0"),CC!$G$3:$G$1000,""),"")</f>
        <v/>
      </c>
    </row>
    <row r="150" spans="7:12" x14ac:dyDescent="0.25">
      <c r="G150" s="70">
        <f>IFERROR(SUMPRODUCT((TEXT(CC!$C$3:$C$1000,"0")=TEXT(C150,"0"))*IFERROR(CC!$E$3:$E$1000+0,0)),0)</f>
      </c>
      <c r="H150" s="56"/>
      <c r="I150" s="24" t="str">
        <f t="shared" si="14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5"/>
        <v/>
      </c>
      <c r="L150" s="57" t="str">
        <f>IF(C150&lt;&gt;"",_xlfn.XLOOKUP(TEXT(C150,"0"),TEXT(CC!$C$3:$C$1000,"0"),CC!$G$3:$G$1000,""),"")</f>
        <v/>
      </c>
    </row>
    <row r="151" spans="7:12" x14ac:dyDescent="0.25">
      <c r="G151" s="70">
        <f>IFERROR(SUMPRODUCT((TEXT(CC!$C$3:$C$1000,"0")=TEXT(C151,"0"))*IFERROR(CC!$E$3:$E$1000+0,0)),0)</f>
      </c>
      <c r="H151" s="56"/>
      <c r="I151" s="24" t="str">
        <f t="shared" si="14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5"/>
        <v/>
      </c>
      <c r="L151" s="57" t="str">
        <f>IF(C151&lt;&gt;"",_xlfn.XLOOKUP(TEXT(C151,"0"),TEXT(CC!$C$3:$C$1000,"0"),CC!$G$3:$G$1000,""),"")</f>
        <v/>
      </c>
    </row>
    <row r="152" spans="7:12" x14ac:dyDescent="0.25">
      <c r="G152" s="70">
        <f>IFERROR(SUMPRODUCT((TEXT(CC!$C$3:$C$1000,"0")=TEXT(C152,"0"))*IFERROR(CC!$E$3:$E$1000+0,0)),0)</f>
      </c>
      <c r="H152" s="56"/>
      <c r="I152" s="24" t="str">
        <f t="shared" si="14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5"/>
        <v/>
      </c>
      <c r="L152" s="57" t="str">
        <f>IF(C152&lt;&gt;"",_xlfn.XLOOKUP(TEXT(C152,"0"),TEXT(CC!$C$3:$C$1000,"0"),CC!$G$3:$G$1000,""),"")</f>
        <v/>
      </c>
    </row>
    <row r="153" spans="7:12" x14ac:dyDescent="0.25">
      <c r="G153" s="70">
        <f>IFERROR(SUMPRODUCT((TEXT(CC!$C$3:$C$1000,"0")=TEXT(C153,"0"))*IFERROR(CC!$E$3:$E$1000+0,0)),0)</f>
      </c>
      <c r="H153" s="56"/>
      <c r="I153" s="24" t="str">
        <f t="shared" si="14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5"/>
        <v/>
      </c>
      <c r="L153" s="57" t="str">
        <f>IF(C153&lt;&gt;"",_xlfn.XLOOKUP(TEXT(C153,"0"),TEXT(CC!$C$3:$C$1000,"0"),CC!$G$3:$G$1000,""),"")</f>
        <v/>
      </c>
    </row>
    <row r="154" spans="7:12" x14ac:dyDescent="0.25">
      <c r="G154" s="70">
        <f>IFERROR(SUMPRODUCT((TEXT(CC!$C$3:$C$1000,"0")=TEXT(C154,"0"))*IFERROR(CC!$E$3:$E$1000+0,0)),0)</f>
      </c>
      <c r="H154" s="56"/>
      <c r="I154" s="24" t="str">
        <f t="shared" si="14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5"/>
        <v/>
      </c>
      <c r="L154" s="57" t="str">
        <f>IF(C154&lt;&gt;"",_xlfn.XLOOKUP(TEXT(C154,"0"),TEXT(CC!$C$3:$C$1000,"0"),CC!$G$3:$G$1000,""),"")</f>
        <v/>
      </c>
    </row>
    <row r="155" spans="7:12" x14ac:dyDescent="0.25">
      <c r="G155" s="70">
        <f>IFERROR(SUMPRODUCT((TEXT(CC!$C$3:$C$1000,"0")=TEXT(C155,"0"))*IFERROR(CC!$E$3:$E$1000+0,0)),0)</f>
      </c>
      <c r="H155" s="56"/>
      <c r="I155" s="24" t="str">
        <f t="shared" si="14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5"/>
        <v/>
      </c>
      <c r="L155" s="57" t="str">
        <f>IF(C155&lt;&gt;"",_xlfn.XLOOKUP(TEXT(C155,"0"),TEXT(CC!$C$3:$C$1000,"0"),CC!$G$3:$G$1000,""),"")</f>
        <v/>
      </c>
    </row>
    <row r="156" spans="7:12" x14ac:dyDescent="0.25">
      <c r="G156" s="70">
        <f>IFERROR(SUMPRODUCT((TEXT(CC!$C$3:$C$1000,"0")=TEXT(C156,"0"))*IFERROR(CC!$E$3:$E$1000+0,0)),0)</f>
      </c>
      <c r="H156" s="56"/>
      <c r="I156" s="24" t="str">
        <f t="shared" si="14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5"/>
        <v/>
      </c>
      <c r="L156" s="57" t="str">
        <f>IF(C156&lt;&gt;"",_xlfn.XLOOKUP(TEXT(C156,"0"),TEXT(CC!$C$3:$C$1000,"0"),CC!$G$3:$G$1000,""),"")</f>
        <v/>
      </c>
    </row>
    <row r="157" spans="7:12" x14ac:dyDescent="0.25">
      <c r="G157" s="70">
        <f>IFERROR(SUMPRODUCT((TEXT(CC!$C$3:$C$1000,"0")=TEXT(C157,"0"))*IFERROR(CC!$E$3:$E$1000+0,0)),0)</f>
      </c>
      <c r="H157" s="56"/>
      <c r="I157" s="24" t="str">
        <f t="shared" si="14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5"/>
        <v/>
      </c>
      <c r="L157" s="57" t="str">
        <f>IF(C157&lt;&gt;"",_xlfn.XLOOKUP(TEXT(C157,"0"),TEXT(CC!$C$3:$C$1000,"0"),CC!$G$3:$G$1000,""),"")</f>
        <v/>
      </c>
    </row>
    <row r="158" spans="7:12" x14ac:dyDescent="0.25">
      <c r="G158" s="70">
        <f>IFERROR(SUMPRODUCT((TEXT(CC!$C$3:$C$1000,"0")=TEXT(C158,"0"))*IFERROR(CC!$E$3:$E$1000+0,0)),0)</f>
      </c>
      <c r="H158" s="56"/>
      <c r="I158" s="24" t="str">
        <f t="shared" si="14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5"/>
        <v/>
      </c>
      <c r="L158" s="57" t="str">
        <f>IF(C158&lt;&gt;"",_xlfn.XLOOKUP(TEXT(C158,"0"),TEXT(CC!$C$3:$C$1000,"0"),CC!$G$3:$G$1000,""),"")</f>
        <v/>
      </c>
    </row>
    <row r="159" spans="7:12" x14ac:dyDescent="0.25">
      <c r="G159" s="70">
        <f>IFERROR(SUMPRODUCT((TEXT(CC!$C$3:$C$1000,"0")=TEXT(C159,"0"))*IFERROR(CC!$E$3:$E$1000+0,0)),0)</f>
      </c>
      <c r="H159" s="56"/>
      <c r="I159" s="24" t="str">
        <f t="shared" si="14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5"/>
        <v/>
      </c>
      <c r="L159" s="57" t="str">
        <f>IF(C159&lt;&gt;"",_xlfn.XLOOKUP(TEXT(C159,"0"),TEXT(CC!$C$3:$C$1000,"0"),CC!$G$3:$G$1000,""),"")</f>
        <v/>
      </c>
    </row>
    <row r="160" spans="7:12" x14ac:dyDescent="0.25">
      <c r="G160" s="70">
        <f>IFERROR(SUMPRODUCT((TEXT(CC!$C$3:$C$1000,"0")=TEXT(C160,"0"))*IFERROR(CC!$E$3:$E$1000+0,0)),0)</f>
      </c>
      <c r="H160" s="56"/>
      <c r="I160" s="24" t="str">
        <f t="shared" si="14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5"/>
        <v/>
      </c>
      <c r="L160" s="57" t="str">
        <f>IF(C160&lt;&gt;"",_xlfn.XLOOKUP(TEXT(C160,"0"),TEXT(CC!$C$3:$C$1000,"0"),CC!$G$3:$G$1000,""),"")</f>
        <v/>
      </c>
    </row>
    <row r="161" spans="7:12" x14ac:dyDescent="0.25">
      <c r="G161" s="70">
        <f>IFERROR(SUMPRODUCT((TEXT(CC!$C$3:$C$1000,"0")=TEXT(C161,"0"))*IFERROR(CC!$E$3:$E$1000+0,0)),0)</f>
      </c>
      <c r="H161" s="56"/>
      <c r="I161" s="24" t="str">
        <f t="shared" si="14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5"/>
        <v/>
      </c>
      <c r="L161" s="57" t="str">
        <f>IF(C161&lt;&gt;"",_xlfn.XLOOKUP(TEXT(C161,"0"),TEXT(CC!$C$3:$C$1000,"0"),CC!$G$3:$G$1000,""),"")</f>
        <v/>
      </c>
    </row>
    <row r="162" spans="7:12" x14ac:dyDescent="0.25">
      <c r="G162" s="70">
        <f>IFERROR(SUMPRODUCT((TEXT(CC!$C$3:$C$1000,"0")=TEXT(C162,"0"))*IFERROR(CC!$E$3:$E$1000+0,0)),0)</f>
      </c>
      <c r="H162" s="56"/>
      <c r="I162" s="24" t="str">
        <f t="shared" si="14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5"/>
        <v/>
      </c>
      <c r="L162" s="57" t="str">
        <f>IF(C162&lt;&gt;"",_xlfn.XLOOKUP(TEXT(C162,"0"),TEXT(CC!$C$3:$C$1000,"0"),CC!$G$3:$G$1000,""),"")</f>
        <v/>
      </c>
    </row>
    <row r="163" spans="7:12" x14ac:dyDescent="0.25">
      <c r="G163" s="70">
        <f>IFERROR(SUMPRODUCT((TEXT(CC!$C$3:$C$1000,"0")=TEXT(C163,"0"))*IFERROR(CC!$E$3:$E$1000+0,0)),0)</f>
      </c>
      <c r="H163" s="56"/>
      <c r="I163" s="24" t="str">
        <f t="shared" si="14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5"/>
        <v/>
      </c>
      <c r="L163" s="57" t="str">
        <f>IF(C163&lt;&gt;"",_xlfn.XLOOKUP(TEXT(C163,"0"),TEXT(CC!$C$3:$C$1000,"0"),CC!$G$3:$G$1000,""),"")</f>
        <v/>
      </c>
    </row>
    <row r="164" spans="7:12" x14ac:dyDescent="0.25">
      <c r="G164" s="70">
        <f>IFERROR(SUMPRODUCT((TEXT(CC!$C$3:$C$1000,"0")=TEXT(C164,"0"))*IFERROR(CC!$E$3:$E$1000+0,0)),0)</f>
      </c>
      <c r="H164" s="56"/>
      <c r="I164" s="24" t="str">
        <f t="shared" si="14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5"/>
        <v/>
      </c>
      <c r="L164" s="57" t="str">
        <f>IF(C164&lt;&gt;"",_xlfn.XLOOKUP(TEXT(C164,"0"),TEXT(CC!$C$3:$C$1000,"0"),CC!$G$3:$G$1000,""),"")</f>
        <v/>
      </c>
    </row>
    <row r="165" spans="7:12" x14ac:dyDescent="0.25">
      <c r="G165" s="70">
        <f>IFERROR(SUMPRODUCT((TEXT(CC!$C$3:$C$1000,"0")=TEXT(C165,"0"))*IFERROR(CC!$E$3:$E$1000+0,0)),0)</f>
      </c>
      <c r="H165" s="56"/>
      <c r="I165" s="24" t="str">
        <f t="shared" si="14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5"/>
        <v/>
      </c>
      <c r="L165" s="57" t="str">
        <f>IF(C165&lt;&gt;"",_xlfn.XLOOKUP(TEXT(C165,"0"),TEXT(CC!$C$3:$C$1000,"0"),CC!$G$3:$G$1000,""),"")</f>
        <v/>
      </c>
    </row>
    <row r="166" spans="7:12" x14ac:dyDescent="0.25">
      <c r="G166" s="70">
        <f>IFERROR(SUMPRODUCT((TEXT(CC!$C$3:$C$1000,"0")=TEXT(C166,"0"))*IFERROR(CC!$E$3:$E$1000+0,0)),0)</f>
      </c>
      <c r="H166" s="56"/>
      <c r="I166" s="24" t="str">
        <f t="shared" si="14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5"/>
        <v/>
      </c>
      <c r="L166" s="57" t="str">
        <f>IF(C166&lt;&gt;"",_xlfn.XLOOKUP(TEXT(C166,"0"),TEXT(CC!$C$3:$C$1000,"0"),CC!$G$3:$G$1000,""),"")</f>
        <v/>
      </c>
    </row>
    <row r="167" spans="7:12" x14ac:dyDescent="0.25">
      <c r="G167" s="70">
        <f>IFERROR(SUMPRODUCT((TEXT(CC!$C$3:$C$1000,"0")=TEXT(C167,"0"))*IFERROR(CC!$E$3:$E$1000+0,0)),0)</f>
      </c>
      <c r="H167" s="56"/>
      <c r="I167" s="24" t="str">
        <f t="shared" si="14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5"/>
        <v/>
      </c>
      <c r="L167" s="57" t="str">
        <f>IF(C167&lt;&gt;"",_xlfn.XLOOKUP(TEXT(C167,"0"),TEXT(CC!$C$3:$C$1000,"0"),CC!$G$3:$G$1000,""),"")</f>
        <v/>
      </c>
    </row>
    <row r="168" spans="7:12" x14ac:dyDescent="0.25">
      <c r="G168" s="70">
        <f>IFERROR(SUMPRODUCT((TEXT(CC!$C$3:$C$1000,"0")=TEXT(C168,"0"))*IFERROR(CC!$E$3:$E$1000+0,0)),0)</f>
      </c>
      <c r="H168" s="56"/>
      <c r="I168" s="24" t="str">
        <f t="shared" si="14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5"/>
        <v/>
      </c>
      <c r="L168" s="57" t="str">
        <f>IF(C168&lt;&gt;"",_xlfn.XLOOKUP(TEXT(C168,"0"),TEXT(CC!$C$3:$C$1000,"0"),CC!$G$3:$G$1000,""),"")</f>
        <v/>
      </c>
    </row>
    <row r="169" spans="7:12" x14ac:dyDescent="0.25">
      <c r="G169" s="70">
        <f>IFERROR(SUMPRODUCT((TEXT(CC!$C$3:$C$1000,"0")=TEXT(C169,"0"))*IFERROR(CC!$E$3:$E$1000+0,0)),0)</f>
      </c>
      <c r="H169" s="56"/>
      <c r="I169" s="24" t="str">
        <f t="shared" si="14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5"/>
        <v/>
      </c>
      <c r="L169" s="57" t="str">
        <f>IF(C169&lt;&gt;"",_xlfn.XLOOKUP(TEXT(C169,"0"),TEXT(CC!$C$3:$C$1000,"0"),CC!$G$3:$G$1000,""),"")</f>
        <v/>
      </c>
    </row>
    <row r="170" spans="7:12" x14ac:dyDescent="0.25">
      <c r="G170" s="70">
        <f>IFERROR(SUMPRODUCT((TEXT(CC!$C$3:$C$1000,"0")=TEXT(C170,"0"))*IFERROR(CC!$E$3:$E$1000+0,0)),0)</f>
      </c>
      <c r="H170" s="56"/>
      <c r="I170" s="24" t="str">
        <f t="shared" si="14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5"/>
        <v/>
      </c>
      <c r="L170" s="57" t="str">
        <f>IF(C170&lt;&gt;"",_xlfn.XLOOKUP(TEXT(C170,"0"),TEXT(CC!$C$3:$C$1000,"0"),CC!$G$3:$G$1000,""),"")</f>
        <v/>
      </c>
    </row>
    <row r="171" spans="7:12" x14ac:dyDescent="0.25">
      <c r="G171" s="70">
        <f>IFERROR(SUMPRODUCT((TEXT(CC!$C$3:$C$1000,"0")=TEXT(C171,"0"))*IFERROR(CC!$E$3:$E$1000+0,0)),0)</f>
      </c>
      <c r="H171" s="56"/>
      <c r="I171" s="24" t="str">
        <f t="shared" si="14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5"/>
        <v/>
      </c>
      <c r="L171" s="57" t="str">
        <f>IF(C171&lt;&gt;"",_xlfn.XLOOKUP(TEXT(C171,"0"),TEXT(CC!$C$3:$C$1000,"0"),CC!$G$3:$G$1000,""),"")</f>
        <v/>
      </c>
    </row>
    <row r="172" spans="7:12" x14ac:dyDescent="0.25">
      <c r="G172" s="70">
        <f>IFERROR(SUMPRODUCT((TEXT(CC!$C$3:$C$1000,"0")=TEXT(C172,"0"))*IFERROR(CC!$E$3:$E$1000+0,0)),0)</f>
      </c>
      <c r="H172" s="56"/>
      <c r="I172" s="24" t="str">
        <f t="shared" si="14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5"/>
        <v/>
      </c>
      <c r="L172" s="57" t="str">
        <f>IF(C172&lt;&gt;"",_xlfn.XLOOKUP(TEXT(C172,"0"),TEXT(CC!$C$3:$C$1000,"0"),CC!$G$3:$G$1000,""),"")</f>
        <v/>
      </c>
    </row>
    <row r="173" spans="7:12" x14ac:dyDescent="0.25">
      <c r="G173" s="70">
        <f>IFERROR(SUMPRODUCT((TEXT(CC!$C$3:$C$1000,"0")=TEXT(C173,"0"))*IFERROR(CC!$E$3:$E$1000+0,0)),0)</f>
      </c>
      <c r="H173" s="56"/>
      <c r="I173" s="24" t="str">
        <f t="shared" si="14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5"/>
        <v/>
      </c>
      <c r="L173" s="57" t="str">
        <f>IF(C173&lt;&gt;"",_xlfn.XLOOKUP(TEXT(C173,"0"),TEXT(CC!$C$3:$C$1000,"0"),CC!$G$3:$G$1000,""),"")</f>
        <v/>
      </c>
    </row>
    <row r="174" spans="7:12" x14ac:dyDescent="0.25">
      <c r="G174" s="70">
        <f>IFERROR(SUMPRODUCT((TEXT(CC!$C$3:$C$1000,"0")=TEXT(C174,"0"))*IFERROR(CC!$E$3:$E$1000+0,0)),0)</f>
      </c>
      <c r="H174" s="56"/>
      <c r="I174" s="24" t="str">
        <f t="shared" si="14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5"/>
        <v/>
      </c>
      <c r="L174" s="57" t="str">
        <f>IF(C174&lt;&gt;"",_xlfn.XLOOKUP(TEXT(C174,"0"),TEXT(CC!$C$3:$C$1000,"0"),CC!$G$3:$G$1000,""),"")</f>
        <v/>
      </c>
    </row>
    <row r="175" spans="7:12" x14ac:dyDescent="0.25">
      <c r="G175" s="70">
        <f>IFERROR(SUMPRODUCT((TEXT(CC!$C$3:$C$1000,"0")=TEXT(C175,"0"))*IFERROR(CC!$E$3:$E$1000+0,0)),0)</f>
      </c>
      <c r="H175" s="56"/>
      <c r="I175" s="24" t="str">
        <f t="shared" si="14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5"/>
        <v/>
      </c>
      <c r="L175" s="57" t="str">
        <f>IF(C175&lt;&gt;"",_xlfn.XLOOKUP(TEXT(C175,"0"),TEXT(CC!$C$3:$C$1000,"0"),CC!$G$3:$G$1000,""),"")</f>
        <v/>
      </c>
    </row>
    <row r="176" spans="7:12" x14ac:dyDescent="0.25">
      <c r="G176" s="70">
        <f>IFERROR(SUMPRODUCT((TEXT(CC!$C$3:$C$1000,"0")=TEXT(C176,"0"))*IFERROR(CC!$E$3:$E$1000+0,0)),0)</f>
      </c>
      <c r="H176" s="56"/>
      <c r="I176" s="24" t="str">
        <f t="shared" si="14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5"/>
        <v/>
      </c>
      <c r="L176" s="57" t="str">
        <f>IF(C176&lt;&gt;"",_xlfn.XLOOKUP(TEXT(C176,"0"),TEXT(CC!$C$3:$C$1000,"0"),CC!$G$3:$G$1000,""),"")</f>
        <v/>
      </c>
    </row>
    <row r="177" spans="7:12" x14ac:dyDescent="0.25">
      <c r="G177" s="70">
        <f>IFERROR(SUMPRODUCT((TEXT(CC!$C$3:$C$1000,"0")=TEXT(C177,"0"))*IFERROR(CC!$E$3:$E$1000+0,0)),0)</f>
      </c>
      <c r="H177" s="56"/>
      <c r="I177" s="24" t="str">
        <f t="shared" si="14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5"/>
        <v/>
      </c>
      <c r="L177" s="57" t="str">
        <f>IF(C177&lt;&gt;"",_xlfn.XLOOKUP(TEXT(C177,"0"),TEXT(CC!$C$3:$C$1000,"0"),CC!$G$3:$G$1000,""),"")</f>
        <v/>
      </c>
    </row>
    <row r="178" spans="7:12" x14ac:dyDescent="0.25">
      <c r="G178" s="70">
        <f>IFERROR(SUMPRODUCT((TEXT(CC!$C$3:$C$1000,"0")=TEXT(C178,"0"))*IFERROR(CC!$E$3:$E$1000+0,0)),0)</f>
      </c>
      <c r="H178" s="56"/>
      <c r="I178" s="24" t="str">
        <f t="shared" si="14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5"/>
        <v/>
      </c>
      <c r="L178" s="57" t="str">
        <f>IF(C178&lt;&gt;"",_xlfn.XLOOKUP(TEXT(C178,"0"),TEXT(CC!$C$3:$C$1000,"0"),CC!$G$3:$G$1000,""),"")</f>
        <v/>
      </c>
    </row>
    <row r="179" spans="7:12" x14ac:dyDescent="0.25">
      <c r="G179" s="70">
        <f>IFERROR(SUMPRODUCT((TEXT(CC!$C$3:$C$1000,"0")=TEXT(C179,"0"))*IFERROR(CC!$E$3:$E$1000+0,0)),0)</f>
      </c>
      <c r="H179" s="56"/>
      <c r="I179" s="24" t="str">
        <f t="shared" si="14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5"/>
        <v/>
      </c>
      <c r="L179" s="57" t="str">
        <f>IF(C179&lt;&gt;"",_xlfn.XLOOKUP(TEXT(C179,"0"),TEXT(CC!$C$3:$C$1000,"0"),CC!$G$3:$G$1000,""),"")</f>
        <v/>
      </c>
    </row>
    <row r="180" spans="7:12" x14ac:dyDescent="0.25">
      <c r="G180" s="70">
        <f>IFERROR(SUMPRODUCT((TEXT(CC!$C$3:$C$1000,"0")=TEXT(C180,"0"))*IFERROR(CC!$E$3:$E$1000+0,0)),0)</f>
      </c>
      <c r="H180" s="56"/>
      <c r="I180" s="24" t="str">
        <f t="shared" si="14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5"/>
        <v/>
      </c>
      <c r="L180" s="57" t="str">
        <f>IF(C180&lt;&gt;"",_xlfn.XLOOKUP(TEXT(C180,"0"),TEXT(CC!$C$3:$C$1000,"0"),CC!$G$3:$G$1000,""),"")</f>
        <v/>
      </c>
    </row>
    <row r="181" spans="7:12" x14ac:dyDescent="0.25">
      <c r="G181" s="70">
        <f>IFERROR(SUMPRODUCT((TEXT(CC!$C$3:$C$1000,"0")=TEXT(C181,"0"))*IFERROR(CC!$E$3:$E$1000+0,0)),0)</f>
      </c>
      <c r="H181" s="56"/>
      <c r="I181" s="24" t="str">
        <f t="shared" si="14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5"/>
        <v/>
      </c>
      <c r="L181" s="57" t="str">
        <f>IF(C181&lt;&gt;"",_xlfn.XLOOKUP(TEXT(C181,"0"),TEXT(CC!$C$3:$C$1000,"0"),CC!$G$3:$G$1000,""),"")</f>
        <v/>
      </c>
    </row>
    <row r="182" spans="7:12" x14ac:dyDescent="0.25">
      <c r="G182" s="70">
        <f>IFERROR(SUMPRODUCT((TEXT(CC!$C$3:$C$1000,"0")=TEXT(C182,"0"))*IFERROR(CC!$E$3:$E$1000+0,0)),0)</f>
      </c>
      <c r="H182" s="56"/>
      <c r="I182" s="24" t="str">
        <f t="shared" si="14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5"/>
        <v/>
      </c>
      <c r="L182" s="57" t="str">
        <f>IF(C182&lt;&gt;"",_xlfn.XLOOKUP(TEXT(C182,"0"),TEXT(CC!$C$3:$C$1000,"0"),CC!$G$3:$G$1000,""),"")</f>
        <v/>
      </c>
    </row>
    <row r="183" spans="7:12" x14ac:dyDescent="0.25">
      <c r="G183" s="70">
        <f>IFERROR(SUMPRODUCT((TEXT(CC!$C$3:$C$1000,"0")=TEXT(C183,"0"))*IFERROR(CC!$E$3:$E$1000+0,0)),0)</f>
      </c>
      <c r="H183" s="56"/>
      <c r="I183" s="24" t="str">
        <f t="shared" si="14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5"/>
        <v/>
      </c>
      <c r="L183" s="57" t="str">
        <f>IF(C183&lt;&gt;"",_xlfn.XLOOKUP(TEXT(C183,"0"),TEXT(CC!$C$3:$C$1000,"0"),CC!$G$3:$G$1000,""),"")</f>
        <v/>
      </c>
    </row>
    <row r="184" spans="7:12" x14ac:dyDescent="0.25">
      <c r="G184" s="70">
        <f>IFERROR(SUMPRODUCT((TEXT(CC!$C$3:$C$1000,"0")=TEXT(C184,"0"))*IFERROR(CC!$E$3:$E$1000+0,0)),0)</f>
      </c>
      <c r="H184" s="56"/>
      <c r="I184" s="24" t="str">
        <f t="shared" si="14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5"/>
        <v/>
      </c>
      <c r="L184" s="57" t="str">
        <f>IF(C184&lt;&gt;"",_xlfn.XLOOKUP(TEXT(C184,"0"),TEXT(CC!$C$3:$C$1000,"0"),CC!$G$3:$G$1000,""),"")</f>
        <v/>
      </c>
    </row>
    <row r="185" spans="7:12" x14ac:dyDescent="0.25">
      <c r="G185" s="70">
        <f>IFERROR(SUMPRODUCT((TEXT(CC!$C$3:$C$1000,"0")=TEXT(C185,"0"))*IFERROR(CC!$E$3:$E$1000+0,0)),0)</f>
      </c>
      <c r="H185" s="56"/>
      <c r="I185" s="24" t="str">
        <f t="shared" si="14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5"/>
        <v/>
      </c>
      <c r="L185" s="57" t="str">
        <f>IF(C185&lt;&gt;"",_xlfn.XLOOKUP(TEXT(C185,"0"),TEXT(CC!$C$3:$C$1000,"0"),CC!$G$3:$G$1000,""),"")</f>
        <v/>
      </c>
    </row>
    <row r="186" spans="7:12" x14ac:dyDescent="0.25">
      <c r="G186" s="70">
        <f>IFERROR(SUMPRODUCT((TEXT(CC!$C$3:$C$1000,"0")=TEXT(C186,"0"))*IFERROR(CC!$E$3:$E$1000+0,0)),0)</f>
      </c>
      <c r="H186" s="56"/>
      <c r="I186" s="24" t="str">
        <f t="shared" si="14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5"/>
        <v/>
      </c>
      <c r="L186" s="57" t="str">
        <f>IF(C186&lt;&gt;"",_xlfn.XLOOKUP(TEXT(C186,"0"),TEXT(CC!$C$3:$C$1000,"0"),CC!$G$3:$G$1000,""),"")</f>
        <v/>
      </c>
    </row>
    <row r="187" spans="7:12" x14ac:dyDescent="0.25">
      <c r="G187" s="70">
        <f>IFERROR(SUMPRODUCT((TEXT(CC!$C$3:$C$1000,"0")=TEXT(C187,"0"))*IFERROR(CC!$E$3:$E$1000+0,0)),0)</f>
      </c>
      <c r="H187" s="56"/>
      <c r="I187" s="24" t="str">
        <f t="shared" si="14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5"/>
        <v/>
      </c>
      <c r="L187" s="57" t="str">
        <f>IF(C187&lt;&gt;"",_xlfn.XLOOKUP(TEXT(C187,"0"),TEXT(CC!$C$3:$C$1000,"0"),CC!$G$3:$G$1000,""),"")</f>
        <v/>
      </c>
    </row>
    <row r="188" spans="7:12" x14ac:dyDescent="0.25">
      <c r="G188" s="70">
        <f>IFERROR(SUMPRODUCT((TEXT(CC!$C$3:$C$1000,"0")=TEXT(C188,"0"))*IFERROR(CC!$E$3:$E$1000+0,0)),0)</f>
      </c>
      <c r="H188" s="56"/>
      <c r="I188" s="24" t="str">
        <f t="shared" si="14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5"/>
        <v/>
      </c>
      <c r="L188" s="57" t="str">
        <f>IF(C188&lt;&gt;"",_xlfn.XLOOKUP(TEXT(C188,"0"),TEXT(CC!$C$3:$C$1000,"0"),CC!$G$3:$G$1000,""),"")</f>
        <v/>
      </c>
    </row>
    <row r="189" spans="7:12" x14ac:dyDescent="0.25">
      <c r="G189" s="70">
        <f>IFERROR(SUMPRODUCT((TEXT(CC!$C$3:$C$1000,"0")=TEXT(C189,"0"))*IFERROR(CC!$E$3:$E$1000+0,0)),0)</f>
      </c>
      <c r="H189" s="56"/>
      <c r="I189" s="24" t="str">
        <f t="shared" si="14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5"/>
        <v/>
      </c>
      <c r="L189" s="57" t="str">
        <f>IF(C189&lt;&gt;"",_xlfn.XLOOKUP(TEXT(C189,"0"),TEXT(CC!$C$3:$C$1000,"0"),CC!$G$3:$G$1000,""),"")</f>
        <v/>
      </c>
    </row>
    <row r="190" spans="7:12" x14ac:dyDescent="0.25">
      <c r="G190" s="70">
        <f>IFERROR(SUMPRODUCT((TEXT(CC!$C$3:$C$1000,"0")=TEXT(C190,"0"))*IFERROR(CC!$E$3:$E$1000+0,0)),0)</f>
      </c>
      <c r="H190" s="56"/>
      <c r="I190" s="24" t="str">
        <f t="shared" si="14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5"/>
        <v/>
      </c>
      <c r="L190" s="57" t="str">
        <f>IF(C190&lt;&gt;"",_xlfn.XLOOKUP(TEXT(C190,"0"),TEXT(CC!$C$3:$C$1000,"0"),CC!$G$3:$G$1000,""),"")</f>
        <v/>
      </c>
    </row>
    <row r="191" spans="7:12" x14ac:dyDescent="0.25">
      <c r="G191" s="70">
        <f>IFERROR(SUMPRODUCT((TEXT(CC!$C$3:$C$1000,"0")=TEXT(C191,"0"))*IFERROR(CC!$E$3:$E$1000+0,0)),0)</f>
      </c>
      <c r="H191" s="56"/>
      <c r="I191" s="24" t="str">
        <f t="shared" si="14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5"/>
        <v/>
      </c>
      <c r="L191" s="57" t="str">
        <f>IF(C191&lt;&gt;"",_xlfn.XLOOKUP(TEXT(C191,"0"),TEXT(CC!$C$3:$C$1000,"0"),CC!$G$3:$G$1000,""),"")</f>
        <v/>
      </c>
    </row>
    <row r="192" spans="7:12" x14ac:dyDescent="0.25">
      <c r="G192" s="70">
        <f>IFERROR(SUMPRODUCT((TEXT(CC!$C$3:$C$1000,"0")=TEXT(C192,"0"))*IFERROR(CC!$E$3:$E$1000+0,0)),0)</f>
      </c>
      <c r="H192" s="56"/>
      <c r="I192" s="24" t="str">
        <f t="shared" si="14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5"/>
        <v/>
      </c>
      <c r="L192" s="57" t="str">
        <f>IF(C192&lt;&gt;"",_xlfn.XLOOKUP(TEXT(C192,"0"),TEXT(CC!$C$3:$C$1000,"0"),CC!$G$3:$G$1000,""),"")</f>
        <v/>
      </c>
    </row>
    <row r="193" spans="7:12" x14ac:dyDescent="0.25">
      <c r="G193" s="70">
        <f>IFERROR(SUMPRODUCT((TEXT(CC!$C$3:$C$1000,"0")=TEXT(C193,"0"))*IFERROR(CC!$E$3:$E$1000+0,0)),0)</f>
      </c>
      <c r="H193" s="56"/>
      <c r="I193" s="24" t="str">
        <f t="shared" si="14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5"/>
        <v/>
      </c>
      <c r="L193" s="57" t="str">
        <f>IF(C193&lt;&gt;"",_xlfn.XLOOKUP(TEXT(C193,"0"),TEXT(CC!$C$3:$C$1000,"0"),CC!$G$3:$G$1000,""),"")</f>
        <v/>
      </c>
    </row>
    <row r="194" spans="7:12" x14ac:dyDescent="0.25">
      <c r="G194" s="70">
        <f>IFERROR(SUMPRODUCT((TEXT(CC!$C$3:$C$1000,"0")=TEXT(C194,"0"))*IFERROR(CC!$E$3:$E$1000+0,0)),0)</f>
      </c>
      <c r="H194" s="56"/>
      <c r="I194" s="24" t="str">
        <f t="shared" si="14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5"/>
        <v/>
      </c>
      <c r="L194" s="57" t="str">
        <f>IF(C194&lt;&gt;"",_xlfn.XLOOKUP(TEXT(C194,"0"),TEXT(CC!$C$3:$C$1000,"0"),CC!$G$3:$G$1000,""),"")</f>
        <v/>
      </c>
    </row>
    <row r="195" spans="7:12" x14ac:dyDescent="0.25">
      <c r="G195" s="70">
        <f>IFERROR(SUMPRODUCT((TEXT(CC!$C$3:$C$1000,"0")=TEXT(C195,"0"))*IFERROR(CC!$E$3:$E$1000+0,0)),0)</f>
      </c>
      <c r="H195" s="56"/>
      <c r="I195" s="24" t="str">
        <f t="shared" si="14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5"/>
        <v/>
      </c>
      <c r="L195" s="57" t="str">
        <f>IF(C195&lt;&gt;"",_xlfn.XLOOKUP(TEXT(C195,"0"),TEXT(CC!$C$3:$C$1000,"0"),CC!$G$3:$G$1000,""),"")</f>
        <v/>
      </c>
    </row>
    <row r="196" spans="7:12" x14ac:dyDescent="0.25">
      <c r="G196" s="70">
        <f>IFERROR(SUMPRODUCT((TEXT(CC!$C$3:$C$1000,"0")=TEXT(C196,"0"))*IFERROR(CC!$E$3:$E$1000+0,0)),0)</f>
      </c>
      <c r="H196" s="56"/>
      <c r="I196" s="24" t="str">
        <f t="shared" si="14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5"/>
        <v/>
      </c>
      <c r="L196" s="57" t="str">
        <f>IF(C196&lt;&gt;"",_xlfn.XLOOKUP(TEXT(C196,"0"),TEXT(CC!$C$3:$C$1000,"0"),CC!$G$3:$G$1000,""),"")</f>
        <v/>
      </c>
    </row>
    <row r="197" spans="7:12" x14ac:dyDescent="0.25">
      <c r="G197" s="70">
        <f>IFERROR(SUMPRODUCT((TEXT(CC!$C$3:$C$1000,"0")=TEXT(C197,"0"))*IFERROR(CC!$E$3:$E$1000+0,0)),0)</f>
      </c>
      <c r="H197" s="56"/>
      <c r="I197" s="24" t="str">
        <f t="shared" si="14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5"/>
        <v/>
      </c>
      <c r="L197" s="57" t="str">
        <f>IF(C197&lt;&gt;"",_xlfn.XLOOKUP(TEXT(C197,"0"),TEXT(CC!$C$3:$C$1000,"0"),CC!$G$3:$G$1000,""),"")</f>
        <v/>
      </c>
    </row>
    <row r="198" spans="7:12" x14ac:dyDescent="0.25">
      <c r="G198" s="70">
        <f>IFERROR(SUMPRODUCT((TEXT(CC!$C$3:$C$1000,"0")=TEXT(C198,"0"))*IFERROR(CC!$E$3:$E$1000+0,0)),0)</f>
      </c>
      <c r="H198" s="56"/>
      <c r="I198" s="24" t="str">
        <f t="shared" si="14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5"/>
        <v/>
      </c>
      <c r="L198" s="57" t="str">
        <f>IF(C198&lt;&gt;"",_xlfn.XLOOKUP(TEXT(C198,"0"),TEXT(CC!$C$3:$C$1000,"0"),CC!$G$3:$G$1000,""),"")</f>
        <v/>
      </c>
    </row>
    <row r="199" spans="7:12" x14ac:dyDescent="0.25">
      <c r="G199" s="70">
        <f>IFERROR(SUMPRODUCT((TEXT(CC!$C$3:$C$1000,"0")=TEXT(C199,"0"))*IFERROR(CC!$E$3:$E$1000+0,0)),0)</f>
      </c>
      <c r="H199" s="56"/>
      <c r="I199" s="24" t="str">
        <f t="shared" si="14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5"/>
        <v/>
      </c>
      <c r="L199" s="57" t="str">
        <f>IF(C199&lt;&gt;"",_xlfn.XLOOKUP(TEXT(C199,"0"),TEXT(CC!$C$3:$C$1000,"0"),CC!$G$3:$G$1000,""),"")</f>
        <v/>
      </c>
    </row>
    <row r="200" spans="7:12" x14ac:dyDescent="0.25">
      <c r="G200" s="70">
        <f>IFERROR(SUMPRODUCT((TEXT(CC!$C$3:$C$1000,"0")=TEXT(C200,"0"))*IFERROR(CC!$E$3:$E$1000+0,0)),0)</f>
      </c>
      <c r="H200" s="56"/>
      <c r="I200" s="24" t="str">
        <f t="shared" si="14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5"/>
        <v/>
      </c>
      <c r="L200" s="57" t="str">
        <f>IF(C200&lt;&gt;"",_xlfn.XLOOKUP(TEXT(C200,"0"),TEXT(CC!$C$3:$C$1000,"0"),CC!$G$3:$G$1000,""),"")</f>
        <v/>
      </c>
    </row>
    <row r="201" spans="7:12" x14ac:dyDescent="0.25">
      <c r="G201" s="70">
        <f>IFERROR(SUMPRODUCT((TEXT(CC!$C$3:$C$1000,"0")=TEXT(C201,"0"))*IFERROR(CC!$E$3:$E$1000+0,0)),0)</f>
      </c>
      <c r="H201" s="56"/>
      <c r="I201" s="24" t="str">
        <f t="shared" si="14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5"/>
        <v/>
      </c>
      <c r="L201" s="57" t="str">
        <f>IF(C201&lt;&gt;"",_xlfn.XLOOKUP(TEXT(C201,"0"),TEXT(CC!$C$3:$C$1000,"0"),CC!$G$3:$G$1000,""),"")</f>
        <v/>
      </c>
    </row>
    <row r="202" spans="7:12" x14ac:dyDescent="0.25">
      <c r="G202" s="70">
        <f>IFERROR(SUMPRODUCT((TEXT(CC!$C$3:$C$1000,"0")=TEXT(C202,"0"))*IFERROR(CC!$E$3:$E$1000+0,0)),0)</f>
      </c>
      <c r="H202" s="56"/>
      <c r="I202" s="24" t="str">
        <f t="shared" si="14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5"/>
        <v/>
      </c>
      <c r="L202" s="57" t="str">
        <f>IF(C202&lt;&gt;"",_xlfn.XLOOKUP(TEXT(C202,"0"),TEXT(CC!$C$3:$C$1000,"0"),CC!$G$3:$G$1000,""),"")</f>
        <v/>
      </c>
    </row>
    <row r="203" spans="7:12" x14ac:dyDescent="0.25">
      <c r="G203" s="70">
        <f>IFERROR(SUMPRODUCT((TEXT(CC!$C$3:$C$1000,"0")=TEXT(C203,"0"))*IFERROR(CC!$E$3:$E$1000+0,0)),0)</f>
      </c>
      <c r="H203" s="56"/>
      <c r="I203" s="24" t="str">
        <f t="shared" si="14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5"/>
        <v/>
      </c>
      <c r="L203" s="57" t="str">
        <f>IF(C203&lt;&gt;"",_xlfn.XLOOKUP(TEXT(C203,"0"),TEXT(CC!$C$3:$C$1000,"0"),CC!$G$3:$G$1000,""),"")</f>
        <v/>
      </c>
    </row>
    <row r="204" spans="7:12" x14ac:dyDescent="0.25">
      <c r="G204" s="70">
        <f>IFERROR(SUMPRODUCT((TEXT(CC!$C$3:$C$1000,"0")=TEXT(C204,"0"))*IFERROR(CC!$E$3:$E$1000+0,0)),0)</f>
      </c>
      <c r="H204" s="56"/>
      <c r="I204" s="24" t="str">
        <f t="shared" si="14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5"/>
        <v/>
      </c>
      <c r="L204" s="57" t="str">
        <f>IF(C204&lt;&gt;"",_xlfn.XLOOKUP(TEXT(C204,"0"),TEXT(CC!$C$3:$C$1000,"0"),CC!$G$3:$G$1000,""),"")</f>
        <v/>
      </c>
    </row>
    <row r="205" spans="7:12" x14ac:dyDescent="0.25">
      <c r="G205" s="70">
        <f>IFERROR(SUMPRODUCT((TEXT(CC!$C$3:$C$1000,"0")=TEXT(C205,"0"))*IFERROR(CC!$E$3:$E$1000+0,0)),0)</f>
      </c>
      <c r="H205" s="56"/>
      <c r="I205" s="24" t="str">
        <f t="shared" si="14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5"/>
        <v/>
      </c>
      <c r="L205" s="57" t="str">
        <f>IF(C205&lt;&gt;"",_xlfn.XLOOKUP(TEXT(C205,"0"),TEXT(CC!$C$3:$C$1000,"0"),CC!$G$3:$G$1000,""),"")</f>
        <v/>
      </c>
    </row>
    <row r="206" spans="7:12" x14ac:dyDescent="0.25">
      <c r="G206" s="70">
        <f>IFERROR(SUMPRODUCT((TEXT(CC!$C$3:$C$1000,"0")=TEXT(C206,"0"))*IFERROR(CC!$E$3:$E$1000+0,0)),0)</f>
      </c>
      <c r="H206" s="56"/>
      <c r="I206" s="24" t="str">
        <f t="shared" si="14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5"/>
        <v/>
      </c>
      <c r="L206" s="57" t="str">
        <f>IF(C206&lt;&gt;"",_xlfn.XLOOKUP(TEXT(C206,"0"),TEXT(CC!$C$3:$C$1000,"0"),CC!$G$3:$G$1000,""),"")</f>
        <v/>
      </c>
    </row>
    <row r="207" spans="7:12" x14ac:dyDescent="0.25">
      <c r="G207" s="70">
        <f>IFERROR(SUMPRODUCT((TEXT(CC!$C$3:$C$1000,"0")=TEXT(C207,"0"))*IFERROR(CC!$E$3:$E$1000+0,0)),0)</f>
      </c>
      <c r="H207" s="56"/>
      <c r="I207" s="24" t="str">
        <f t="shared" ref="I207:I270" si="16">IF(J207&lt;&gt;0,"511011","")</f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5"/>
        <v/>
      </c>
      <c r="L207" s="57" t="str">
        <f>IF(C207&lt;&gt;"",_xlfn.XLOOKUP(TEXT(C207,"0"),TEXT(CC!$C$3:$C$1000,"0"),CC!$G$3:$G$1000,""),"")</f>
        <v/>
      </c>
    </row>
    <row r="208" spans="7:12" x14ac:dyDescent="0.25">
      <c r="G208" s="70">
        <f>IFERROR(SUMPRODUCT((TEXT(CC!$C$3:$C$1000,"0")=TEXT(C208,"0"))*IFERROR(CC!$E$3:$E$1000+0,0)),0)</f>
      </c>
      <c r="H208" s="56"/>
      <c r="I208" s="24" t="str">
        <f t="shared" si="16"/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7">IF(J208&lt;&gt;0,C208,"")</f>
        <v/>
      </c>
      <c r="L208" s="57" t="str">
        <f>IF(C208&lt;&gt;"",_xlfn.XLOOKUP(TEXT(C208,"0"),TEXT(CC!$C$3:$C$1000,"0"),CC!$G$3:$G$1000,""),"")</f>
        <v/>
      </c>
    </row>
    <row r="209" spans="7:12" x14ac:dyDescent="0.25">
      <c r="G209" s="70">
        <f>IFERROR(SUMPRODUCT((TEXT(CC!$C$3:$C$1000,"0")=TEXT(C209,"0"))*IFERROR(CC!$E$3:$E$1000+0,0)),0)</f>
      </c>
      <c r="H209" s="56"/>
      <c r="I209" s="24" t="str">
        <f t="shared" si="16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7"/>
        <v/>
      </c>
      <c r="L209" s="57" t="str">
        <f>IF(C209&lt;&gt;"",_xlfn.XLOOKUP(TEXT(C209,"0"),TEXT(CC!$C$3:$C$1000,"0"),CC!$G$3:$G$1000,""),"")</f>
        <v/>
      </c>
    </row>
    <row r="210" spans="7:12" x14ac:dyDescent="0.25">
      <c r="G210" s="70">
        <f>IFERROR(SUMPRODUCT((TEXT(CC!$C$3:$C$1000,"0")=TEXT(C210,"0"))*IFERROR(CC!$E$3:$E$1000+0,0)),0)</f>
      </c>
      <c r="H210" s="56"/>
      <c r="I210" s="24" t="str">
        <f t="shared" si="16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7"/>
        <v/>
      </c>
      <c r="L210" s="57" t="str">
        <f>IF(C210&lt;&gt;"",_xlfn.XLOOKUP(TEXT(C210,"0"),TEXT(CC!$C$3:$C$1000,"0"),CC!$G$3:$G$1000,""),"")</f>
        <v/>
      </c>
    </row>
    <row r="211" spans="7:12" x14ac:dyDescent="0.25">
      <c r="G211" s="70">
        <f>IFERROR(SUMPRODUCT((TEXT(CC!$C$3:$C$1000,"0")=TEXT(C211,"0"))*IFERROR(CC!$E$3:$E$1000+0,0)),0)</f>
      </c>
      <c r="H211" s="56"/>
      <c r="I211" s="24" t="str">
        <f t="shared" si="16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7"/>
        <v/>
      </c>
      <c r="L211" s="57" t="str">
        <f>IF(C211&lt;&gt;"",_xlfn.XLOOKUP(TEXT(C211,"0"),TEXT(CC!$C$3:$C$1000,"0"),CC!$G$3:$G$1000,""),"")</f>
        <v/>
      </c>
    </row>
    <row r="212" spans="7:12" x14ac:dyDescent="0.25">
      <c r="G212" s="70">
        <f>IFERROR(SUMPRODUCT((TEXT(CC!$C$3:$C$1000,"0")=TEXT(C212,"0"))*IFERROR(CC!$E$3:$E$1000+0,0)),0)</f>
      </c>
      <c r="H212" s="56"/>
      <c r="I212" s="24" t="str">
        <f t="shared" si="16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7"/>
        <v/>
      </c>
      <c r="L212" s="57" t="str">
        <f>IF(C212&lt;&gt;"",_xlfn.XLOOKUP(TEXT(C212,"0"),TEXT(CC!$C$3:$C$1000,"0"),CC!$G$3:$G$1000,""),"")</f>
        <v/>
      </c>
    </row>
    <row r="213" spans="7:12" x14ac:dyDescent="0.25">
      <c r="G213" s="70">
        <f>IFERROR(SUMPRODUCT((TEXT(CC!$C$3:$C$1000,"0")=TEXT(C213,"0"))*IFERROR(CC!$E$3:$E$1000+0,0)),0)</f>
      </c>
      <c r="H213" s="56"/>
      <c r="I213" s="24" t="str">
        <f t="shared" si="16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7"/>
        <v/>
      </c>
      <c r="L213" s="57" t="str">
        <f>IF(C213&lt;&gt;"",_xlfn.XLOOKUP(TEXT(C213,"0"),TEXT(CC!$C$3:$C$1000,"0"),CC!$G$3:$G$1000,""),"")</f>
        <v/>
      </c>
    </row>
    <row r="214" spans="7:12" x14ac:dyDescent="0.25">
      <c r="G214" s="70">
        <f>IFERROR(SUMPRODUCT((TEXT(CC!$C$3:$C$1000,"0")=TEXT(C214,"0"))*IFERROR(CC!$E$3:$E$1000+0,0)),0)</f>
      </c>
      <c r="H214" s="56"/>
      <c r="I214" s="24" t="str">
        <f t="shared" si="16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7"/>
        <v/>
      </c>
      <c r="L214" s="57" t="str">
        <f>IF(C214&lt;&gt;"",_xlfn.XLOOKUP(TEXT(C214,"0"),TEXT(CC!$C$3:$C$1000,"0"),CC!$G$3:$G$1000,""),"")</f>
        <v/>
      </c>
    </row>
    <row r="215" spans="7:12" x14ac:dyDescent="0.25">
      <c r="G215" s="70">
        <f>IFERROR(SUMPRODUCT((TEXT(CC!$C$3:$C$1000,"0")=TEXT(C215,"0"))*IFERROR(CC!$E$3:$E$1000+0,0)),0)</f>
      </c>
      <c r="H215" s="56"/>
      <c r="I215" s="24" t="str">
        <f t="shared" si="16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7"/>
        <v/>
      </c>
      <c r="L215" s="57" t="str">
        <f>IF(C215&lt;&gt;"",_xlfn.XLOOKUP(TEXT(C215,"0"),TEXT(CC!$C$3:$C$1000,"0"),CC!$G$3:$G$1000,""),"")</f>
        <v/>
      </c>
    </row>
    <row r="216" spans="7:12" x14ac:dyDescent="0.25">
      <c r="G216" s="70">
        <f>IFERROR(SUMPRODUCT((TEXT(CC!$C$3:$C$1000,"0")=TEXT(C216,"0"))*IFERROR(CC!$E$3:$E$1000+0,0)),0)</f>
      </c>
      <c r="H216" s="56"/>
      <c r="I216" s="24" t="str">
        <f t="shared" si="16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7"/>
        <v/>
      </c>
      <c r="L216" s="57" t="str">
        <f>IF(C216&lt;&gt;"",_xlfn.XLOOKUP(TEXT(C216,"0"),TEXT(CC!$C$3:$C$1000,"0"),CC!$G$3:$G$1000,""),"")</f>
        <v/>
      </c>
    </row>
    <row r="217" spans="7:12" x14ac:dyDescent="0.25">
      <c r="G217" s="70">
        <f>IFERROR(SUMPRODUCT((TEXT(CC!$C$3:$C$1000,"0")=TEXT(C217,"0"))*IFERROR(CC!$E$3:$E$1000+0,0)),0)</f>
      </c>
      <c r="H217" s="56"/>
      <c r="I217" s="24" t="str">
        <f t="shared" si="16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7"/>
        <v/>
      </c>
      <c r="L217" s="57" t="str">
        <f>IF(C217&lt;&gt;"",_xlfn.XLOOKUP(TEXT(C217,"0"),TEXT(CC!$C$3:$C$1000,"0"),CC!$G$3:$G$1000,""),"")</f>
        <v/>
      </c>
    </row>
    <row r="218" spans="7:12" x14ac:dyDescent="0.25">
      <c r="G218" s="70">
        <f>IFERROR(SUMPRODUCT((TEXT(CC!$C$3:$C$1000,"0")=TEXT(C218,"0"))*IFERROR(CC!$E$3:$E$1000+0,0)),0)</f>
      </c>
      <c r="H218" s="56"/>
      <c r="I218" s="24" t="str">
        <f t="shared" si="16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7"/>
        <v/>
      </c>
      <c r="L218" s="57" t="str">
        <f>IF(C218&lt;&gt;"",_xlfn.XLOOKUP(TEXT(C218,"0"),TEXT(CC!$C$3:$C$1000,"0"),CC!$G$3:$G$1000,""),"")</f>
        <v/>
      </c>
    </row>
    <row r="219" spans="7:12" x14ac:dyDescent="0.25">
      <c r="G219" s="70">
        <f>IFERROR(SUMPRODUCT((TEXT(CC!$C$3:$C$1000,"0")=TEXT(C219,"0"))*IFERROR(CC!$E$3:$E$1000+0,0)),0)</f>
      </c>
      <c r="H219" s="56"/>
      <c r="I219" s="24" t="str">
        <f t="shared" si="16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7"/>
        <v/>
      </c>
      <c r="L219" s="57" t="str">
        <f>IF(C219&lt;&gt;"",_xlfn.XLOOKUP(TEXT(C219,"0"),TEXT(CC!$C$3:$C$1000,"0"),CC!$G$3:$G$1000,""),"")</f>
        <v/>
      </c>
    </row>
    <row r="220" spans="7:12" x14ac:dyDescent="0.25">
      <c r="G220" s="70">
        <f>IFERROR(SUMPRODUCT((TEXT(CC!$C$3:$C$1000,"0")=TEXT(C220,"0"))*IFERROR(CC!$E$3:$E$1000+0,0)),0)</f>
      </c>
      <c r="H220" s="56"/>
      <c r="I220" s="24" t="str">
        <f t="shared" si="16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7"/>
        <v/>
      </c>
      <c r="L220" s="57" t="str">
        <f>IF(C220&lt;&gt;"",_xlfn.XLOOKUP(TEXT(C220,"0"),TEXT(CC!$C$3:$C$1000,"0"),CC!$G$3:$G$1000,""),"")</f>
        <v/>
      </c>
    </row>
    <row r="221" spans="7:12" x14ac:dyDescent="0.25">
      <c r="G221" s="70">
        <f>IFERROR(SUMPRODUCT((TEXT(CC!$C$3:$C$1000,"0")=TEXT(C221,"0"))*IFERROR(CC!$E$3:$E$1000+0,0)),0)</f>
      </c>
      <c r="H221" s="56"/>
      <c r="I221" s="24" t="str">
        <f t="shared" si="16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7"/>
        <v/>
      </c>
      <c r="L221" s="57" t="str">
        <f>IF(C221&lt;&gt;"",_xlfn.XLOOKUP(TEXT(C221,"0"),TEXT(CC!$C$3:$C$1000,"0"),CC!$G$3:$G$1000,""),"")</f>
        <v/>
      </c>
    </row>
    <row r="222" spans="7:12" x14ac:dyDescent="0.25">
      <c r="G222" s="70">
        <f>IFERROR(SUMPRODUCT((TEXT(CC!$C$3:$C$1000,"0")=TEXT(C222,"0"))*IFERROR(CC!$E$3:$E$1000+0,0)),0)</f>
      </c>
      <c r="H222" s="56"/>
      <c r="I222" s="24" t="str">
        <f t="shared" si="16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7"/>
        <v/>
      </c>
      <c r="L222" s="57" t="str">
        <f>IF(C222&lt;&gt;"",_xlfn.XLOOKUP(TEXT(C222,"0"),TEXT(CC!$C$3:$C$1000,"0"),CC!$G$3:$G$1000,""),"")</f>
        <v/>
      </c>
    </row>
    <row r="223" spans="7:12" x14ac:dyDescent="0.25">
      <c r="G223" s="70">
        <f>IFERROR(SUMPRODUCT((TEXT(CC!$C$3:$C$1000,"0")=TEXT(C223,"0"))*IFERROR(CC!$E$3:$E$1000+0,0)),0)</f>
      </c>
      <c r="H223" s="56"/>
      <c r="I223" s="24" t="str">
        <f t="shared" si="16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7"/>
        <v/>
      </c>
      <c r="L223" s="57" t="str">
        <f>IF(C223&lt;&gt;"",_xlfn.XLOOKUP(TEXT(C223,"0"),TEXT(CC!$C$3:$C$1000,"0"),CC!$G$3:$G$1000,""),"")</f>
        <v/>
      </c>
    </row>
    <row r="224" spans="7:12" x14ac:dyDescent="0.25">
      <c r="G224" s="70">
        <f>IFERROR(SUMPRODUCT((TEXT(CC!$C$3:$C$1000,"0")=TEXT(C224,"0"))*IFERROR(CC!$E$3:$E$1000+0,0)),0)</f>
      </c>
      <c r="H224" s="56"/>
      <c r="I224" s="24" t="str">
        <f t="shared" si="16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7"/>
        <v/>
      </c>
      <c r="L224" s="57" t="str">
        <f>IF(C224&lt;&gt;"",_xlfn.XLOOKUP(TEXT(C224,"0"),TEXT(CC!$C$3:$C$1000,"0"),CC!$G$3:$G$1000,""),"")</f>
        <v/>
      </c>
    </row>
    <row r="225" spans="7:12" x14ac:dyDescent="0.25">
      <c r="G225" s="70">
        <f>IFERROR(SUMPRODUCT((TEXT(CC!$C$3:$C$1000,"0")=TEXT(C225,"0"))*IFERROR(CC!$E$3:$E$1000+0,0)),0)</f>
      </c>
      <c r="H225" s="56"/>
      <c r="I225" s="24" t="str">
        <f t="shared" si="16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7"/>
        <v/>
      </c>
      <c r="L225" s="57" t="str">
        <f>IF(C225&lt;&gt;"",_xlfn.XLOOKUP(TEXT(C225,"0"),TEXT(CC!$C$3:$C$1000,"0"),CC!$G$3:$G$1000,""),"")</f>
        <v/>
      </c>
    </row>
    <row r="226" spans="7:12" x14ac:dyDescent="0.25">
      <c r="G226" s="70">
        <f>IFERROR(SUMPRODUCT((TEXT(CC!$C$3:$C$1000,"0")=TEXT(C226,"0"))*IFERROR(CC!$E$3:$E$1000+0,0)),0)</f>
      </c>
      <c r="H226" s="56"/>
      <c r="I226" s="24" t="str">
        <f t="shared" si="16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7"/>
        <v/>
      </c>
      <c r="L226" s="57" t="str">
        <f>IF(C226&lt;&gt;"",_xlfn.XLOOKUP(TEXT(C226,"0"),TEXT(CC!$C$3:$C$1000,"0"),CC!$G$3:$G$1000,""),"")</f>
        <v/>
      </c>
    </row>
    <row r="227" spans="7:12" x14ac:dyDescent="0.25">
      <c r="G227" s="70">
        <f>IFERROR(SUMPRODUCT((TEXT(CC!$C$3:$C$1000,"0")=TEXT(C227,"0"))*IFERROR(CC!$E$3:$E$1000+0,0)),0)</f>
      </c>
      <c r="H227" s="56"/>
      <c r="I227" s="24" t="str">
        <f t="shared" si="16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7"/>
        <v/>
      </c>
      <c r="L227" s="57" t="str">
        <f>IF(C227&lt;&gt;"",_xlfn.XLOOKUP(TEXT(C227,"0"),TEXT(CC!$C$3:$C$1000,"0"),CC!$G$3:$G$1000,""),"")</f>
        <v/>
      </c>
    </row>
    <row r="228" spans="7:12" x14ac:dyDescent="0.25">
      <c r="G228" s="70">
        <f>IFERROR(SUMPRODUCT((TEXT(CC!$C$3:$C$1000,"0")=TEXT(C228,"0"))*IFERROR(CC!$E$3:$E$1000+0,0)),0)</f>
      </c>
      <c r="H228" s="56"/>
      <c r="I228" s="24" t="str">
        <f t="shared" si="16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7"/>
        <v/>
      </c>
      <c r="L228" s="57" t="str">
        <f>IF(C228&lt;&gt;"",_xlfn.XLOOKUP(TEXT(C228,"0"),TEXT(CC!$C$3:$C$1000,"0"),CC!$G$3:$G$1000,""),"")</f>
        <v/>
      </c>
    </row>
    <row r="229" spans="7:12" x14ac:dyDescent="0.25">
      <c r="G229" s="70">
        <f>IFERROR(SUMPRODUCT((TEXT(CC!$C$3:$C$1000,"0")=TEXT(C229,"0"))*IFERROR(CC!$E$3:$E$1000+0,0)),0)</f>
      </c>
      <c r="H229" s="56"/>
      <c r="I229" s="24" t="str">
        <f t="shared" si="16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7"/>
        <v/>
      </c>
      <c r="L229" s="57" t="str">
        <f>IF(C229&lt;&gt;"",_xlfn.XLOOKUP(TEXT(C229,"0"),TEXT(CC!$C$3:$C$1000,"0"),CC!$G$3:$G$1000,""),"")</f>
        <v/>
      </c>
    </row>
    <row r="230" spans="7:12" x14ac:dyDescent="0.25">
      <c r="G230" s="70">
        <f>IFERROR(SUMPRODUCT((TEXT(CC!$C$3:$C$1000,"0")=TEXT(C230,"0"))*IFERROR(CC!$E$3:$E$1000+0,0)),0)</f>
      </c>
      <c r="H230" s="56"/>
      <c r="I230" s="24" t="str">
        <f t="shared" si="16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7"/>
        <v/>
      </c>
      <c r="L230" s="57" t="str">
        <f>IF(C230&lt;&gt;"",_xlfn.XLOOKUP(TEXT(C230,"0"),TEXT(CC!$C$3:$C$1000,"0"),CC!$G$3:$G$1000,""),"")</f>
        <v/>
      </c>
    </row>
    <row r="231" spans="7:12" x14ac:dyDescent="0.25">
      <c r="G231" s="70">
        <f>IFERROR(SUMPRODUCT((TEXT(CC!$C$3:$C$1000,"0")=TEXT(C231,"0"))*IFERROR(CC!$E$3:$E$1000+0,0)),0)</f>
      </c>
      <c r="H231" s="56"/>
      <c r="I231" s="24" t="str">
        <f t="shared" si="16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7"/>
        <v/>
      </c>
      <c r="L231" s="57" t="str">
        <f>IF(C231&lt;&gt;"",_xlfn.XLOOKUP(TEXT(C231,"0"),TEXT(CC!$C$3:$C$1000,"0"),CC!$G$3:$G$1000,""),"")</f>
        <v/>
      </c>
    </row>
    <row r="232" spans="7:12" x14ac:dyDescent="0.25">
      <c r="G232" s="70">
        <f>IFERROR(SUMPRODUCT((TEXT(CC!$C$3:$C$1000,"0")=TEXT(C232,"0"))*IFERROR(CC!$E$3:$E$1000+0,0)),0)</f>
      </c>
      <c r="H232" s="56"/>
      <c r="I232" s="24" t="str">
        <f t="shared" si="16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7"/>
        <v/>
      </c>
      <c r="L232" s="57" t="str">
        <f>IF(C232&lt;&gt;"",_xlfn.XLOOKUP(TEXT(C232,"0"),TEXT(CC!$C$3:$C$1000,"0"),CC!$G$3:$G$1000,""),"")</f>
        <v/>
      </c>
    </row>
    <row r="233" spans="7:12" x14ac:dyDescent="0.25">
      <c r="G233" s="70">
        <f>IFERROR(SUMPRODUCT((TEXT(CC!$C$3:$C$1000,"0")=TEXT(C233,"0"))*IFERROR(CC!$E$3:$E$1000+0,0)),0)</f>
      </c>
      <c r="H233" s="56"/>
      <c r="I233" s="24" t="str">
        <f t="shared" si="16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7"/>
        <v/>
      </c>
      <c r="L233" s="57" t="str">
        <f>IF(C233&lt;&gt;"",_xlfn.XLOOKUP(TEXT(C233,"0"),TEXT(CC!$C$3:$C$1000,"0"),CC!$G$3:$G$1000,""),"")</f>
        <v/>
      </c>
    </row>
    <row r="234" spans="7:12" x14ac:dyDescent="0.25">
      <c r="G234" s="70">
        <f>IFERROR(SUMPRODUCT((TEXT(CC!$C$3:$C$1000,"0")=TEXT(C234,"0"))*IFERROR(CC!$E$3:$E$1000+0,0)),0)</f>
      </c>
      <c r="H234" s="56"/>
      <c r="I234" s="24" t="str">
        <f t="shared" si="16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7"/>
        <v/>
      </c>
      <c r="L234" s="57" t="str">
        <f>IF(C234&lt;&gt;"",_xlfn.XLOOKUP(TEXT(C234,"0"),TEXT(CC!$C$3:$C$1000,"0"),CC!$G$3:$G$1000,""),"")</f>
        <v/>
      </c>
    </row>
    <row r="235" spans="7:12" x14ac:dyDescent="0.25">
      <c r="G235" s="70">
        <f>IFERROR(SUMPRODUCT((TEXT(CC!$C$3:$C$1000,"0")=TEXT(C235,"0"))*IFERROR(CC!$E$3:$E$1000+0,0)),0)</f>
      </c>
      <c r="H235" s="56"/>
      <c r="I235" s="24" t="str">
        <f t="shared" si="16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7"/>
        <v/>
      </c>
      <c r="L235" s="57" t="str">
        <f>IF(C235&lt;&gt;"",_xlfn.XLOOKUP(TEXT(C235,"0"),TEXT(CC!$C$3:$C$1000,"0"),CC!$G$3:$G$1000,""),"")</f>
        <v/>
      </c>
    </row>
    <row r="236" spans="7:12" x14ac:dyDescent="0.25">
      <c r="G236" s="70">
        <f>IFERROR(SUMPRODUCT((TEXT(CC!$C$3:$C$1000,"0")=TEXT(C236,"0"))*IFERROR(CC!$E$3:$E$1000+0,0)),0)</f>
      </c>
      <c r="H236" s="56"/>
      <c r="I236" s="24" t="str">
        <f t="shared" si="16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7"/>
        <v/>
      </c>
      <c r="L236" s="57" t="str">
        <f>IF(C236&lt;&gt;"",_xlfn.XLOOKUP(TEXT(C236,"0"),TEXT(CC!$C$3:$C$1000,"0"),CC!$G$3:$G$1000,""),"")</f>
        <v/>
      </c>
    </row>
    <row r="237" spans="7:12" x14ac:dyDescent="0.25">
      <c r="G237" s="70">
        <f>IFERROR(SUMPRODUCT((TEXT(CC!$C$3:$C$1000,"0")=TEXT(C237,"0"))*IFERROR(CC!$E$3:$E$1000+0,0)),0)</f>
      </c>
      <c r="H237" s="56"/>
      <c r="I237" s="24" t="str">
        <f t="shared" si="16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7"/>
        <v/>
      </c>
      <c r="L237" s="57" t="str">
        <f>IF(C237&lt;&gt;"",_xlfn.XLOOKUP(TEXT(C237,"0"),TEXT(CC!$C$3:$C$1000,"0"),CC!$G$3:$G$1000,""),"")</f>
        <v/>
      </c>
    </row>
    <row r="238" spans="7:12" x14ac:dyDescent="0.25">
      <c r="G238" s="70">
        <f>IFERROR(SUMPRODUCT((TEXT(CC!$C$3:$C$1000,"0")=TEXT(C238,"0"))*IFERROR(CC!$E$3:$E$1000+0,0)),0)</f>
      </c>
      <c r="H238" s="56"/>
      <c r="I238" s="24" t="str">
        <f t="shared" si="16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7"/>
        <v/>
      </c>
      <c r="L238" s="57" t="str">
        <f>IF(C238&lt;&gt;"",_xlfn.XLOOKUP(TEXT(C238,"0"),TEXT(CC!$C$3:$C$1000,"0"),CC!$G$3:$G$1000,""),"")</f>
        <v/>
      </c>
    </row>
    <row r="239" spans="7:12" x14ac:dyDescent="0.25">
      <c r="G239" s="70">
        <f>IFERROR(SUMPRODUCT((TEXT(CC!$C$3:$C$1000,"0")=TEXT(C239,"0"))*IFERROR(CC!$E$3:$E$1000+0,0)),0)</f>
      </c>
      <c r="H239" s="56"/>
      <c r="I239" s="24" t="str">
        <f t="shared" si="16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7"/>
        <v/>
      </c>
      <c r="L239" s="57" t="str">
        <f>IF(C239&lt;&gt;"",_xlfn.XLOOKUP(TEXT(C239,"0"),TEXT(CC!$C$3:$C$1000,"0"),CC!$G$3:$G$1000,""),"")</f>
        <v/>
      </c>
    </row>
    <row r="240" spans="7:12" x14ac:dyDescent="0.25">
      <c r="G240" s="70">
        <f>IFERROR(SUMPRODUCT((TEXT(CC!$C$3:$C$1000,"0")=TEXT(C240,"0"))*IFERROR(CC!$E$3:$E$1000+0,0)),0)</f>
      </c>
      <c r="H240" s="56"/>
      <c r="I240" s="24" t="str">
        <f t="shared" si="16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7"/>
        <v/>
      </c>
      <c r="L240" s="57" t="str">
        <f>IF(C240&lt;&gt;"",_xlfn.XLOOKUP(TEXT(C240,"0"),TEXT(CC!$C$3:$C$1000,"0"),CC!$G$3:$G$1000,""),"")</f>
        <v/>
      </c>
    </row>
    <row r="241" spans="7:12" x14ac:dyDescent="0.25">
      <c r="G241" s="70">
        <f>IFERROR(SUMPRODUCT((TEXT(CC!$C$3:$C$1000,"0")=TEXT(C241,"0"))*IFERROR(CC!$E$3:$E$1000+0,0)),0)</f>
      </c>
      <c r="H241" s="56"/>
      <c r="I241" s="24" t="str">
        <f t="shared" si="16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7"/>
        <v/>
      </c>
      <c r="L241" s="57" t="str">
        <f>IF(C241&lt;&gt;"",_xlfn.XLOOKUP(TEXT(C241,"0"),TEXT(CC!$C$3:$C$1000,"0"),CC!$G$3:$G$1000,""),"")</f>
        <v/>
      </c>
    </row>
    <row r="242" spans="7:12" x14ac:dyDescent="0.25">
      <c r="G242" s="70">
        <f>IFERROR(SUMPRODUCT((TEXT(CC!$C$3:$C$1000,"0")=TEXT(C242,"0"))*IFERROR(CC!$E$3:$E$1000+0,0)),0)</f>
      </c>
      <c r="H242" s="56"/>
      <c r="I242" s="24" t="str">
        <f t="shared" si="16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7"/>
        <v/>
      </c>
      <c r="L242" s="57" t="str">
        <f>IF(C242&lt;&gt;"",_xlfn.XLOOKUP(TEXT(C242,"0"),TEXT(CC!$C$3:$C$1000,"0"),CC!$G$3:$G$1000,""),"")</f>
        <v/>
      </c>
    </row>
    <row r="243" spans="7:12" x14ac:dyDescent="0.25">
      <c r="G243" s="70">
        <f>IFERROR(SUMPRODUCT((TEXT(CC!$C$3:$C$1000,"0")=TEXT(C243,"0"))*IFERROR(CC!$E$3:$E$1000+0,0)),0)</f>
      </c>
      <c r="H243" s="56"/>
      <c r="I243" s="24" t="str">
        <f t="shared" si="16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7"/>
        <v/>
      </c>
      <c r="L243" s="57" t="str">
        <f>IF(C243&lt;&gt;"",_xlfn.XLOOKUP(TEXT(C243,"0"),TEXT(CC!$C$3:$C$1000,"0"),CC!$G$3:$G$1000,""),"")</f>
        <v/>
      </c>
    </row>
    <row r="244" spans="7:12" x14ac:dyDescent="0.25">
      <c r="G244" s="70">
        <f>IFERROR(SUMPRODUCT((TEXT(CC!$C$3:$C$1000,"0")=TEXT(C244,"0"))*IFERROR(CC!$E$3:$E$1000+0,0)),0)</f>
      </c>
      <c r="H244" s="56"/>
      <c r="I244" s="24" t="str">
        <f t="shared" si="16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7"/>
        <v/>
      </c>
      <c r="L244" s="57" t="str">
        <f>IF(C244&lt;&gt;"",_xlfn.XLOOKUP(TEXT(C244,"0"),TEXT(CC!$C$3:$C$1000,"0"),CC!$G$3:$G$1000,""),"")</f>
        <v/>
      </c>
    </row>
    <row r="245" spans="7:12" x14ac:dyDescent="0.25">
      <c r="G245" s="70">
        <f>IFERROR(SUMPRODUCT((TEXT(CC!$C$3:$C$1000,"0")=TEXT(C245,"0"))*IFERROR(CC!$E$3:$E$1000+0,0)),0)</f>
      </c>
      <c r="H245" s="56"/>
      <c r="I245" s="24" t="str">
        <f t="shared" si="16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7"/>
        <v/>
      </c>
      <c r="L245" s="57" t="str">
        <f>IF(C245&lt;&gt;"",_xlfn.XLOOKUP(TEXT(C245,"0"),TEXT(CC!$C$3:$C$1000,"0"),CC!$G$3:$G$1000,""),"")</f>
        <v/>
      </c>
    </row>
    <row r="246" spans="7:12" x14ac:dyDescent="0.25">
      <c r="G246" s="70">
        <f>IFERROR(SUMPRODUCT((TEXT(CC!$C$3:$C$1000,"0")=TEXT(C246,"0"))*IFERROR(CC!$E$3:$E$1000+0,0)),0)</f>
      </c>
      <c r="H246" s="56"/>
      <c r="I246" s="24" t="str">
        <f t="shared" si="16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7"/>
        <v/>
      </c>
      <c r="L246" s="57" t="str">
        <f>IF(C246&lt;&gt;"",_xlfn.XLOOKUP(TEXT(C246,"0"),TEXT(CC!$C$3:$C$1000,"0"),CC!$G$3:$G$1000,""),"")</f>
        <v/>
      </c>
    </row>
    <row r="247" spans="7:12" x14ac:dyDescent="0.25">
      <c r="G247" s="70">
        <f>IFERROR(SUMPRODUCT((TEXT(CC!$C$3:$C$1000,"0")=TEXT(C247,"0"))*IFERROR(CC!$E$3:$E$1000+0,0)),0)</f>
      </c>
      <c r="H247" s="56"/>
      <c r="I247" s="24" t="str">
        <f t="shared" si="16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7"/>
        <v/>
      </c>
      <c r="L247" s="57" t="str">
        <f>IF(C247&lt;&gt;"",_xlfn.XLOOKUP(TEXT(C247,"0"),TEXT(CC!$C$3:$C$1000,"0"),CC!$G$3:$G$1000,""),"")</f>
        <v/>
      </c>
    </row>
    <row r="248" spans="7:12" x14ac:dyDescent="0.25">
      <c r="G248" s="70">
        <f>IFERROR(SUMPRODUCT((TEXT(CC!$C$3:$C$1000,"0")=TEXT(C248,"0"))*IFERROR(CC!$E$3:$E$1000+0,0)),0)</f>
      </c>
      <c r="H248" s="56"/>
      <c r="I248" s="24" t="str">
        <f t="shared" si="16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7"/>
        <v/>
      </c>
      <c r="L248" s="57" t="str">
        <f>IF(C248&lt;&gt;"",_xlfn.XLOOKUP(TEXT(C248,"0"),TEXT(CC!$C$3:$C$1000,"0"),CC!$G$3:$G$1000,""),"")</f>
        <v/>
      </c>
    </row>
    <row r="249" spans="7:12" x14ac:dyDescent="0.25">
      <c r="G249" s="70">
        <f>IFERROR(SUMPRODUCT((TEXT(CC!$C$3:$C$1000,"0")=TEXT(C249,"0"))*IFERROR(CC!$E$3:$E$1000+0,0)),0)</f>
      </c>
      <c r="H249" s="56"/>
      <c r="I249" s="24" t="str">
        <f t="shared" si="16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7"/>
        <v/>
      </c>
      <c r="L249" s="57" t="str">
        <f>IF(C249&lt;&gt;"",_xlfn.XLOOKUP(TEXT(C249,"0"),TEXT(CC!$C$3:$C$1000,"0"),CC!$G$3:$G$1000,""),"")</f>
        <v/>
      </c>
    </row>
    <row r="250" spans="7:12" x14ac:dyDescent="0.25">
      <c r="G250" s="70">
        <f>IFERROR(SUMPRODUCT((TEXT(CC!$C$3:$C$1000,"0")=TEXT(C250,"0"))*IFERROR(CC!$E$3:$E$1000+0,0)),0)</f>
      </c>
      <c r="H250" s="56"/>
      <c r="I250" s="24" t="str">
        <f t="shared" si="16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7"/>
        <v/>
      </c>
      <c r="L250" s="57" t="str">
        <f>IF(C250&lt;&gt;"",_xlfn.XLOOKUP(TEXT(C250,"0"),TEXT(CC!$C$3:$C$1000,"0"),CC!$G$3:$G$1000,""),"")</f>
        <v/>
      </c>
    </row>
    <row r="251" spans="7:12" x14ac:dyDescent="0.25">
      <c r="G251" s="70">
        <f>IFERROR(SUMPRODUCT((TEXT(CC!$C$3:$C$1000,"0")=TEXT(C251,"0"))*IFERROR(CC!$E$3:$E$1000+0,0)),0)</f>
      </c>
      <c r="H251" s="56"/>
      <c r="I251" s="24" t="str">
        <f t="shared" si="16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7"/>
        <v/>
      </c>
      <c r="L251" s="57" t="str">
        <f>IF(C251&lt;&gt;"",_xlfn.XLOOKUP(TEXT(C251,"0"),TEXT(CC!$C$3:$C$1000,"0"),CC!$G$3:$G$1000,""),"")</f>
        <v/>
      </c>
    </row>
    <row r="252" spans="7:12" x14ac:dyDescent="0.25">
      <c r="G252" s="70">
        <f>IFERROR(SUMPRODUCT((TEXT(CC!$C$3:$C$1000,"0")=TEXT(C252,"0"))*IFERROR(CC!$E$3:$E$1000+0,0)),0)</f>
      </c>
      <c r="H252" s="56"/>
      <c r="I252" s="24" t="str">
        <f t="shared" si="16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7"/>
        <v/>
      </c>
      <c r="L252" s="57" t="str">
        <f>IF(C252&lt;&gt;"",_xlfn.XLOOKUP(TEXT(C252,"0"),TEXT(CC!$C$3:$C$1000,"0"),CC!$G$3:$G$1000,""),"")</f>
        <v/>
      </c>
    </row>
    <row r="253" spans="7:12" x14ac:dyDescent="0.25">
      <c r="G253" s="70">
        <f>IFERROR(SUMPRODUCT((TEXT(CC!$C$3:$C$1000,"0")=TEXT(C253,"0"))*IFERROR(CC!$E$3:$E$1000+0,0)),0)</f>
      </c>
      <c r="H253" s="56"/>
      <c r="I253" s="24" t="str">
        <f t="shared" si="16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7"/>
        <v/>
      </c>
      <c r="L253" s="57" t="str">
        <f>IF(C253&lt;&gt;"",_xlfn.XLOOKUP(TEXT(C253,"0"),TEXT(CC!$C$3:$C$1000,"0"),CC!$G$3:$G$1000,""),"")</f>
        <v/>
      </c>
    </row>
    <row r="254" spans="7:12" x14ac:dyDescent="0.25">
      <c r="G254" s="70">
        <f>IFERROR(SUMPRODUCT((TEXT(CC!$C$3:$C$1000,"0")=TEXT(C254,"0"))*IFERROR(CC!$E$3:$E$1000+0,0)),0)</f>
      </c>
      <c r="H254" s="56"/>
      <c r="I254" s="24" t="str">
        <f t="shared" si="16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7"/>
        <v/>
      </c>
      <c r="L254" s="57" t="str">
        <f>IF(C254&lt;&gt;"",_xlfn.XLOOKUP(TEXT(C254,"0"),TEXT(CC!$C$3:$C$1000,"0"),CC!$G$3:$G$1000,""),"")</f>
        <v/>
      </c>
    </row>
    <row r="255" spans="7:12" x14ac:dyDescent="0.25">
      <c r="G255" s="70">
        <f>IFERROR(SUMPRODUCT((TEXT(CC!$C$3:$C$1000,"0")=TEXT(C255,"0"))*IFERROR(CC!$E$3:$E$1000+0,0)),0)</f>
      </c>
      <c r="H255" s="56"/>
      <c r="I255" s="24" t="str">
        <f t="shared" si="16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7"/>
        <v/>
      </c>
      <c r="L255" s="57" t="str">
        <f>IF(C255&lt;&gt;"",_xlfn.XLOOKUP(TEXT(C255,"0"),TEXT(CC!$C$3:$C$1000,"0"),CC!$G$3:$G$1000,""),"")</f>
        <v/>
      </c>
    </row>
    <row r="256" spans="7:12" x14ac:dyDescent="0.25">
      <c r="G256" s="70">
        <f>IFERROR(SUMPRODUCT((TEXT(CC!$C$3:$C$1000,"0")=TEXT(C256,"0"))*IFERROR(CC!$E$3:$E$1000+0,0)),0)</f>
      </c>
      <c r="H256" s="56"/>
      <c r="I256" s="24" t="str">
        <f t="shared" si="16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7"/>
        <v/>
      </c>
      <c r="L256" s="57" t="str">
        <f>IF(C256&lt;&gt;"",_xlfn.XLOOKUP(TEXT(C256,"0"),TEXT(CC!$C$3:$C$1000,"0"),CC!$G$3:$G$1000,""),"")</f>
        <v/>
      </c>
    </row>
    <row r="257" spans="7:12" x14ac:dyDescent="0.25">
      <c r="G257" s="70">
        <f>IFERROR(SUMPRODUCT((TEXT(CC!$C$3:$C$1000,"0")=TEXT(C257,"0"))*IFERROR(CC!$E$3:$E$1000+0,0)),0)</f>
      </c>
      <c r="H257" s="56"/>
      <c r="I257" s="24" t="str">
        <f t="shared" si="16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7"/>
        <v/>
      </c>
      <c r="L257" s="57" t="str">
        <f>IF(C257&lt;&gt;"",_xlfn.XLOOKUP(TEXT(C257,"0"),TEXT(CC!$C$3:$C$1000,"0"),CC!$G$3:$G$1000,""),"")</f>
        <v/>
      </c>
    </row>
    <row r="258" spans="7:12" x14ac:dyDescent="0.25">
      <c r="G258" s="70">
        <f>IFERROR(SUMPRODUCT((TEXT(CC!$C$3:$C$1000,"0")=TEXT(C258,"0"))*IFERROR(CC!$E$3:$E$1000+0,0)),0)</f>
      </c>
      <c r="H258" s="56"/>
      <c r="I258" s="24" t="str">
        <f t="shared" si="16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7"/>
        <v/>
      </c>
      <c r="L258" s="57" t="str">
        <f>IF(C258&lt;&gt;"",_xlfn.XLOOKUP(TEXT(C258,"0"),TEXT(CC!$C$3:$C$1000,"0"),CC!$G$3:$G$1000,""),"")</f>
        <v/>
      </c>
    </row>
    <row r="259" spans="7:12" x14ac:dyDescent="0.25">
      <c r="G259" s="70">
        <f>IFERROR(SUMPRODUCT((TEXT(CC!$C$3:$C$1000,"0")=TEXT(C259,"0"))*IFERROR(CC!$E$3:$E$1000+0,0)),0)</f>
      </c>
      <c r="H259" s="56"/>
      <c r="I259" s="24" t="str">
        <f t="shared" si="16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7"/>
        <v/>
      </c>
      <c r="L259" s="57" t="str">
        <f>IF(C259&lt;&gt;"",_xlfn.XLOOKUP(TEXT(C259,"0"),TEXT(CC!$C$3:$C$1000,"0"),CC!$G$3:$G$1000,""),"")</f>
        <v/>
      </c>
    </row>
    <row r="260" spans="7:12" x14ac:dyDescent="0.25">
      <c r="G260" s="70">
        <f>IFERROR(SUMPRODUCT((TEXT(CC!$C$3:$C$1000,"0")=TEXT(C260,"0"))*IFERROR(CC!$E$3:$E$1000+0,0)),0)</f>
      </c>
      <c r="H260" s="56"/>
      <c r="I260" s="24" t="str">
        <f t="shared" si="16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7"/>
        <v/>
      </c>
      <c r="L260" s="57" t="str">
        <f>IF(C260&lt;&gt;"",_xlfn.XLOOKUP(TEXT(C260,"0"),TEXT(CC!$C$3:$C$1000,"0"),CC!$G$3:$G$1000,""),"")</f>
        <v/>
      </c>
    </row>
    <row r="261" spans="7:12" x14ac:dyDescent="0.25">
      <c r="G261" s="70">
        <f>IFERROR(SUMPRODUCT((TEXT(CC!$C$3:$C$1000,"0")=TEXT(C261,"0"))*IFERROR(CC!$E$3:$E$1000+0,0)),0)</f>
      </c>
      <c r="H261" s="56"/>
      <c r="I261" s="24" t="str">
        <f t="shared" si="16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7"/>
        <v/>
      </c>
      <c r="L261" s="57" t="str">
        <f>IF(C261&lt;&gt;"",_xlfn.XLOOKUP(TEXT(C261,"0"),TEXT(CC!$C$3:$C$1000,"0"),CC!$G$3:$G$1000,""),"")</f>
        <v/>
      </c>
    </row>
    <row r="262" spans="7:12" x14ac:dyDescent="0.25">
      <c r="G262" s="70">
        <f>IFERROR(SUMPRODUCT((TEXT(CC!$C$3:$C$1000,"0")=TEXT(C262,"0"))*IFERROR(CC!$E$3:$E$1000+0,0)),0)</f>
      </c>
      <c r="H262" s="56"/>
      <c r="I262" s="24" t="str">
        <f t="shared" si="16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7"/>
        <v/>
      </c>
      <c r="L262" s="57" t="str">
        <f>IF(C262&lt;&gt;"",_xlfn.XLOOKUP(TEXT(C262,"0"),TEXT(CC!$C$3:$C$1000,"0"),CC!$G$3:$G$1000,""),"")</f>
        <v/>
      </c>
    </row>
    <row r="263" spans="7:12" x14ac:dyDescent="0.25">
      <c r="G263" s="70">
        <f>IFERROR(SUMPRODUCT((TEXT(CC!$C$3:$C$1000,"0")=TEXT(C263,"0"))*IFERROR(CC!$E$3:$E$1000+0,0)),0)</f>
      </c>
      <c r="H263" s="56"/>
      <c r="I263" s="24" t="str">
        <f t="shared" si="16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7"/>
        <v/>
      </c>
      <c r="L263" s="57" t="str">
        <f>IF(C263&lt;&gt;"",_xlfn.XLOOKUP(TEXT(C263,"0"),TEXT(CC!$C$3:$C$1000,"0"),CC!$G$3:$G$1000,""),"")</f>
        <v/>
      </c>
    </row>
    <row r="264" spans="7:12" x14ac:dyDescent="0.25">
      <c r="G264" s="70">
        <f>IFERROR(SUMPRODUCT((TEXT(CC!$C$3:$C$1000,"0")=TEXT(C264,"0"))*IFERROR(CC!$E$3:$E$1000+0,0)),0)</f>
      </c>
      <c r="H264" s="56"/>
      <c r="I264" s="24" t="str">
        <f t="shared" si="16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7"/>
        <v/>
      </c>
      <c r="L264" s="57" t="str">
        <f>IF(C264&lt;&gt;"",_xlfn.XLOOKUP(TEXT(C264,"0"),TEXT(CC!$C$3:$C$1000,"0"),CC!$G$3:$G$1000,""),"")</f>
        <v/>
      </c>
    </row>
    <row r="265" spans="7:12" x14ac:dyDescent="0.25">
      <c r="G265" s="70">
        <f>IFERROR(SUMPRODUCT((TEXT(CC!$C$3:$C$1000,"0")=TEXT(C265,"0"))*IFERROR(CC!$E$3:$E$1000+0,0)),0)</f>
      </c>
      <c r="H265" s="56"/>
      <c r="I265" s="24" t="str">
        <f t="shared" si="16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7"/>
        <v/>
      </c>
      <c r="L265" s="57" t="str">
        <f>IF(C265&lt;&gt;"",_xlfn.XLOOKUP(TEXT(C265,"0"),TEXT(CC!$C$3:$C$1000,"0"),CC!$G$3:$G$1000,""),"")</f>
        <v/>
      </c>
    </row>
    <row r="266" spans="7:12" x14ac:dyDescent="0.25">
      <c r="G266" s="70">
        <f>IFERROR(SUMPRODUCT((TEXT(CC!$C$3:$C$1000,"0")=TEXT(C266,"0"))*IFERROR(CC!$E$3:$E$1000+0,0)),0)</f>
      </c>
      <c r="H266" s="56"/>
      <c r="I266" s="24" t="str">
        <f t="shared" si="16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7"/>
        <v/>
      </c>
      <c r="L266" s="57" t="str">
        <f>IF(C266&lt;&gt;"",_xlfn.XLOOKUP(TEXT(C266,"0"),TEXT(CC!$C$3:$C$1000,"0"),CC!$G$3:$G$1000,""),"")</f>
        <v/>
      </c>
    </row>
    <row r="267" spans="7:12" x14ac:dyDescent="0.25">
      <c r="G267" s="70">
        <f>IFERROR(SUMPRODUCT((TEXT(CC!$C$3:$C$1000,"0")=TEXT(C267,"0"))*IFERROR(CC!$E$3:$E$1000+0,0)),0)</f>
      </c>
      <c r="H267" s="56"/>
      <c r="I267" s="24" t="str">
        <f t="shared" si="16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7"/>
        <v/>
      </c>
      <c r="L267" s="57" t="str">
        <f>IF(C267&lt;&gt;"",_xlfn.XLOOKUP(TEXT(C267,"0"),TEXT(CC!$C$3:$C$1000,"0"),CC!$G$3:$G$1000,""),"")</f>
        <v/>
      </c>
    </row>
    <row r="268" spans="7:12" x14ac:dyDescent="0.25">
      <c r="G268" s="70">
        <f>IFERROR(SUMPRODUCT((TEXT(CC!$C$3:$C$1000,"0")=TEXT(C268,"0"))*IFERROR(CC!$E$3:$E$1000+0,0)),0)</f>
      </c>
      <c r="H268" s="56"/>
      <c r="I268" s="24" t="str">
        <f t="shared" si="16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7"/>
        <v/>
      </c>
      <c r="L268" s="57" t="str">
        <f>IF(C268&lt;&gt;"",_xlfn.XLOOKUP(TEXT(C268,"0"),TEXT(CC!$C$3:$C$1000,"0"),CC!$G$3:$G$1000,""),"")</f>
        <v/>
      </c>
    </row>
    <row r="269" spans="7:12" x14ac:dyDescent="0.25">
      <c r="G269" s="70">
        <f>IFERROR(SUMPRODUCT((TEXT(CC!$C$3:$C$1000,"0")=TEXT(C269,"0"))*IFERROR(CC!$E$3:$E$1000+0,0)),0)</f>
      </c>
      <c r="H269" s="56"/>
      <c r="I269" s="24" t="str">
        <f t="shared" si="16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7"/>
        <v/>
      </c>
      <c r="L269" s="57" t="str">
        <f>IF(C269&lt;&gt;"",_xlfn.XLOOKUP(TEXT(C269,"0"),TEXT(CC!$C$3:$C$1000,"0"),CC!$G$3:$G$1000,""),"")</f>
        <v/>
      </c>
    </row>
    <row r="270" spans="7:12" x14ac:dyDescent="0.25">
      <c r="G270" s="70">
        <f>IFERROR(SUMPRODUCT((TEXT(CC!$C$3:$C$1000,"0")=TEXT(C270,"0"))*IFERROR(CC!$E$3:$E$1000+0,0)),0)</f>
      </c>
      <c r="H270" s="56"/>
      <c r="I270" s="24" t="str">
        <f t="shared" si="16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7"/>
        <v/>
      </c>
      <c r="L270" s="57" t="str">
        <f>IF(C270&lt;&gt;"",_xlfn.XLOOKUP(TEXT(C270,"0"),TEXT(CC!$C$3:$C$1000,"0"),CC!$G$3:$G$1000,""),"")</f>
        <v/>
      </c>
    </row>
    <row r="271" spans="7:12" x14ac:dyDescent="0.25">
      <c r="G271" s="70">
        <f>IFERROR(SUMPRODUCT((TEXT(CC!$C$3:$C$1000,"0")=TEXT(C271,"0"))*IFERROR(CC!$E$3:$E$1000+0,0)),0)</f>
      </c>
      <c r="H271" s="56"/>
      <c r="I271" s="24" t="str">
        <f t="shared" ref="I271:I334" si="18">IF(J271&lt;&gt;0,"511011","")</f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7"/>
        <v/>
      </c>
      <c r="L271" s="57" t="str">
        <f>IF(C271&lt;&gt;"",_xlfn.XLOOKUP(TEXT(C271,"0"),TEXT(CC!$C$3:$C$1000,"0"),CC!$G$3:$G$1000,""),"")</f>
        <v/>
      </c>
    </row>
    <row r="272" spans="7:12" x14ac:dyDescent="0.25">
      <c r="G272" s="70">
        <f>IFERROR(SUMPRODUCT((TEXT(CC!$C$3:$C$1000,"0")=TEXT(C272,"0"))*IFERROR(CC!$E$3:$E$1000+0,0)),0)</f>
      </c>
      <c r="H272" s="56"/>
      <c r="I272" s="24" t="str">
        <f t="shared" si="18"/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9">IF(J272&lt;&gt;0,C272,"")</f>
        <v/>
      </c>
      <c r="L272" s="57" t="str">
        <f>IF(C272&lt;&gt;"",_xlfn.XLOOKUP(TEXT(C272,"0"),TEXT(CC!$C$3:$C$1000,"0"),CC!$G$3:$G$1000,""),"")</f>
        <v/>
      </c>
    </row>
    <row r="273" spans="7:12" x14ac:dyDescent="0.25">
      <c r="G273" s="70">
        <f>IFERROR(SUMPRODUCT((TEXT(CC!$C$3:$C$1000,"0")=TEXT(C273,"0"))*IFERROR(CC!$E$3:$E$1000+0,0)),0)</f>
      </c>
      <c r="H273" s="56"/>
      <c r="I273" s="24" t="str">
        <f t="shared" si="18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9"/>
        <v/>
      </c>
      <c r="L273" s="57" t="str">
        <f>IF(C273&lt;&gt;"",_xlfn.XLOOKUP(TEXT(C273,"0"),TEXT(CC!$C$3:$C$1000,"0"),CC!$G$3:$G$1000,""),"")</f>
        <v/>
      </c>
    </row>
    <row r="274" spans="7:12" x14ac:dyDescent="0.25">
      <c r="G274" s="70">
        <f>IFERROR(SUMPRODUCT((TEXT(CC!$C$3:$C$1000,"0")=TEXT(C274,"0"))*IFERROR(CC!$E$3:$E$1000+0,0)),0)</f>
      </c>
      <c r="H274" s="56"/>
      <c r="I274" s="24" t="str">
        <f t="shared" si="18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9"/>
        <v/>
      </c>
      <c r="L274" s="57" t="str">
        <f>IF(C274&lt;&gt;"",_xlfn.XLOOKUP(TEXT(C274,"0"),TEXT(CC!$C$3:$C$1000,"0"),CC!$G$3:$G$1000,""),"")</f>
        <v/>
      </c>
    </row>
    <row r="275" spans="7:12" x14ac:dyDescent="0.25">
      <c r="G275" s="70">
        <f>IFERROR(SUMPRODUCT((TEXT(CC!$C$3:$C$1000,"0")=TEXT(C275,"0"))*IFERROR(CC!$E$3:$E$1000+0,0)),0)</f>
      </c>
      <c r="H275" s="56"/>
      <c r="I275" s="24" t="str">
        <f t="shared" si="18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9"/>
        <v/>
      </c>
      <c r="L275" s="57" t="str">
        <f>IF(C275&lt;&gt;"",_xlfn.XLOOKUP(TEXT(C275,"0"),TEXT(CC!$C$3:$C$1000,"0"),CC!$G$3:$G$1000,""),"")</f>
        <v/>
      </c>
    </row>
    <row r="276" spans="7:12" x14ac:dyDescent="0.25">
      <c r="G276" s="70">
        <f>IFERROR(SUMPRODUCT((TEXT(CC!$C$3:$C$1000,"0")=TEXT(C276,"0"))*IFERROR(CC!$E$3:$E$1000+0,0)),0)</f>
      </c>
      <c r="H276" s="56"/>
      <c r="I276" s="24" t="str">
        <f t="shared" si="18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9"/>
        <v/>
      </c>
      <c r="L276" s="57" t="str">
        <f>IF(C276&lt;&gt;"",_xlfn.XLOOKUP(TEXT(C276,"0"),TEXT(CC!$C$3:$C$1000,"0"),CC!$G$3:$G$1000,""),"")</f>
        <v/>
      </c>
    </row>
    <row r="277" spans="7:12" x14ac:dyDescent="0.25">
      <c r="G277" s="70">
        <f>IFERROR(SUMPRODUCT((TEXT(CC!$C$3:$C$1000,"0")=TEXT(C277,"0"))*IFERROR(CC!$E$3:$E$1000+0,0)),0)</f>
      </c>
      <c r="H277" s="56"/>
      <c r="I277" s="24" t="str">
        <f t="shared" si="18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9"/>
        <v/>
      </c>
      <c r="L277" s="57" t="str">
        <f>IF(C277&lt;&gt;"",_xlfn.XLOOKUP(TEXT(C277,"0"),TEXT(CC!$C$3:$C$1000,"0"),CC!$G$3:$G$1000,""),"")</f>
        <v/>
      </c>
    </row>
    <row r="278" spans="7:12" x14ac:dyDescent="0.25">
      <c r="G278" s="70">
        <f>IFERROR(SUMPRODUCT((TEXT(CC!$C$3:$C$1000,"0")=TEXT(C278,"0"))*IFERROR(CC!$E$3:$E$1000+0,0)),0)</f>
      </c>
      <c r="H278" s="56"/>
      <c r="I278" s="24" t="str">
        <f t="shared" si="18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9"/>
        <v/>
      </c>
      <c r="L278" s="57" t="str">
        <f>IF(C278&lt;&gt;"",_xlfn.XLOOKUP(TEXT(C278,"0"),TEXT(CC!$C$3:$C$1000,"0"),CC!$G$3:$G$1000,""),"")</f>
        <v/>
      </c>
    </row>
    <row r="279" spans="7:12" x14ac:dyDescent="0.25">
      <c r="G279" s="70">
        <f>IFERROR(SUMPRODUCT((TEXT(CC!$C$3:$C$1000,"0")=TEXT(C279,"0"))*IFERROR(CC!$E$3:$E$1000+0,0)),0)</f>
      </c>
      <c r="H279" s="56"/>
      <c r="I279" s="24" t="str">
        <f t="shared" si="18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9"/>
        <v/>
      </c>
      <c r="L279" s="57" t="str">
        <f>IF(C279&lt;&gt;"",_xlfn.XLOOKUP(TEXT(C279,"0"),TEXT(CC!$C$3:$C$1000,"0"),CC!$G$3:$G$1000,""),"")</f>
        <v/>
      </c>
    </row>
    <row r="280" spans="7:12" x14ac:dyDescent="0.25">
      <c r="G280" s="70">
        <f>IFERROR(SUMPRODUCT((TEXT(CC!$C$3:$C$1000,"0")=TEXT(C280,"0"))*IFERROR(CC!$E$3:$E$1000+0,0)),0)</f>
      </c>
      <c r="H280" s="56"/>
      <c r="I280" s="24" t="str">
        <f t="shared" si="18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9"/>
        <v/>
      </c>
      <c r="L280" s="57" t="str">
        <f>IF(C280&lt;&gt;"",_xlfn.XLOOKUP(TEXT(C280,"0"),TEXT(CC!$C$3:$C$1000,"0"),CC!$G$3:$G$1000,""),"")</f>
        <v/>
      </c>
    </row>
    <row r="281" spans="7:12" x14ac:dyDescent="0.25">
      <c r="G281" s="70">
        <f>IFERROR(SUMPRODUCT((TEXT(CC!$C$3:$C$1000,"0")=TEXT(C281,"0"))*IFERROR(CC!$E$3:$E$1000+0,0)),0)</f>
      </c>
      <c r="H281" s="56"/>
      <c r="I281" s="24" t="str">
        <f t="shared" si="18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9"/>
        <v/>
      </c>
      <c r="L281" s="57" t="str">
        <f>IF(C281&lt;&gt;"",_xlfn.XLOOKUP(TEXT(C281,"0"),TEXT(CC!$C$3:$C$1000,"0"),CC!$G$3:$G$1000,""),"")</f>
        <v/>
      </c>
    </row>
    <row r="282" spans="7:12" x14ac:dyDescent="0.25">
      <c r="G282" s="70">
        <f>IFERROR(SUMPRODUCT((TEXT(CC!$C$3:$C$1000,"0")=TEXT(C282,"0"))*IFERROR(CC!$E$3:$E$1000+0,0)),0)</f>
      </c>
      <c r="H282" s="56"/>
      <c r="I282" s="24" t="str">
        <f t="shared" si="18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9"/>
        <v/>
      </c>
      <c r="L282" s="57" t="str">
        <f>IF(C282&lt;&gt;"",_xlfn.XLOOKUP(TEXT(C282,"0"),TEXT(CC!$C$3:$C$1000,"0"),CC!$G$3:$G$1000,""),"")</f>
        <v/>
      </c>
    </row>
    <row r="283" spans="7:12" x14ac:dyDescent="0.25">
      <c r="G283" s="70">
        <f>IFERROR(SUMPRODUCT((TEXT(CC!$C$3:$C$1000,"0")=TEXT(C283,"0"))*IFERROR(CC!$E$3:$E$1000+0,0)),0)</f>
      </c>
      <c r="H283" s="56"/>
      <c r="I283" s="24" t="str">
        <f t="shared" si="18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9"/>
        <v/>
      </c>
      <c r="L283" s="57" t="str">
        <f>IF(C283&lt;&gt;"",_xlfn.XLOOKUP(TEXT(C283,"0"),TEXT(CC!$C$3:$C$1000,"0"),CC!$G$3:$G$1000,""),"")</f>
        <v/>
      </c>
    </row>
    <row r="284" spans="7:12" x14ac:dyDescent="0.25">
      <c r="G284" s="70">
        <f>IFERROR(SUMPRODUCT((TEXT(CC!$C$3:$C$1000,"0")=TEXT(C284,"0"))*IFERROR(CC!$E$3:$E$1000+0,0)),0)</f>
      </c>
      <c r="H284" s="56"/>
      <c r="I284" s="24" t="str">
        <f t="shared" si="18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9"/>
        <v/>
      </c>
      <c r="L284" s="57" t="str">
        <f>IF(C284&lt;&gt;"",_xlfn.XLOOKUP(TEXT(C284,"0"),TEXT(CC!$C$3:$C$1000,"0"),CC!$G$3:$G$1000,""),"")</f>
        <v/>
      </c>
    </row>
    <row r="285" spans="7:12" x14ac:dyDescent="0.25">
      <c r="G285" s="70">
        <f>IFERROR(SUMPRODUCT((TEXT(CC!$C$3:$C$1000,"0")=TEXT(C285,"0"))*IFERROR(CC!$E$3:$E$1000+0,0)),0)</f>
      </c>
      <c r="H285" s="56"/>
      <c r="I285" s="24" t="str">
        <f t="shared" si="18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9"/>
        <v/>
      </c>
      <c r="L285" s="57" t="str">
        <f>IF(C285&lt;&gt;"",_xlfn.XLOOKUP(TEXT(C285,"0"),TEXT(CC!$C$3:$C$1000,"0"),CC!$G$3:$G$1000,""),"")</f>
        <v/>
      </c>
    </row>
    <row r="286" spans="7:12" x14ac:dyDescent="0.25">
      <c r="G286" s="70">
        <f>IFERROR(SUMPRODUCT((TEXT(CC!$C$3:$C$1000,"0")=TEXT(C286,"0"))*IFERROR(CC!$E$3:$E$1000+0,0)),0)</f>
      </c>
      <c r="H286" s="56"/>
      <c r="I286" s="24" t="str">
        <f t="shared" si="18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9"/>
        <v/>
      </c>
      <c r="L286" s="57" t="str">
        <f>IF(C286&lt;&gt;"",_xlfn.XLOOKUP(TEXT(C286,"0"),TEXT(CC!$C$3:$C$1000,"0"),CC!$G$3:$G$1000,""),"")</f>
        <v/>
      </c>
    </row>
    <row r="287" spans="7:12" x14ac:dyDescent="0.25">
      <c r="G287" s="70">
        <f>IFERROR(SUMPRODUCT((TEXT(CC!$C$3:$C$1000,"0")=TEXT(C287,"0"))*IFERROR(CC!$E$3:$E$1000+0,0)),0)</f>
      </c>
      <c r="H287" s="56"/>
      <c r="I287" s="24" t="str">
        <f t="shared" si="18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9"/>
        <v/>
      </c>
      <c r="L287" s="57" t="str">
        <f>IF(C287&lt;&gt;"",_xlfn.XLOOKUP(TEXT(C287,"0"),TEXT(CC!$C$3:$C$1000,"0"),CC!$G$3:$G$1000,""),"")</f>
        <v/>
      </c>
    </row>
    <row r="288" spans="7:12" x14ac:dyDescent="0.25">
      <c r="G288" s="70">
        <f>IFERROR(SUMPRODUCT((TEXT(CC!$C$3:$C$1000,"0")=TEXT(C288,"0"))*IFERROR(CC!$E$3:$E$1000+0,0)),0)</f>
      </c>
      <c r="H288" s="56"/>
      <c r="I288" s="24" t="str">
        <f t="shared" si="18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9"/>
        <v/>
      </c>
      <c r="L288" s="57" t="str">
        <f>IF(C288&lt;&gt;"",_xlfn.XLOOKUP(TEXT(C288,"0"),TEXT(CC!$C$3:$C$1000,"0"),CC!$G$3:$G$1000,""),"")</f>
        <v/>
      </c>
    </row>
    <row r="289" spans="7:12" x14ac:dyDescent="0.25">
      <c r="G289" s="70">
        <f>IFERROR(SUMPRODUCT((TEXT(CC!$C$3:$C$1000,"0")=TEXT(C289,"0"))*IFERROR(CC!$E$3:$E$1000+0,0)),0)</f>
      </c>
      <c r="H289" s="56"/>
      <c r="I289" s="24" t="str">
        <f t="shared" si="18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9"/>
        <v/>
      </c>
      <c r="L289" s="57" t="str">
        <f>IF(C289&lt;&gt;"",_xlfn.XLOOKUP(TEXT(C289,"0"),TEXT(CC!$C$3:$C$1000,"0"),CC!$G$3:$G$1000,""),"")</f>
        <v/>
      </c>
    </row>
    <row r="290" spans="7:12" x14ac:dyDescent="0.25">
      <c r="G290" s="70">
        <f>IFERROR(SUMPRODUCT((TEXT(CC!$C$3:$C$1000,"0")=TEXT(C290,"0"))*IFERROR(CC!$E$3:$E$1000+0,0)),0)</f>
      </c>
      <c r="H290" s="56"/>
      <c r="I290" s="24" t="str">
        <f t="shared" si="18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9"/>
        <v/>
      </c>
      <c r="L290" s="57" t="str">
        <f>IF(C290&lt;&gt;"",_xlfn.XLOOKUP(TEXT(C290,"0"),TEXT(CC!$C$3:$C$1000,"0"),CC!$G$3:$G$1000,""),"")</f>
        <v/>
      </c>
    </row>
    <row r="291" spans="7:12" x14ac:dyDescent="0.25">
      <c r="G291" s="70">
        <f>IFERROR(SUMPRODUCT((TEXT(CC!$C$3:$C$1000,"0")=TEXT(C291,"0"))*IFERROR(CC!$E$3:$E$1000+0,0)),0)</f>
      </c>
      <c r="H291" s="56"/>
      <c r="I291" s="24" t="str">
        <f t="shared" si="18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9"/>
        <v/>
      </c>
      <c r="L291" s="57" t="str">
        <f>IF(C291&lt;&gt;"",_xlfn.XLOOKUP(TEXT(C291,"0"),TEXT(CC!$C$3:$C$1000,"0"),CC!$G$3:$G$1000,""),"")</f>
        <v/>
      </c>
    </row>
    <row r="292" spans="7:12" x14ac:dyDescent="0.25">
      <c r="G292" s="70">
        <f>IFERROR(SUMPRODUCT((TEXT(CC!$C$3:$C$1000,"0")=TEXT(C292,"0"))*IFERROR(CC!$E$3:$E$1000+0,0)),0)</f>
      </c>
      <c r="H292" s="56"/>
      <c r="I292" s="24" t="str">
        <f t="shared" si="18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9"/>
        <v/>
      </c>
      <c r="L292" s="57" t="str">
        <f>IF(C292&lt;&gt;"",_xlfn.XLOOKUP(TEXT(C292,"0"),TEXT(CC!$C$3:$C$1000,"0"),CC!$G$3:$G$1000,""),"")</f>
        <v/>
      </c>
    </row>
    <row r="293" spans="7:12" x14ac:dyDescent="0.25">
      <c r="G293" s="70">
        <f>IFERROR(SUMPRODUCT((TEXT(CC!$C$3:$C$1000,"0")=TEXT(C293,"0"))*IFERROR(CC!$E$3:$E$1000+0,0)),0)</f>
      </c>
      <c r="H293" s="56"/>
      <c r="I293" s="24" t="str">
        <f t="shared" si="18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9"/>
        <v/>
      </c>
      <c r="L293" s="57" t="str">
        <f>IF(C293&lt;&gt;"",_xlfn.XLOOKUP(TEXT(C293,"0"),TEXT(CC!$C$3:$C$1000,"0"),CC!$G$3:$G$1000,""),"")</f>
        <v/>
      </c>
    </row>
    <row r="294" spans="7:12" x14ac:dyDescent="0.25">
      <c r="G294" s="70">
        <f>IFERROR(SUMPRODUCT((TEXT(CC!$C$3:$C$1000,"0")=TEXT(C294,"0"))*IFERROR(CC!$E$3:$E$1000+0,0)),0)</f>
      </c>
      <c r="H294" s="56"/>
      <c r="I294" s="24" t="str">
        <f t="shared" si="18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9"/>
        <v/>
      </c>
      <c r="L294" s="57" t="str">
        <f>IF(C294&lt;&gt;"",_xlfn.XLOOKUP(TEXT(C294,"0"),TEXT(CC!$C$3:$C$1000,"0"),CC!$G$3:$G$1000,""),"")</f>
        <v/>
      </c>
    </row>
    <row r="295" spans="7:12" x14ac:dyDescent="0.25">
      <c r="G295" s="70">
        <f>IFERROR(SUMPRODUCT((TEXT(CC!$C$3:$C$1000,"0")=TEXT(C295,"0"))*IFERROR(CC!$E$3:$E$1000+0,0)),0)</f>
      </c>
      <c r="H295" s="56"/>
      <c r="I295" s="24" t="str">
        <f t="shared" si="18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9"/>
        <v/>
      </c>
      <c r="L295" s="57" t="str">
        <f>IF(C295&lt;&gt;"",_xlfn.XLOOKUP(TEXT(C295,"0"),TEXT(CC!$C$3:$C$1000,"0"),CC!$G$3:$G$1000,""),"")</f>
        <v/>
      </c>
    </row>
    <row r="296" spans="7:12" x14ac:dyDescent="0.25">
      <c r="G296" s="70">
        <f>IFERROR(SUMPRODUCT((TEXT(CC!$C$3:$C$1000,"0")=TEXT(C296,"0"))*IFERROR(CC!$E$3:$E$1000+0,0)),0)</f>
      </c>
      <c r="H296" s="56"/>
      <c r="I296" s="24" t="str">
        <f t="shared" si="18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9"/>
        <v/>
      </c>
      <c r="L296" s="57" t="str">
        <f>IF(C296&lt;&gt;"",_xlfn.XLOOKUP(TEXT(C296,"0"),TEXT(CC!$C$3:$C$1000,"0"),CC!$G$3:$G$1000,""),"")</f>
        <v/>
      </c>
    </row>
    <row r="297" spans="7:12" x14ac:dyDescent="0.25">
      <c r="G297" s="70">
        <f>IFERROR(SUMPRODUCT((TEXT(CC!$C$3:$C$1000,"0")=TEXT(C297,"0"))*IFERROR(CC!$E$3:$E$1000+0,0)),0)</f>
      </c>
      <c r="H297" s="56"/>
      <c r="I297" s="24" t="str">
        <f t="shared" si="18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9"/>
        <v/>
      </c>
      <c r="L297" s="57" t="str">
        <f>IF(C297&lt;&gt;"",_xlfn.XLOOKUP(TEXT(C297,"0"),TEXT(CC!$C$3:$C$1000,"0"),CC!$G$3:$G$1000,""),"")</f>
        <v/>
      </c>
    </row>
    <row r="298" spans="7:12" x14ac:dyDescent="0.25">
      <c r="G298" s="70">
        <f>IFERROR(SUMPRODUCT((TEXT(CC!$C$3:$C$1000,"0")=TEXT(C298,"0"))*IFERROR(CC!$E$3:$E$1000+0,0)),0)</f>
      </c>
      <c r="H298" s="56"/>
      <c r="I298" s="24" t="str">
        <f t="shared" si="18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9"/>
        <v/>
      </c>
      <c r="L298" s="57" t="str">
        <f>IF(C298&lt;&gt;"",_xlfn.XLOOKUP(TEXT(C298,"0"),TEXT(CC!$C$3:$C$1000,"0"),CC!$G$3:$G$1000,""),"")</f>
        <v/>
      </c>
    </row>
    <row r="299" spans="7:12" x14ac:dyDescent="0.25">
      <c r="G299" s="70">
        <f>IFERROR(SUMPRODUCT((TEXT(CC!$C$3:$C$1000,"0")=TEXT(C299,"0"))*IFERROR(CC!$E$3:$E$1000+0,0)),0)</f>
      </c>
      <c r="H299" s="56"/>
      <c r="I299" s="24" t="str">
        <f t="shared" si="18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9"/>
        <v/>
      </c>
      <c r="L299" s="57" t="str">
        <f>IF(C299&lt;&gt;"",_xlfn.XLOOKUP(TEXT(C299,"0"),TEXT(CC!$C$3:$C$1000,"0"),CC!$G$3:$G$1000,""),"")</f>
        <v/>
      </c>
    </row>
    <row r="300" spans="7:12" x14ac:dyDescent="0.25">
      <c r="G300" s="70">
        <f>IFERROR(SUMPRODUCT((TEXT(CC!$C$3:$C$1000,"0")=TEXT(C300,"0"))*IFERROR(CC!$E$3:$E$1000+0,0)),0)</f>
      </c>
      <c r="H300" s="56"/>
      <c r="I300" s="24" t="str">
        <f t="shared" si="18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9"/>
        <v/>
      </c>
      <c r="L300" s="57" t="str">
        <f>IF(C300&lt;&gt;"",_xlfn.XLOOKUP(TEXT(C300,"0"),TEXT(CC!$C$3:$C$1000,"0"),CC!$G$3:$G$1000,""),"")</f>
        <v/>
      </c>
    </row>
    <row r="301" spans="7:12" x14ac:dyDescent="0.25">
      <c r="G301" s="70">
        <f>IFERROR(SUMPRODUCT((TEXT(CC!$C$3:$C$1000,"0")=TEXT(C301,"0"))*IFERROR(CC!$E$3:$E$1000+0,0)),0)</f>
      </c>
      <c r="H301" s="56"/>
      <c r="I301" s="24" t="str">
        <f t="shared" si="18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9"/>
        <v/>
      </c>
      <c r="L301" s="57" t="str">
        <f>IF(C301&lt;&gt;"",_xlfn.XLOOKUP(TEXT(C301,"0"),TEXT(CC!$C$3:$C$1000,"0"),CC!$G$3:$G$1000,""),"")</f>
        <v/>
      </c>
    </row>
    <row r="302" spans="7:12" x14ac:dyDescent="0.25">
      <c r="G302" s="70">
        <f>IFERROR(SUMPRODUCT((TEXT(CC!$C$3:$C$1000,"0")=TEXT(C302,"0"))*IFERROR(CC!$E$3:$E$1000+0,0)),0)</f>
      </c>
      <c r="H302" s="56"/>
      <c r="I302" s="24" t="str">
        <f t="shared" si="18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9"/>
        <v/>
      </c>
      <c r="L302" s="57" t="str">
        <f>IF(C302&lt;&gt;"",_xlfn.XLOOKUP(TEXT(C302,"0"),TEXT(CC!$C$3:$C$1000,"0"),CC!$G$3:$G$1000,""),"")</f>
        <v/>
      </c>
    </row>
    <row r="303" spans="7:12" x14ac:dyDescent="0.25">
      <c r="G303" s="70">
        <f>IFERROR(SUMPRODUCT((TEXT(CC!$C$3:$C$1000,"0")=TEXT(C303,"0"))*IFERROR(CC!$E$3:$E$1000+0,0)),0)</f>
      </c>
      <c r="H303" s="56"/>
      <c r="I303" s="24" t="str">
        <f t="shared" si="18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9"/>
        <v/>
      </c>
      <c r="L303" s="57" t="str">
        <f>IF(C303&lt;&gt;"",_xlfn.XLOOKUP(TEXT(C303,"0"),TEXT(CC!$C$3:$C$1000,"0"),CC!$G$3:$G$1000,""),"")</f>
        <v/>
      </c>
    </row>
    <row r="304" spans="7:12" x14ac:dyDescent="0.25">
      <c r="G304" s="70">
        <f>IFERROR(SUMPRODUCT((TEXT(CC!$C$3:$C$1000,"0")=TEXT(C304,"0"))*IFERROR(CC!$E$3:$E$1000+0,0)),0)</f>
      </c>
      <c r="H304" s="56"/>
      <c r="I304" s="24" t="str">
        <f t="shared" si="18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9"/>
        <v/>
      </c>
      <c r="L304" s="57" t="str">
        <f>IF(C304&lt;&gt;"",_xlfn.XLOOKUP(TEXT(C304,"0"),TEXT(CC!$C$3:$C$1000,"0"),CC!$G$3:$G$1000,""),"")</f>
        <v/>
      </c>
    </row>
    <row r="305" spans="7:12" x14ac:dyDescent="0.25">
      <c r="G305" s="70">
        <f>IFERROR(SUMPRODUCT((TEXT(CC!$C$3:$C$1000,"0")=TEXT(C305,"0"))*IFERROR(CC!$E$3:$E$1000+0,0)),0)</f>
      </c>
      <c r="H305" s="56"/>
      <c r="I305" s="24" t="str">
        <f t="shared" si="18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9"/>
        <v/>
      </c>
      <c r="L305" s="57" t="str">
        <f>IF(C305&lt;&gt;"",_xlfn.XLOOKUP(TEXT(C305,"0"),TEXT(CC!$C$3:$C$1000,"0"),CC!$G$3:$G$1000,""),"")</f>
        <v/>
      </c>
    </row>
    <row r="306" spans="7:12" x14ac:dyDescent="0.25">
      <c r="G306" s="70">
        <f>IFERROR(SUMPRODUCT((TEXT(CC!$C$3:$C$1000,"0")=TEXT(C306,"0"))*IFERROR(CC!$E$3:$E$1000+0,0)),0)</f>
      </c>
      <c r="H306" s="56"/>
      <c r="I306" s="24" t="str">
        <f t="shared" si="18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9"/>
        <v/>
      </c>
      <c r="L306" s="57" t="str">
        <f>IF(C306&lt;&gt;"",_xlfn.XLOOKUP(TEXT(C306,"0"),TEXT(CC!$C$3:$C$1000,"0"),CC!$G$3:$G$1000,""),"")</f>
        <v/>
      </c>
    </row>
    <row r="307" spans="7:12" x14ac:dyDescent="0.25">
      <c r="G307" s="70">
        <f>IFERROR(SUMPRODUCT((TEXT(CC!$C$3:$C$1000,"0")=TEXT(C307,"0"))*IFERROR(CC!$E$3:$E$1000+0,0)),0)</f>
      </c>
      <c r="H307" s="56"/>
      <c r="I307" s="24" t="str">
        <f t="shared" si="18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9"/>
        <v/>
      </c>
      <c r="L307" s="57" t="str">
        <f>IF(C307&lt;&gt;"",_xlfn.XLOOKUP(TEXT(C307,"0"),TEXT(CC!$C$3:$C$1000,"0"),CC!$G$3:$G$1000,""),"")</f>
        <v/>
      </c>
    </row>
    <row r="308" spans="7:12" x14ac:dyDescent="0.25">
      <c r="G308" s="70">
        <f>IFERROR(SUMPRODUCT((TEXT(CC!$C$3:$C$1000,"0")=TEXT(C308,"0"))*IFERROR(CC!$E$3:$E$1000+0,0)),0)</f>
      </c>
      <c r="H308" s="56"/>
      <c r="I308" s="24" t="str">
        <f t="shared" si="18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9"/>
        <v/>
      </c>
      <c r="L308" s="57" t="str">
        <f>IF(C308&lt;&gt;"",_xlfn.XLOOKUP(TEXT(C308,"0"),TEXT(CC!$C$3:$C$1000,"0"),CC!$G$3:$G$1000,""),"")</f>
        <v/>
      </c>
    </row>
    <row r="309" spans="7:12" x14ac:dyDescent="0.25">
      <c r="G309" s="70">
        <f>IFERROR(SUMPRODUCT((TEXT(CC!$C$3:$C$1000,"0")=TEXT(C309,"0"))*IFERROR(CC!$E$3:$E$1000+0,0)),0)</f>
      </c>
      <c r="H309" s="56"/>
      <c r="I309" s="24" t="str">
        <f t="shared" si="18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9"/>
        <v/>
      </c>
      <c r="L309" s="57" t="str">
        <f>IF(C309&lt;&gt;"",_xlfn.XLOOKUP(TEXT(C309,"0"),TEXT(CC!$C$3:$C$1000,"0"),CC!$G$3:$G$1000,""),"")</f>
        <v/>
      </c>
    </row>
    <row r="310" spans="7:12" x14ac:dyDescent="0.25">
      <c r="G310" s="70">
        <f>IFERROR(SUMPRODUCT((TEXT(CC!$C$3:$C$1000,"0")=TEXT(C310,"0"))*IFERROR(CC!$E$3:$E$1000+0,0)),0)</f>
      </c>
      <c r="H310" s="56"/>
      <c r="I310" s="24" t="str">
        <f t="shared" si="18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9"/>
        <v/>
      </c>
      <c r="L310" s="57" t="str">
        <f>IF(C310&lt;&gt;"",_xlfn.XLOOKUP(TEXT(C310,"0"),TEXT(CC!$C$3:$C$1000,"0"),CC!$G$3:$G$1000,""),"")</f>
        <v/>
      </c>
    </row>
    <row r="311" spans="7:12" x14ac:dyDescent="0.25">
      <c r="G311" s="70">
        <f>IFERROR(SUMPRODUCT((TEXT(CC!$C$3:$C$1000,"0")=TEXT(C311,"0"))*IFERROR(CC!$E$3:$E$1000+0,0)),0)</f>
      </c>
      <c r="H311" s="56"/>
      <c r="I311" s="24" t="str">
        <f t="shared" si="18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9"/>
        <v/>
      </c>
      <c r="L311" s="57" t="str">
        <f>IF(C311&lt;&gt;"",_xlfn.XLOOKUP(TEXT(C311,"0"),TEXT(CC!$C$3:$C$1000,"0"),CC!$G$3:$G$1000,""),"")</f>
        <v/>
      </c>
    </row>
    <row r="312" spans="7:12" x14ac:dyDescent="0.25">
      <c r="G312" s="70">
        <f>IFERROR(SUMPRODUCT((TEXT(CC!$C$3:$C$1000,"0")=TEXT(C312,"0"))*IFERROR(CC!$E$3:$E$1000+0,0)),0)</f>
      </c>
      <c r="H312" s="56"/>
      <c r="I312" s="24" t="str">
        <f t="shared" si="18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9"/>
        <v/>
      </c>
      <c r="L312" s="57" t="str">
        <f>IF(C312&lt;&gt;"",_xlfn.XLOOKUP(TEXT(C312,"0"),TEXT(CC!$C$3:$C$1000,"0"),CC!$G$3:$G$1000,""),"")</f>
        <v/>
      </c>
    </row>
    <row r="313" spans="7:12" x14ac:dyDescent="0.25">
      <c r="G313" s="70">
        <f>IFERROR(SUMPRODUCT((TEXT(CC!$C$3:$C$1000,"0")=TEXT(C313,"0"))*IFERROR(CC!$E$3:$E$1000+0,0)),0)</f>
      </c>
      <c r="H313" s="56"/>
      <c r="I313" s="24" t="str">
        <f t="shared" si="18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9"/>
        <v/>
      </c>
      <c r="L313" s="57" t="str">
        <f>IF(C313&lt;&gt;"",_xlfn.XLOOKUP(TEXT(C313,"0"),TEXT(CC!$C$3:$C$1000,"0"),CC!$G$3:$G$1000,""),"")</f>
        <v/>
      </c>
    </row>
    <row r="314" spans="7:12" x14ac:dyDescent="0.25">
      <c r="G314" s="70">
        <f>IFERROR(SUMPRODUCT((TEXT(CC!$C$3:$C$1000,"0")=TEXT(C314,"0"))*IFERROR(CC!$E$3:$E$1000+0,0)),0)</f>
      </c>
      <c r="H314" s="56"/>
      <c r="I314" s="24" t="str">
        <f t="shared" si="18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9"/>
        <v/>
      </c>
      <c r="L314" s="57" t="str">
        <f>IF(C314&lt;&gt;"",_xlfn.XLOOKUP(TEXT(C314,"0"),TEXT(CC!$C$3:$C$1000,"0"),CC!$G$3:$G$1000,""),"")</f>
        <v/>
      </c>
    </row>
    <row r="315" spans="7:12" x14ac:dyDescent="0.25">
      <c r="G315" s="70">
        <f>IFERROR(SUMPRODUCT((TEXT(CC!$C$3:$C$1000,"0")=TEXT(C315,"0"))*IFERROR(CC!$E$3:$E$1000+0,0)),0)</f>
      </c>
      <c r="H315" s="56"/>
      <c r="I315" s="24" t="str">
        <f t="shared" si="18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9"/>
        <v/>
      </c>
      <c r="L315" s="57" t="str">
        <f>IF(C315&lt;&gt;"",_xlfn.XLOOKUP(TEXT(C315,"0"),TEXT(CC!$C$3:$C$1000,"0"),CC!$G$3:$G$1000,""),"")</f>
        <v/>
      </c>
    </row>
    <row r="316" spans="7:12" x14ac:dyDescent="0.25">
      <c r="G316" s="70">
        <f>IFERROR(SUMPRODUCT((TEXT(CC!$C$3:$C$1000,"0")=TEXT(C316,"0"))*IFERROR(CC!$E$3:$E$1000+0,0)),0)</f>
      </c>
      <c r="H316" s="56"/>
      <c r="I316" s="24" t="str">
        <f t="shared" si="18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9"/>
        <v/>
      </c>
      <c r="L316" s="57" t="str">
        <f>IF(C316&lt;&gt;"",_xlfn.XLOOKUP(TEXT(C316,"0"),TEXT(CC!$C$3:$C$1000,"0"),CC!$G$3:$G$1000,""),"")</f>
        <v/>
      </c>
    </row>
    <row r="317" spans="7:12" x14ac:dyDescent="0.25">
      <c r="G317" s="70">
        <f>IFERROR(SUMPRODUCT((TEXT(CC!$C$3:$C$1000,"0")=TEXT(C317,"0"))*IFERROR(CC!$E$3:$E$1000+0,0)),0)</f>
      </c>
      <c r="H317" s="56"/>
      <c r="I317" s="24" t="str">
        <f t="shared" si="18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9"/>
        <v/>
      </c>
      <c r="L317" s="57" t="str">
        <f>IF(C317&lt;&gt;"",_xlfn.XLOOKUP(TEXT(C317,"0"),TEXT(CC!$C$3:$C$1000,"0"),CC!$G$3:$G$1000,""),"")</f>
        <v/>
      </c>
    </row>
    <row r="318" spans="7:12" x14ac:dyDescent="0.25">
      <c r="G318" s="70">
        <f>IFERROR(SUMPRODUCT((TEXT(CC!$C$3:$C$1000,"0")=TEXT(C318,"0"))*IFERROR(CC!$E$3:$E$1000+0,0)),0)</f>
      </c>
      <c r="H318" s="56"/>
      <c r="I318" s="24" t="str">
        <f t="shared" si="18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9"/>
        <v/>
      </c>
      <c r="L318" s="57" t="str">
        <f>IF(C318&lt;&gt;"",_xlfn.XLOOKUP(TEXT(C318,"0"),TEXT(CC!$C$3:$C$1000,"0"),CC!$G$3:$G$1000,""),"")</f>
        <v/>
      </c>
    </row>
    <row r="319" spans="7:12" x14ac:dyDescent="0.25">
      <c r="G319" s="70">
        <f>IFERROR(SUMPRODUCT((TEXT(CC!$C$3:$C$1000,"0")=TEXT(C319,"0"))*IFERROR(CC!$E$3:$E$1000+0,0)),0)</f>
      </c>
      <c r="H319" s="56"/>
      <c r="I319" s="24" t="str">
        <f t="shared" si="18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9"/>
        <v/>
      </c>
      <c r="L319" s="57" t="str">
        <f>IF(C319&lt;&gt;"",_xlfn.XLOOKUP(TEXT(C319,"0"),TEXT(CC!$C$3:$C$1000,"0"),CC!$G$3:$G$1000,""),"")</f>
        <v/>
      </c>
    </row>
    <row r="320" spans="7:12" x14ac:dyDescent="0.25">
      <c r="G320" s="70">
        <f>IFERROR(SUMPRODUCT((TEXT(CC!$C$3:$C$1000,"0")=TEXT(C320,"0"))*IFERROR(CC!$E$3:$E$1000+0,0)),0)</f>
      </c>
      <c r="H320" s="56"/>
      <c r="I320" s="24" t="str">
        <f t="shared" si="18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9"/>
        <v/>
      </c>
      <c r="L320" s="57" t="str">
        <f>IF(C320&lt;&gt;"",_xlfn.XLOOKUP(TEXT(C320,"0"),TEXT(CC!$C$3:$C$1000,"0"),CC!$G$3:$G$1000,""),"")</f>
        <v/>
      </c>
    </row>
    <row r="321" spans="7:12" x14ac:dyDescent="0.25">
      <c r="G321" s="70">
        <f>IFERROR(SUMPRODUCT((TEXT(CC!$C$3:$C$1000,"0")=TEXT(C321,"0"))*IFERROR(CC!$E$3:$E$1000+0,0)),0)</f>
      </c>
      <c r="H321" s="56"/>
      <c r="I321" s="24" t="str">
        <f t="shared" si="18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9"/>
        <v/>
      </c>
      <c r="L321" s="57" t="str">
        <f>IF(C321&lt;&gt;"",_xlfn.XLOOKUP(TEXT(C321,"0"),TEXT(CC!$C$3:$C$1000,"0"),CC!$G$3:$G$1000,""),"")</f>
        <v/>
      </c>
    </row>
    <row r="322" spans="7:12" x14ac:dyDescent="0.25">
      <c r="G322" s="70">
        <f>IFERROR(SUMPRODUCT((TEXT(CC!$C$3:$C$1000,"0")=TEXT(C322,"0"))*IFERROR(CC!$E$3:$E$1000+0,0)),0)</f>
      </c>
      <c r="H322" s="56"/>
      <c r="I322" s="24" t="str">
        <f t="shared" si="18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9"/>
        <v/>
      </c>
      <c r="L322" s="57" t="str">
        <f>IF(C322&lt;&gt;"",_xlfn.XLOOKUP(TEXT(C322,"0"),TEXT(CC!$C$3:$C$1000,"0"),CC!$G$3:$G$1000,""),"")</f>
        <v/>
      </c>
    </row>
    <row r="323" spans="7:12" x14ac:dyDescent="0.25">
      <c r="G323" s="70">
        <f>IFERROR(SUMPRODUCT((TEXT(CC!$C$3:$C$1000,"0")=TEXT(C323,"0"))*IFERROR(CC!$E$3:$E$1000+0,0)),0)</f>
      </c>
      <c r="H323" s="56"/>
      <c r="I323" s="24" t="str">
        <f t="shared" si="18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9"/>
        <v/>
      </c>
      <c r="L323" s="57" t="str">
        <f>IF(C323&lt;&gt;"",_xlfn.XLOOKUP(TEXT(C323,"0"),TEXT(CC!$C$3:$C$1000,"0"),CC!$G$3:$G$1000,""),"")</f>
        <v/>
      </c>
    </row>
    <row r="324" spans="7:12" x14ac:dyDescent="0.25">
      <c r="G324" s="70">
        <f>IFERROR(SUMPRODUCT((TEXT(CC!$C$3:$C$1000,"0")=TEXT(C324,"0"))*IFERROR(CC!$E$3:$E$1000+0,0)),0)</f>
      </c>
      <c r="H324" s="56"/>
      <c r="I324" s="24" t="str">
        <f t="shared" si="18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9"/>
        <v/>
      </c>
      <c r="L324" s="57" t="str">
        <f>IF(C324&lt;&gt;"",_xlfn.XLOOKUP(TEXT(C324,"0"),TEXT(CC!$C$3:$C$1000,"0"),CC!$G$3:$G$1000,""),"")</f>
        <v/>
      </c>
    </row>
    <row r="325" spans="7:12" x14ac:dyDescent="0.25">
      <c r="G325" s="70">
        <f>IFERROR(SUMPRODUCT((TEXT(CC!$C$3:$C$1000,"0")=TEXT(C325,"0"))*IFERROR(CC!$E$3:$E$1000+0,0)),0)</f>
      </c>
      <c r="H325" s="56"/>
      <c r="I325" s="24" t="str">
        <f t="shared" si="18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9"/>
        <v/>
      </c>
      <c r="L325" s="57" t="str">
        <f>IF(C325&lt;&gt;"",_xlfn.XLOOKUP(TEXT(C325,"0"),TEXT(CC!$C$3:$C$1000,"0"),CC!$G$3:$G$1000,""),"")</f>
        <v/>
      </c>
    </row>
    <row r="326" spans="7:12" x14ac:dyDescent="0.25">
      <c r="G326" s="70">
        <f>IFERROR(SUMPRODUCT((TEXT(CC!$C$3:$C$1000,"0")=TEXT(C326,"0"))*IFERROR(CC!$E$3:$E$1000+0,0)),0)</f>
      </c>
      <c r="H326" s="56"/>
      <c r="I326" s="24" t="str">
        <f t="shared" si="18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9"/>
        <v/>
      </c>
      <c r="L326" s="57" t="str">
        <f>IF(C326&lt;&gt;"",_xlfn.XLOOKUP(TEXT(C326,"0"),TEXT(CC!$C$3:$C$1000,"0"),CC!$G$3:$G$1000,""),"")</f>
        <v/>
      </c>
    </row>
    <row r="327" spans="7:12" x14ac:dyDescent="0.25">
      <c r="G327" s="70">
        <f>IFERROR(SUMPRODUCT((TEXT(CC!$C$3:$C$1000,"0")=TEXT(C327,"0"))*IFERROR(CC!$E$3:$E$1000+0,0)),0)</f>
      </c>
      <c r="H327" s="56"/>
      <c r="I327" s="24" t="str">
        <f t="shared" si="18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9"/>
        <v/>
      </c>
      <c r="L327" s="57" t="str">
        <f>IF(C327&lt;&gt;"",_xlfn.XLOOKUP(TEXT(C327,"0"),TEXT(CC!$C$3:$C$1000,"0"),CC!$G$3:$G$1000,""),"")</f>
        <v/>
      </c>
    </row>
    <row r="328" spans="7:12" x14ac:dyDescent="0.25">
      <c r="G328" s="70">
        <f>IFERROR(SUMPRODUCT((TEXT(CC!$C$3:$C$1000,"0")=TEXT(C328,"0"))*IFERROR(CC!$E$3:$E$1000+0,0)),0)</f>
      </c>
      <c r="H328" s="56"/>
      <c r="I328" s="24" t="str">
        <f t="shared" si="18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9"/>
        <v/>
      </c>
      <c r="L328" s="57" t="str">
        <f>IF(C328&lt;&gt;"",_xlfn.XLOOKUP(TEXT(C328,"0"),TEXT(CC!$C$3:$C$1000,"0"),CC!$G$3:$G$1000,""),"")</f>
        <v/>
      </c>
    </row>
    <row r="329" spans="7:12" x14ac:dyDescent="0.25">
      <c r="G329" s="70">
        <f>IFERROR(SUMPRODUCT((TEXT(CC!$C$3:$C$1000,"0")=TEXT(C329,"0"))*IFERROR(CC!$E$3:$E$1000+0,0)),0)</f>
      </c>
      <c r="H329" s="56"/>
      <c r="I329" s="24" t="str">
        <f t="shared" si="18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9"/>
        <v/>
      </c>
      <c r="L329" s="57" t="str">
        <f>IF(C329&lt;&gt;"",_xlfn.XLOOKUP(TEXT(C329,"0"),TEXT(CC!$C$3:$C$1000,"0"),CC!$G$3:$G$1000,""),"")</f>
        <v/>
      </c>
    </row>
    <row r="330" spans="7:12" x14ac:dyDescent="0.25">
      <c r="G330" s="70">
        <f>IFERROR(SUMPRODUCT((TEXT(CC!$C$3:$C$1000,"0")=TEXT(C330,"0"))*IFERROR(CC!$E$3:$E$1000+0,0)),0)</f>
      </c>
      <c r="H330" s="56"/>
      <c r="I330" s="24" t="str">
        <f t="shared" si="18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9"/>
        <v/>
      </c>
      <c r="L330" s="57" t="str">
        <f>IF(C330&lt;&gt;"",_xlfn.XLOOKUP(TEXT(C330,"0"),TEXT(CC!$C$3:$C$1000,"0"),CC!$G$3:$G$1000,""),"")</f>
        <v/>
      </c>
    </row>
    <row r="331" spans="7:12" x14ac:dyDescent="0.25">
      <c r="G331" s="70">
        <f>IFERROR(SUMPRODUCT((TEXT(CC!$C$3:$C$1000,"0")=TEXT(C331,"0"))*IFERROR(CC!$E$3:$E$1000+0,0)),0)</f>
      </c>
      <c r="H331" s="56"/>
      <c r="I331" s="24" t="str">
        <f t="shared" si="18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9"/>
        <v/>
      </c>
      <c r="L331" s="57" t="str">
        <f>IF(C331&lt;&gt;"",_xlfn.XLOOKUP(TEXT(C331,"0"),TEXT(CC!$C$3:$C$1000,"0"),CC!$G$3:$G$1000,""),"")</f>
        <v/>
      </c>
    </row>
    <row r="332" spans="7:12" x14ac:dyDescent="0.25">
      <c r="G332" s="70">
        <f>IFERROR(SUMPRODUCT((TEXT(CC!$C$3:$C$1000,"0")=TEXT(C332,"0"))*IFERROR(CC!$E$3:$E$1000+0,0)),0)</f>
      </c>
      <c r="H332" s="56"/>
      <c r="I332" s="24" t="str">
        <f t="shared" si="18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9"/>
        <v/>
      </c>
      <c r="L332" s="57" t="str">
        <f>IF(C332&lt;&gt;"",_xlfn.XLOOKUP(TEXT(C332,"0"),TEXT(CC!$C$3:$C$1000,"0"),CC!$G$3:$G$1000,""),"")</f>
        <v/>
      </c>
    </row>
    <row r="333" spans="7:12" x14ac:dyDescent="0.25">
      <c r="G333" s="70">
        <f>IFERROR(SUMPRODUCT((TEXT(CC!$C$3:$C$1000,"0")=TEXT(C333,"0"))*IFERROR(CC!$E$3:$E$1000+0,0)),0)</f>
      </c>
      <c r="H333" s="56"/>
      <c r="I333" s="24" t="str">
        <f t="shared" si="18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9"/>
        <v/>
      </c>
      <c r="L333" s="57" t="str">
        <f>IF(C333&lt;&gt;"",_xlfn.XLOOKUP(TEXT(C333,"0"),TEXT(CC!$C$3:$C$1000,"0"),CC!$G$3:$G$1000,""),"")</f>
        <v/>
      </c>
    </row>
    <row r="334" spans="7:12" x14ac:dyDescent="0.25">
      <c r="G334" s="70">
        <f>IFERROR(SUMPRODUCT((TEXT(CC!$C$3:$C$1000,"0")=TEXT(C334,"0"))*IFERROR(CC!$E$3:$E$1000+0,0)),0)</f>
      </c>
      <c r="H334" s="56"/>
      <c r="I334" s="24" t="str">
        <f t="shared" si="18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9"/>
        <v/>
      </c>
      <c r="L334" s="57" t="str">
        <f>IF(C334&lt;&gt;"",_xlfn.XLOOKUP(TEXT(C334,"0"),TEXT(CC!$C$3:$C$1000,"0"),CC!$G$3:$G$1000,""),"")</f>
        <v/>
      </c>
    </row>
    <row r="335" spans="7:12" x14ac:dyDescent="0.25">
      <c r="G335" s="70">
        <f>IFERROR(SUMPRODUCT((TEXT(CC!$C$3:$C$1000,"0")=TEXT(C335,"0"))*IFERROR(CC!$E$3:$E$1000+0,0)),0)</f>
      </c>
      <c r="H335" s="56"/>
      <c r="I335" s="24" t="str">
        <f t="shared" ref="I335:I398" si="20">IF(J335&lt;&gt;0,"511011","")</f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9"/>
        <v/>
      </c>
      <c r="L335" s="57" t="str">
        <f>IF(C335&lt;&gt;"",_xlfn.XLOOKUP(TEXT(C335,"0"),TEXT(CC!$C$3:$C$1000,"0"),CC!$G$3:$G$1000,""),"")</f>
        <v/>
      </c>
    </row>
    <row r="336" spans="7:12" x14ac:dyDescent="0.25">
      <c r="G336" s="70">
        <f>IFERROR(SUMPRODUCT((TEXT(CC!$C$3:$C$1000,"0")=TEXT(C336,"0"))*IFERROR(CC!$E$3:$E$1000+0,0)),0)</f>
      </c>
      <c r="H336" s="56"/>
      <c r="I336" s="24" t="str">
        <f t="shared" si="20"/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21">IF(J336&lt;&gt;0,C336,"")</f>
        <v/>
      </c>
      <c r="L336" s="57" t="str">
        <f>IF(C336&lt;&gt;"",_xlfn.XLOOKUP(TEXT(C336,"0"),TEXT(CC!$C$3:$C$1000,"0"),CC!$G$3:$G$1000,""),"")</f>
        <v/>
      </c>
    </row>
    <row r="337" spans="7:12" x14ac:dyDescent="0.25">
      <c r="G337" s="70">
        <f>IFERROR(SUMPRODUCT((TEXT(CC!$C$3:$C$1000,"0")=TEXT(C337,"0"))*IFERROR(CC!$E$3:$E$1000+0,0)),0)</f>
      </c>
      <c r="H337" s="56"/>
      <c r="I337" s="24" t="str">
        <f t="shared" si="20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21"/>
        <v/>
      </c>
      <c r="L337" s="57" t="str">
        <f>IF(C337&lt;&gt;"",_xlfn.XLOOKUP(TEXT(C337,"0"),TEXT(CC!$C$3:$C$1000,"0"),CC!$G$3:$G$1000,""),"")</f>
        <v/>
      </c>
    </row>
    <row r="338" spans="7:12" x14ac:dyDescent="0.25">
      <c r="G338" s="70">
        <f>IFERROR(SUMPRODUCT((TEXT(CC!$C$3:$C$1000,"0")=TEXT(C338,"0"))*IFERROR(CC!$E$3:$E$1000+0,0)),0)</f>
      </c>
      <c r="H338" s="56"/>
      <c r="I338" s="24" t="str">
        <f t="shared" si="20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21"/>
        <v/>
      </c>
      <c r="L338" s="57" t="str">
        <f>IF(C338&lt;&gt;"",_xlfn.XLOOKUP(TEXT(C338,"0"),TEXT(CC!$C$3:$C$1000,"0"),CC!$G$3:$G$1000,""),"")</f>
        <v/>
      </c>
    </row>
    <row r="339" spans="7:12" x14ac:dyDescent="0.25">
      <c r="G339" s="70">
        <f>IFERROR(SUMPRODUCT((TEXT(CC!$C$3:$C$1000,"0")=TEXT(C339,"0"))*IFERROR(CC!$E$3:$E$1000+0,0)),0)</f>
      </c>
      <c r="H339" s="56"/>
      <c r="I339" s="24" t="str">
        <f t="shared" si="20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21"/>
        <v/>
      </c>
      <c r="L339" s="57" t="str">
        <f>IF(C339&lt;&gt;"",_xlfn.XLOOKUP(TEXT(C339,"0"),TEXT(CC!$C$3:$C$1000,"0"),CC!$G$3:$G$1000,""),"")</f>
        <v/>
      </c>
    </row>
    <row r="340" spans="7:12" x14ac:dyDescent="0.25">
      <c r="G340" s="70">
        <f>IFERROR(SUMPRODUCT((TEXT(CC!$C$3:$C$1000,"0")=TEXT(C340,"0"))*IFERROR(CC!$E$3:$E$1000+0,0)),0)</f>
      </c>
      <c r="H340" s="56"/>
      <c r="I340" s="24" t="str">
        <f t="shared" si="20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21"/>
        <v/>
      </c>
      <c r="L340" s="57" t="str">
        <f>IF(C340&lt;&gt;"",_xlfn.XLOOKUP(TEXT(C340,"0"),TEXT(CC!$C$3:$C$1000,"0"),CC!$G$3:$G$1000,""),"")</f>
        <v/>
      </c>
    </row>
    <row r="341" spans="7:12" x14ac:dyDescent="0.25">
      <c r="G341" s="70">
        <f>IFERROR(SUMPRODUCT((TEXT(CC!$C$3:$C$1000,"0")=TEXT(C341,"0"))*IFERROR(CC!$E$3:$E$1000+0,0)),0)</f>
      </c>
      <c r="H341" s="56"/>
      <c r="I341" s="24" t="str">
        <f t="shared" si="20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21"/>
        <v/>
      </c>
      <c r="L341" s="57" t="str">
        <f>IF(C341&lt;&gt;"",_xlfn.XLOOKUP(TEXT(C341,"0"),TEXT(CC!$C$3:$C$1000,"0"),CC!$G$3:$G$1000,""),"")</f>
        <v/>
      </c>
    </row>
    <row r="342" spans="7:12" x14ac:dyDescent="0.25">
      <c r="G342" s="70">
        <f>IFERROR(SUMPRODUCT((TEXT(CC!$C$3:$C$1000,"0")=TEXT(C342,"0"))*IFERROR(CC!$E$3:$E$1000+0,0)),0)</f>
      </c>
      <c r="H342" s="56"/>
      <c r="I342" s="24" t="str">
        <f t="shared" si="20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21"/>
        <v/>
      </c>
      <c r="L342" s="57" t="str">
        <f>IF(C342&lt;&gt;"",_xlfn.XLOOKUP(TEXT(C342,"0"),TEXT(CC!$C$3:$C$1000,"0"),CC!$G$3:$G$1000,""),"")</f>
        <v/>
      </c>
    </row>
    <row r="343" spans="7:12" x14ac:dyDescent="0.25">
      <c r="G343" s="70">
        <f>IFERROR(SUMPRODUCT((TEXT(CC!$C$3:$C$1000,"0")=TEXT(C343,"0"))*IFERROR(CC!$E$3:$E$1000+0,0)),0)</f>
      </c>
      <c r="H343" s="56"/>
      <c r="I343" s="24" t="str">
        <f t="shared" si="20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21"/>
        <v/>
      </c>
      <c r="L343" s="57" t="str">
        <f>IF(C343&lt;&gt;"",_xlfn.XLOOKUP(TEXT(C343,"0"),TEXT(CC!$C$3:$C$1000,"0"),CC!$G$3:$G$1000,""),"")</f>
        <v/>
      </c>
    </row>
    <row r="344" spans="7:12" x14ac:dyDescent="0.25">
      <c r="G344" s="70">
        <f>IFERROR(SUMPRODUCT((TEXT(CC!$C$3:$C$1000,"0")=TEXT(C344,"0"))*IFERROR(CC!$E$3:$E$1000+0,0)),0)</f>
      </c>
      <c r="H344" s="56"/>
      <c r="I344" s="24" t="str">
        <f t="shared" si="20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21"/>
        <v/>
      </c>
      <c r="L344" s="57" t="str">
        <f>IF(C344&lt;&gt;"",_xlfn.XLOOKUP(TEXT(C344,"0"),TEXT(CC!$C$3:$C$1000,"0"),CC!$G$3:$G$1000,""),"")</f>
        <v/>
      </c>
    </row>
    <row r="345" spans="7:12" x14ac:dyDescent="0.25">
      <c r="G345" s="70">
        <f>IFERROR(SUMPRODUCT((TEXT(CC!$C$3:$C$1000,"0")=TEXT(C345,"0"))*IFERROR(CC!$E$3:$E$1000+0,0)),0)</f>
      </c>
      <c r="H345" s="56"/>
      <c r="I345" s="24" t="str">
        <f t="shared" si="20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21"/>
        <v/>
      </c>
      <c r="L345" s="57" t="str">
        <f>IF(C345&lt;&gt;"",_xlfn.XLOOKUP(TEXT(C345,"0"),TEXT(CC!$C$3:$C$1000,"0"),CC!$G$3:$G$1000,""),"")</f>
        <v/>
      </c>
    </row>
    <row r="346" spans="7:12" x14ac:dyDescent="0.25">
      <c r="G346" s="70">
        <f>IFERROR(SUMPRODUCT((TEXT(CC!$C$3:$C$1000,"0")=TEXT(C346,"0"))*IFERROR(CC!$E$3:$E$1000+0,0)),0)</f>
      </c>
      <c r="H346" s="56"/>
      <c r="I346" s="24" t="str">
        <f t="shared" si="20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21"/>
        <v/>
      </c>
      <c r="L346" s="57" t="str">
        <f>IF(C346&lt;&gt;"",_xlfn.XLOOKUP(TEXT(C346,"0"),TEXT(CC!$C$3:$C$1000,"0"),CC!$G$3:$G$1000,""),"")</f>
        <v/>
      </c>
    </row>
    <row r="347" spans="7:12" x14ac:dyDescent="0.25">
      <c r="G347" s="70">
        <f>IFERROR(SUMPRODUCT((TEXT(CC!$C$3:$C$1000,"0")=TEXT(C347,"0"))*IFERROR(CC!$E$3:$E$1000+0,0)),0)</f>
      </c>
      <c r="H347" s="56"/>
      <c r="I347" s="24" t="str">
        <f t="shared" si="20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21"/>
        <v/>
      </c>
      <c r="L347" s="57" t="str">
        <f>IF(C347&lt;&gt;"",_xlfn.XLOOKUP(TEXT(C347,"0"),TEXT(CC!$C$3:$C$1000,"0"),CC!$G$3:$G$1000,""),"")</f>
        <v/>
      </c>
    </row>
    <row r="348" spans="7:12" x14ac:dyDescent="0.25">
      <c r="G348" s="70">
        <f>IFERROR(SUMPRODUCT((TEXT(CC!$C$3:$C$1000,"0")=TEXT(C348,"0"))*IFERROR(CC!$E$3:$E$1000+0,0)),0)</f>
      </c>
      <c r="H348" s="56"/>
      <c r="I348" s="24" t="str">
        <f t="shared" si="20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21"/>
        <v/>
      </c>
      <c r="L348" s="57" t="str">
        <f>IF(C348&lt;&gt;"",_xlfn.XLOOKUP(TEXT(C348,"0"),TEXT(CC!$C$3:$C$1000,"0"),CC!$G$3:$G$1000,""),"")</f>
        <v/>
      </c>
    </row>
    <row r="349" spans="7:12" x14ac:dyDescent="0.25">
      <c r="G349" s="70">
        <f>IFERROR(SUMPRODUCT((TEXT(CC!$C$3:$C$1000,"0")=TEXT(C349,"0"))*IFERROR(CC!$E$3:$E$1000+0,0)),0)</f>
      </c>
      <c r="H349" s="56"/>
      <c r="I349" s="24" t="str">
        <f t="shared" si="20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21"/>
        <v/>
      </c>
      <c r="L349" s="57" t="str">
        <f>IF(C349&lt;&gt;"",_xlfn.XLOOKUP(TEXT(C349,"0"),TEXT(CC!$C$3:$C$1000,"0"),CC!$G$3:$G$1000,""),"")</f>
        <v/>
      </c>
    </row>
    <row r="350" spans="7:12" x14ac:dyDescent="0.25">
      <c r="G350" s="70">
        <f>IFERROR(SUMPRODUCT((TEXT(CC!$C$3:$C$1000,"0")=TEXT(C350,"0"))*IFERROR(CC!$E$3:$E$1000+0,0)),0)</f>
      </c>
      <c r="H350" s="56"/>
      <c r="I350" s="24" t="str">
        <f t="shared" si="20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21"/>
        <v/>
      </c>
      <c r="L350" s="57" t="str">
        <f>IF(C350&lt;&gt;"",_xlfn.XLOOKUP(TEXT(C350,"0"),TEXT(CC!$C$3:$C$1000,"0"),CC!$G$3:$G$1000,""),"")</f>
        <v/>
      </c>
    </row>
    <row r="351" spans="7:12" x14ac:dyDescent="0.25">
      <c r="G351" s="70">
        <f>IFERROR(SUMPRODUCT((TEXT(CC!$C$3:$C$1000,"0")=TEXT(C351,"0"))*IFERROR(CC!$E$3:$E$1000+0,0)),0)</f>
      </c>
      <c r="H351" s="56"/>
      <c r="I351" s="24" t="str">
        <f t="shared" si="20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21"/>
        <v/>
      </c>
      <c r="L351" s="57" t="str">
        <f>IF(C351&lt;&gt;"",_xlfn.XLOOKUP(TEXT(C351,"0"),TEXT(CC!$C$3:$C$1000,"0"),CC!$G$3:$G$1000,""),"")</f>
        <v/>
      </c>
    </row>
    <row r="352" spans="7:12" x14ac:dyDescent="0.25">
      <c r="G352" s="70">
        <f>IFERROR(SUMPRODUCT((TEXT(CC!$C$3:$C$1000,"0")=TEXT(C352,"0"))*IFERROR(CC!$E$3:$E$1000+0,0)),0)</f>
      </c>
      <c r="H352" s="56"/>
      <c r="I352" s="24" t="str">
        <f t="shared" si="20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21"/>
        <v/>
      </c>
      <c r="L352" s="57" t="str">
        <f>IF(C352&lt;&gt;"",_xlfn.XLOOKUP(TEXT(C352,"0"),TEXT(CC!$C$3:$C$1000,"0"),CC!$G$3:$G$1000,""),"")</f>
        <v/>
      </c>
    </row>
    <row r="353" spans="7:12" x14ac:dyDescent="0.25">
      <c r="G353" s="70">
        <f>IFERROR(SUMPRODUCT((TEXT(CC!$C$3:$C$1000,"0")=TEXT(C353,"0"))*IFERROR(CC!$E$3:$E$1000+0,0)),0)</f>
      </c>
      <c r="H353" s="56"/>
      <c r="I353" s="24" t="str">
        <f t="shared" si="20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21"/>
        <v/>
      </c>
      <c r="L353" s="57" t="str">
        <f>IF(C353&lt;&gt;"",_xlfn.XLOOKUP(TEXT(C353,"0"),TEXT(CC!$C$3:$C$1000,"0"),CC!$G$3:$G$1000,""),"")</f>
        <v/>
      </c>
    </row>
    <row r="354" spans="7:12" x14ac:dyDescent="0.25">
      <c r="G354" s="70">
        <f>IFERROR(SUMPRODUCT((TEXT(CC!$C$3:$C$1000,"0")=TEXT(C354,"0"))*IFERROR(CC!$E$3:$E$1000+0,0)),0)</f>
      </c>
      <c r="H354" s="56"/>
      <c r="I354" s="24" t="str">
        <f t="shared" si="20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21"/>
        <v/>
      </c>
      <c r="L354" s="57" t="str">
        <f>IF(C354&lt;&gt;"",_xlfn.XLOOKUP(TEXT(C354,"0"),TEXT(CC!$C$3:$C$1000,"0"),CC!$G$3:$G$1000,""),"")</f>
        <v/>
      </c>
    </row>
    <row r="355" spans="7:12" x14ac:dyDescent="0.25">
      <c r="G355" s="70">
        <f>IFERROR(SUMPRODUCT((TEXT(CC!$C$3:$C$1000,"0")=TEXT(C355,"0"))*IFERROR(CC!$E$3:$E$1000+0,0)),0)</f>
      </c>
      <c r="H355" s="56"/>
      <c r="I355" s="24" t="str">
        <f t="shared" si="20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21"/>
        <v/>
      </c>
      <c r="L355" s="57" t="str">
        <f>IF(C355&lt;&gt;"",_xlfn.XLOOKUP(TEXT(C355,"0"),TEXT(CC!$C$3:$C$1000,"0"),CC!$G$3:$G$1000,""),"")</f>
        <v/>
      </c>
    </row>
    <row r="356" spans="7:12" x14ac:dyDescent="0.25">
      <c r="G356" s="70">
        <f>IFERROR(SUMPRODUCT((TEXT(CC!$C$3:$C$1000,"0")=TEXT(C356,"0"))*IFERROR(CC!$E$3:$E$1000+0,0)),0)</f>
      </c>
      <c r="H356" s="56"/>
      <c r="I356" s="24" t="str">
        <f t="shared" si="20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21"/>
        <v/>
      </c>
      <c r="L356" s="57" t="str">
        <f>IF(C356&lt;&gt;"",_xlfn.XLOOKUP(TEXT(C356,"0"),TEXT(CC!$C$3:$C$1000,"0"),CC!$G$3:$G$1000,""),"")</f>
        <v/>
      </c>
    </row>
    <row r="357" spans="7:12" x14ac:dyDescent="0.25">
      <c r="G357" s="70">
        <f>IFERROR(SUMPRODUCT((TEXT(CC!$C$3:$C$1000,"0")=TEXT(C357,"0"))*IFERROR(CC!$E$3:$E$1000+0,0)),0)</f>
      </c>
      <c r="H357" s="56"/>
      <c r="I357" s="24" t="str">
        <f t="shared" si="20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21"/>
        <v/>
      </c>
      <c r="L357" s="57" t="str">
        <f>IF(C357&lt;&gt;"",_xlfn.XLOOKUP(TEXT(C357,"0"),TEXT(CC!$C$3:$C$1000,"0"),CC!$G$3:$G$1000,""),"")</f>
        <v/>
      </c>
    </row>
    <row r="358" spans="7:12" x14ac:dyDescent="0.25">
      <c r="G358" s="70">
        <f>IFERROR(SUMPRODUCT((TEXT(CC!$C$3:$C$1000,"0")=TEXT(C358,"0"))*IFERROR(CC!$E$3:$E$1000+0,0)),0)</f>
      </c>
      <c r="H358" s="56"/>
      <c r="I358" s="24" t="str">
        <f t="shared" si="20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21"/>
        <v/>
      </c>
      <c r="L358" s="57" t="str">
        <f>IF(C358&lt;&gt;"",_xlfn.XLOOKUP(TEXT(C358,"0"),TEXT(CC!$C$3:$C$1000,"0"),CC!$G$3:$G$1000,""),"")</f>
        <v/>
      </c>
    </row>
    <row r="359" spans="7:12" x14ac:dyDescent="0.25">
      <c r="G359" s="70">
        <f>IFERROR(SUMPRODUCT((TEXT(CC!$C$3:$C$1000,"0")=TEXT(C359,"0"))*IFERROR(CC!$E$3:$E$1000+0,0)),0)</f>
      </c>
      <c r="H359" s="56"/>
      <c r="I359" s="24" t="str">
        <f t="shared" si="20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21"/>
        <v/>
      </c>
      <c r="L359" s="57" t="str">
        <f>IF(C359&lt;&gt;"",_xlfn.XLOOKUP(TEXT(C359,"0"),TEXT(CC!$C$3:$C$1000,"0"),CC!$G$3:$G$1000,""),"")</f>
        <v/>
      </c>
    </row>
    <row r="360" spans="7:12" x14ac:dyDescent="0.25">
      <c r="G360" s="70">
        <f>IFERROR(SUMPRODUCT((TEXT(CC!$C$3:$C$1000,"0")=TEXT(C360,"0"))*IFERROR(CC!$E$3:$E$1000+0,0)),0)</f>
      </c>
      <c r="H360" s="56"/>
      <c r="I360" s="24" t="str">
        <f t="shared" si="20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21"/>
        <v/>
      </c>
      <c r="L360" s="57" t="str">
        <f>IF(C360&lt;&gt;"",_xlfn.XLOOKUP(TEXT(C360,"0"),TEXT(CC!$C$3:$C$1000,"0"),CC!$G$3:$G$1000,""),"")</f>
        <v/>
      </c>
    </row>
    <row r="361" spans="7:12" x14ac:dyDescent="0.25">
      <c r="G361" s="70">
        <f>IFERROR(SUMPRODUCT((TEXT(CC!$C$3:$C$1000,"0")=TEXT(C361,"0"))*IFERROR(CC!$E$3:$E$1000+0,0)),0)</f>
      </c>
      <c r="H361" s="56"/>
      <c r="I361" s="24" t="str">
        <f t="shared" si="20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21"/>
        <v/>
      </c>
      <c r="L361" s="57" t="str">
        <f>IF(C361&lt;&gt;"",_xlfn.XLOOKUP(TEXT(C361,"0"),TEXT(CC!$C$3:$C$1000,"0"),CC!$G$3:$G$1000,""),"")</f>
        <v/>
      </c>
    </row>
    <row r="362" spans="7:12" x14ac:dyDescent="0.25">
      <c r="G362" s="70">
        <f>IFERROR(SUMPRODUCT((TEXT(CC!$C$3:$C$1000,"0")=TEXT(C362,"0"))*IFERROR(CC!$E$3:$E$1000+0,0)),0)</f>
      </c>
      <c r="H362" s="56"/>
      <c r="I362" s="24" t="str">
        <f t="shared" si="20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21"/>
        <v/>
      </c>
      <c r="L362" s="57" t="str">
        <f>IF(C362&lt;&gt;"",_xlfn.XLOOKUP(TEXT(C362,"0"),TEXT(CC!$C$3:$C$1000,"0"),CC!$G$3:$G$1000,""),"")</f>
        <v/>
      </c>
    </row>
    <row r="363" spans="7:12" x14ac:dyDescent="0.25">
      <c r="G363" s="70">
        <f>IFERROR(SUMPRODUCT((TEXT(CC!$C$3:$C$1000,"0")=TEXT(C363,"0"))*IFERROR(CC!$E$3:$E$1000+0,0)),0)</f>
      </c>
      <c r="H363" s="56"/>
      <c r="I363" s="24" t="str">
        <f t="shared" si="20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21"/>
        <v/>
      </c>
      <c r="L363" s="57" t="str">
        <f>IF(C363&lt;&gt;"",_xlfn.XLOOKUP(TEXT(C363,"0"),TEXT(CC!$C$3:$C$1000,"0"),CC!$G$3:$G$1000,""),"")</f>
        <v/>
      </c>
    </row>
    <row r="364" spans="7:12" x14ac:dyDescent="0.25">
      <c r="G364" s="70">
        <f>IFERROR(SUMPRODUCT((TEXT(CC!$C$3:$C$1000,"0")=TEXT(C364,"0"))*IFERROR(CC!$E$3:$E$1000+0,0)),0)</f>
      </c>
      <c r="H364" s="56"/>
      <c r="I364" s="24" t="str">
        <f t="shared" si="20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21"/>
        <v/>
      </c>
      <c r="L364" s="57" t="str">
        <f>IF(C364&lt;&gt;"",_xlfn.XLOOKUP(TEXT(C364,"0"),TEXT(CC!$C$3:$C$1000,"0"),CC!$G$3:$G$1000,""),"")</f>
        <v/>
      </c>
    </row>
    <row r="365" spans="7:12" x14ac:dyDescent="0.25">
      <c r="G365" s="70">
        <f>IFERROR(SUMPRODUCT((TEXT(CC!$C$3:$C$1000,"0")=TEXT(C365,"0"))*IFERROR(CC!$E$3:$E$1000+0,0)),0)</f>
      </c>
      <c r="H365" s="56"/>
      <c r="I365" s="24" t="str">
        <f t="shared" si="20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21"/>
        <v/>
      </c>
      <c r="L365" s="57" t="str">
        <f>IF(C365&lt;&gt;"",_xlfn.XLOOKUP(TEXT(C365,"0"),TEXT(CC!$C$3:$C$1000,"0"),CC!$G$3:$G$1000,""),"")</f>
        <v/>
      </c>
    </row>
    <row r="366" spans="7:12" x14ac:dyDescent="0.25">
      <c r="G366" s="70">
        <f>IFERROR(SUMPRODUCT((TEXT(CC!$C$3:$C$1000,"0")=TEXT(C366,"0"))*IFERROR(CC!$E$3:$E$1000+0,0)),0)</f>
      </c>
      <c r="H366" s="56"/>
      <c r="I366" s="24" t="str">
        <f t="shared" si="20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21"/>
        <v/>
      </c>
      <c r="L366" s="57" t="str">
        <f>IF(C366&lt;&gt;"",_xlfn.XLOOKUP(TEXT(C366,"0"),TEXT(CC!$C$3:$C$1000,"0"),CC!$G$3:$G$1000,""),"")</f>
        <v/>
      </c>
    </row>
    <row r="367" spans="7:12" x14ac:dyDescent="0.25">
      <c r="G367" s="70">
        <f>IFERROR(SUMPRODUCT((TEXT(CC!$C$3:$C$1000,"0")=TEXT(C367,"0"))*IFERROR(CC!$E$3:$E$1000+0,0)),0)</f>
      </c>
      <c r="H367" s="56"/>
      <c r="I367" s="24" t="str">
        <f t="shared" si="20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21"/>
        <v/>
      </c>
      <c r="L367" s="57" t="str">
        <f>IF(C367&lt;&gt;"",_xlfn.XLOOKUP(TEXT(C367,"0"),TEXT(CC!$C$3:$C$1000,"0"),CC!$G$3:$G$1000,""),"")</f>
        <v/>
      </c>
    </row>
    <row r="368" spans="7:12" x14ac:dyDescent="0.25">
      <c r="G368" s="70">
        <f>IFERROR(SUMPRODUCT((TEXT(CC!$C$3:$C$1000,"0")=TEXT(C368,"0"))*IFERROR(CC!$E$3:$E$1000+0,0)),0)</f>
      </c>
      <c r="H368" s="56"/>
      <c r="I368" s="24" t="str">
        <f t="shared" si="20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21"/>
        <v/>
      </c>
      <c r="L368" s="57" t="str">
        <f>IF(C368&lt;&gt;"",_xlfn.XLOOKUP(TEXT(C368,"0"),TEXT(CC!$C$3:$C$1000,"0"),CC!$G$3:$G$1000,""),"")</f>
        <v/>
      </c>
    </row>
    <row r="369" spans="7:12" x14ac:dyDescent="0.25">
      <c r="G369" s="70">
        <f>IFERROR(SUMPRODUCT((TEXT(CC!$C$3:$C$1000,"0")=TEXT(C369,"0"))*IFERROR(CC!$E$3:$E$1000+0,0)),0)</f>
      </c>
      <c r="H369" s="56"/>
      <c r="I369" s="24" t="str">
        <f t="shared" si="20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21"/>
        <v/>
      </c>
      <c r="L369" s="57" t="str">
        <f>IF(C369&lt;&gt;"",_xlfn.XLOOKUP(TEXT(C369,"0"),TEXT(CC!$C$3:$C$1000,"0"),CC!$G$3:$G$1000,""),"")</f>
        <v/>
      </c>
    </row>
    <row r="370" spans="7:12" x14ac:dyDescent="0.25">
      <c r="G370" s="70">
        <f>IFERROR(SUMPRODUCT((TEXT(CC!$C$3:$C$1000,"0")=TEXT(C370,"0"))*IFERROR(CC!$E$3:$E$1000+0,0)),0)</f>
      </c>
      <c r="H370" s="56"/>
      <c r="I370" s="24" t="str">
        <f t="shared" si="20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21"/>
        <v/>
      </c>
      <c r="L370" s="57" t="str">
        <f>IF(C370&lt;&gt;"",_xlfn.XLOOKUP(TEXT(C370,"0"),TEXT(CC!$C$3:$C$1000,"0"),CC!$G$3:$G$1000,""),"")</f>
        <v/>
      </c>
    </row>
    <row r="371" spans="7:12" x14ac:dyDescent="0.25">
      <c r="G371" s="70">
        <f>IFERROR(SUMPRODUCT((TEXT(CC!$C$3:$C$1000,"0")=TEXT(C371,"0"))*IFERROR(CC!$E$3:$E$1000+0,0)),0)</f>
      </c>
      <c r="H371" s="56"/>
      <c r="I371" s="24" t="str">
        <f t="shared" si="20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21"/>
        <v/>
      </c>
      <c r="L371" s="57" t="str">
        <f>IF(C371&lt;&gt;"",_xlfn.XLOOKUP(TEXT(C371,"0"),TEXT(CC!$C$3:$C$1000,"0"),CC!$G$3:$G$1000,""),"")</f>
        <v/>
      </c>
    </row>
    <row r="372" spans="7:12" x14ac:dyDescent="0.25">
      <c r="G372" s="70">
        <f>IFERROR(SUMPRODUCT((TEXT(CC!$C$3:$C$1000,"0")=TEXT(C372,"0"))*IFERROR(CC!$E$3:$E$1000+0,0)),0)</f>
      </c>
      <c r="H372" s="56"/>
      <c r="I372" s="24" t="str">
        <f t="shared" si="20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21"/>
        <v/>
      </c>
      <c r="L372" s="57" t="str">
        <f>IF(C372&lt;&gt;"",_xlfn.XLOOKUP(TEXT(C372,"0"),TEXT(CC!$C$3:$C$1000,"0"),CC!$G$3:$G$1000,""),"")</f>
        <v/>
      </c>
    </row>
    <row r="373" spans="7:12" x14ac:dyDescent="0.25">
      <c r="G373" s="70">
        <f>IFERROR(SUMPRODUCT((TEXT(CC!$C$3:$C$1000,"0")=TEXT(C373,"0"))*IFERROR(CC!$E$3:$E$1000+0,0)),0)</f>
      </c>
      <c r="H373" s="56"/>
      <c r="I373" s="24" t="str">
        <f t="shared" si="20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21"/>
        <v/>
      </c>
      <c r="L373" s="57" t="str">
        <f>IF(C373&lt;&gt;"",_xlfn.XLOOKUP(TEXT(C373,"0"),TEXT(CC!$C$3:$C$1000,"0"),CC!$G$3:$G$1000,""),"")</f>
        <v/>
      </c>
    </row>
    <row r="374" spans="7:12" x14ac:dyDescent="0.25">
      <c r="G374" s="70">
        <f>IFERROR(SUMPRODUCT((TEXT(CC!$C$3:$C$1000,"0")=TEXT(C374,"0"))*IFERROR(CC!$E$3:$E$1000+0,0)),0)</f>
      </c>
      <c r="H374" s="56"/>
      <c r="I374" s="24" t="str">
        <f t="shared" si="20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21"/>
        <v/>
      </c>
      <c r="L374" s="57" t="str">
        <f>IF(C374&lt;&gt;"",_xlfn.XLOOKUP(TEXT(C374,"0"),TEXT(CC!$C$3:$C$1000,"0"),CC!$G$3:$G$1000,""),"")</f>
        <v/>
      </c>
    </row>
    <row r="375" spans="7:12" x14ac:dyDescent="0.25">
      <c r="G375" s="70">
        <f>IFERROR(SUMPRODUCT((TEXT(CC!$C$3:$C$1000,"0")=TEXT(C375,"0"))*IFERROR(CC!$E$3:$E$1000+0,0)),0)</f>
      </c>
      <c r="H375" s="56"/>
      <c r="I375" s="24" t="str">
        <f t="shared" si="20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21"/>
        <v/>
      </c>
      <c r="L375" s="57" t="str">
        <f>IF(C375&lt;&gt;"",_xlfn.XLOOKUP(TEXT(C375,"0"),TEXT(CC!$C$3:$C$1000,"0"),CC!$G$3:$G$1000,""),"")</f>
        <v/>
      </c>
    </row>
    <row r="376" spans="7:12" x14ac:dyDescent="0.25">
      <c r="G376" s="70">
        <f>IFERROR(SUMPRODUCT((TEXT(CC!$C$3:$C$1000,"0")=TEXT(C376,"0"))*IFERROR(CC!$E$3:$E$1000+0,0)),0)</f>
      </c>
      <c r="H376" s="56"/>
      <c r="I376" s="24" t="str">
        <f t="shared" si="20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21"/>
        <v/>
      </c>
      <c r="L376" s="57" t="str">
        <f>IF(C376&lt;&gt;"",_xlfn.XLOOKUP(TEXT(C376,"0"),TEXT(CC!$C$3:$C$1000,"0"),CC!$G$3:$G$1000,""),"")</f>
        <v/>
      </c>
    </row>
    <row r="377" spans="7:12" x14ac:dyDescent="0.25">
      <c r="G377" s="70">
        <f>IFERROR(SUMPRODUCT((TEXT(CC!$C$3:$C$1000,"0")=TEXT(C377,"0"))*IFERROR(CC!$E$3:$E$1000+0,0)),0)</f>
      </c>
      <c r="H377" s="56"/>
      <c r="I377" s="24" t="str">
        <f t="shared" si="20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21"/>
        <v/>
      </c>
      <c r="L377" s="57" t="str">
        <f>IF(C377&lt;&gt;"",_xlfn.XLOOKUP(TEXT(C377,"0"),TEXT(CC!$C$3:$C$1000,"0"),CC!$G$3:$G$1000,""),"")</f>
        <v/>
      </c>
    </row>
    <row r="378" spans="7:12" x14ac:dyDescent="0.25">
      <c r="G378" s="70">
        <f>IFERROR(SUMPRODUCT((TEXT(CC!$C$3:$C$1000,"0")=TEXT(C378,"0"))*IFERROR(CC!$E$3:$E$1000+0,0)),0)</f>
      </c>
      <c r="H378" s="56"/>
      <c r="I378" s="24" t="str">
        <f t="shared" si="20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21"/>
        <v/>
      </c>
      <c r="L378" s="57" t="str">
        <f>IF(C378&lt;&gt;"",_xlfn.XLOOKUP(TEXT(C378,"0"),TEXT(CC!$C$3:$C$1000,"0"),CC!$G$3:$G$1000,""),"")</f>
        <v/>
      </c>
    </row>
    <row r="379" spans="7:12" x14ac:dyDescent="0.25">
      <c r="G379" s="70">
        <f>IFERROR(SUMPRODUCT((TEXT(CC!$C$3:$C$1000,"0")=TEXT(C379,"0"))*IFERROR(CC!$E$3:$E$1000+0,0)),0)</f>
      </c>
      <c r="H379" s="56"/>
      <c r="I379" s="24" t="str">
        <f t="shared" si="20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21"/>
        <v/>
      </c>
      <c r="L379" s="57" t="str">
        <f>IF(C379&lt;&gt;"",_xlfn.XLOOKUP(TEXT(C379,"0"),TEXT(CC!$C$3:$C$1000,"0"),CC!$G$3:$G$1000,""),"")</f>
        <v/>
      </c>
    </row>
    <row r="380" spans="7:12" x14ac:dyDescent="0.25">
      <c r="G380" s="70">
        <f>IFERROR(SUMPRODUCT((TEXT(CC!$C$3:$C$1000,"0")=TEXT(C380,"0"))*IFERROR(CC!$E$3:$E$1000+0,0)),0)</f>
      </c>
      <c r="H380" s="56"/>
      <c r="I380" s="24" t="str">
        <f t="shared" si="20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21"/>
        <v/>
      </c>
      <c r="L380" s="57" t="str">
        <f>IF(C380&lt;&gt;"",_xlfn.XLOOKUP(TEXT(C380,"0"),TEXT(CC!$C$3:$C$1000,"0"),CC!$G$3:$G$1000,""),"")</f>
        <v/>
      </c>
    </row>
    <row r="381" spans="7:12" x14ac:dyDescent="0.25">
      <c r="G381" s="70">
        <f>IFERROR(SUMPRODUCT((TEXT(CC!$C$3:$C$1000,"0")=TEXT(C381,"0"))*IFERROR(CC!$E$3:$E$1000+0,0)),0)</f>
      </c>
      <c r="H381" s="56"/>
      <c r="I381" s="24" t="str">
        <f t="shared" si="20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21"/>
        <v/>
      </c>
      <c r="L381" s="57" t="str">
        <f>IF(C381&lt;&gt;"",_xlfn.XLOOKUP(TEXT(C381,"0"),TEXT(CC!$C$3:$C$1000,"0"),CC!$G$3:$G$1000,""),"")</f>
        <v/>
      </c>
    </row>
    <row r="382" spans="7:12" x14ac:dyDescent="0.25">
      <c r="G382" s="70">
        <f>IFERROR(SUMPRODUCT((TEXT(CC!$C$3:$C$1000,"0")=TEXT(C382,"0"))*IFERROR(CC!$E$3:$E$1000+0,0)),0)</f>
      </c>
      <c r="H382" s="56"/>
      <c r="I382" s="24" t="str">
        <f t="shared" si="20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21"/>
        <v/>
      </c>
      <c r="L382" s="57" t="str">
        <f>IF(C382&lt;&gt;"",_xlfn.XLOOKUP(TEXT(C382,"0"),TEXT(CC!$C$3:$C$1000,"0"),CC!$G$3:$G$1000,""),"")</f>
        <v/>
      </c>
    </row>
    <row r="383" spans="7:12" x14ac:dyDescent="0.25">
      <c r="G383" s="70">
        <f>IFERROR(SUMPRODUCT((TEXT(CC!$C$3:$C$1000,"0")=TEXT(C383,"0"))*IFERROR(CC!$E$3:$E$1000+0,0)),0)</f>
      </c>
      <c r="H383" s="56"/>
      <c r="I383" s="24" t="str">
        <f t="shared" si="20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21"/>
        <v/>
      </c>
      <c r="L383" s="57" t="str">
        <f>IF(C383&lt;&gt;"",_xlfn.XLOOKUP(TEXT(C383,"0"),TEXT(CC!$C$3:$C$1000,"0"),CC!$G$3:$G$1000,""),"")</f>
        <v/>
      </c>
    </row>
    <row r="384" spans="7:12" x14ac:dyDescent="0.25">
      <c r="G384" s="70">
        <f>IFERROR(SUMPRODUCT((TEXT(CC!$C$3:$C$1000,"0")=TEXT(C384,"0"))*IFERROR(CC!$E$3:$E$1000+0,0)),0)</f>
      </c>
      <c r="H384" s="56"/>
      <c r="I384" s="24" t="str">
        <f t="shared" si="20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21"/>
        <v/>
      </c>
      <c r="L384" s="57" t="str">
        <f>IF(C384&lt;&gt;"",_xlfn.XLOOKUP(TEXT(C384,"0"),TEXT(CC!$C$3:$C$1000,"0"),CC!$G$3:$G$1000,""),"")</f>
        <v/>
      </c>
    </row>
    <row r="385" spans="7:12" x14ac:dyDescent="0.25">
      <c r="G385" s="70">
        <f>IFERROR(SUMPRODUCT((TEXT(CC!$C$3:$C$1000,"0")=TEXT(C385,"0"))*IFERROR(CC!$E$3:$E$1000+0,0)),0)</f>
      </c>
      <c r="H385" s="56"/>
      <c r="I385" s="24" t="str">
        <f t="shared" si="20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21"/>
        <v/>
      </c>
      <c r="L385" s="57" t="str">
        <f>IF(C385&lt;&gt;"",_xlfn.XLOOKUP(TEXT(C385,"0"),TEXT(CC!$C$3:$C$1000,"0"),CC!$G$3:$G$1000,""),"")</f>
        <v/>
      </c>
    </row>
    <row r="386" spans="7:12" x14ac:dyDescent="0.25">
      <c r="G386" s="70">
        <f>IFERROR(SUMPRODUCT((TEXT(CC!$C$3:$C$1000,"0")=TEXT(C386,"0"))*IFERROR(CC!$E$3:$E$1000+0,0)),0)</f>
      </c>
      <c r="H386" s="56"/>
      <c r="I386" s="24" t="str">
        <f t="shared" si="20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21"/>
        <v/>
      </c>
      <c r="L386" s="57" t="str">
        <f>IF(C386&lt;&gt;"",_xlfn.XLOOKUP(TEXT(C386,"0"),TEXT(CC!$C$3:$C$1000,"0"),CC!$G$3:$G$1000,""),"")</f>
        <v/>
      </c>
    </row>
    <row r="387" spans="7:12" x14ac:dyDescent="0.25">
      <c r="G387" s="70">
        <f>IFERROR(SUMPRODUCT((TEXT(CC!$C$3:$C$1000,"0")=TEXT(C387,"0"))*IFERROR(CC!$E$3:$E$1000+0,0)),0)</f>
      </c>
      <c r="H387" s="56"/>
      <c r="I387" s="24" t="str">
        <f t="shared" si="20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21"/>
        <v/>
      </c>
      <c r="L387" s="57" t="str">
        <f>IF(C387&lt;&gt;"",_xlfn.XLOOKUP(TEXT(C387,"0"),TEXT(CC!$C$3:$C$1000,"0"),CC!$G$3:$G$1000,""),"")</f>
        <v/>
      </c>
    </row>
    <row r="388" spans="7:12" x14ac:dyDescent="0.25">
      <c r="G388" s="70">
        <f>IFERROR(SUMPRODUCT((TEXT(CC!$C$3:$C$1000,"0")=TEXT(C388,"0"))*IFERROR(CC!$E$3:$E$1000+0,0)),0)</f>
      </c>
      <c r="H388" s="56"/>
      <c r="I388" s="24" t="str">
        <f t="shared" si="20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21"/>
        <v/>
      </c>
      <c r="L388" s="57" t="str">
        <f>IF(C388&lt;&gt;"",_xlfn.XLOOKUP(TEXT(C388,"0"),TEXT(CC!$C$3:$C$1000,"0"),CC!$G$3:$G$1000,""),"")</f>
        <v/>
      </c>
    </row>
    <row r="389" spans="7:12" x14ac:dyDescent="0.25">
      <c r="G389" s="70">
        <f>IFERROR(SUMPRODUCT((TEXT(CC!$C$3:$C$1000,"0")=TEXT(C389,"0"))*IFERROR(CC!$E$3:$E$1000+0,0)),0)</f>
      </c>
      <c r="H389" s="56"/>
      <c r="I389" s="24" t="str">
        <f t="shared" si="20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21"/>
        <v/>
      </c>
      <c r="L389" s="57" t="str">
        <f>IF(C389&lt;&gt;"",_xlfn.XLOOKUP(TEXT(C389,"0"),TEXT(CC!$C$3:$C$1000,"0"),CC!$G$3:$G$1000,""),"")</f>
        <v/>
      </c>
    </row>
    <row r="390" spans="7:12" x14ac:dyDescent="0.25">
      <c r="G390" s="70">
        <f>IFERROR(SUMPRODUCT((TEXT(CC!$C$3:$C$1000,"0")=TEXT(C390,"0"))*IFERROR(CC!$E$3:$E$1000+0,0)),0)</f>
      </c>
      <c r="H390" s="56"/>
      <c r="I390" s="24" t="str">
        <f t="shared" si="20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21"/>
        <v/>
      </c>
      <c r="L390" s="57" t="str">
        <f>IF(C390&lt;&gt;"",_xlfn.XLOOKUP(TEXT(C390,"0"),TEXT(CC!$C$3:$C$1000,"0"),CC!$G$3:$G$1000,""),"")</f>
        <v/>
      </c>
    </row>
    <row r="391" spans="7:12" x14ac:dyDescent="0.25">
      <c r="G391" s="70">
        <f>IFERROR(SUMPRODUCT((TEXT(CC!$C$3:$C$1000,"0")=TEXT(C391,"0"))*IFERROR(CC!$E$3:$E$1000+0,0)),0)</f>
      </c>
      <c r="H391" s="56"/>
      <c r="I391" s="24" t="str">
        <f t="shared" si="20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21"/>
        <v/>
      </c>
      <c r="L391" s="57" t="str">
        <f>IF(C391&lt;&gt;"",_xlfn.XLOOKUP(TEXT(C391,"0"),TEXT(CC!$C$3:$C$1000,"0"),CC!$G$3:$G$1000,""),"")</f>
        <v/>
      </c>
    </row>
    <row r="392" spans="7:12" x14ac:dyDescent="0.25">
      <c r="G392" s="70">
        <f>IFERROR(SUMPRODUCT((TEXT(CC!$C$3:$C$1000,"0")=TEXT(C392,"0"))*IFERROR(CC!$E$3:$E$1000+0,0)),0)</f>
      </c>
      <c r="H392" s="56"/>
      <c r="I392" s="24" t="str">
        <f t="shared" si="20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21"/>
        <v/>
      </c>
      <c r="L392" s="57" t="str">
        <f>IF(C392&lt;&gt;"",_xlfn.XLOOKUP(TEXT(C392,"0"),TEXT(CC!$C$3:$C$1000,"0"),CC!$G$3:$G$1000,""),"")</f>
        <v/>
      </c>
    </row>
    <row r="393" spans="7:12" x14ac:dyDescent="0.25">
      <c r="G393" s="70">
        <f>IFERROR(SUMPRODUCT((TEXT(CC!$C$3:$C$1000,"0")=TEXT(C393,"0"))*IFERROR(CC!$E$3:$E$1000+0,0)),0)</f>
      </c>
      <c r="H393" s="56"/>
      <c r="I393" s="24" t="str">
        <f t="shared" si="20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21"/>
        <v/>
      </c>
      <c r="L393" s="57" t="str">
        <f>IF(C393&lt;&gt;"",_xlfn.XLOOKUP(TEXT(C393,"0"),TEXT(CC!$C$3:$C$1000,"0"),CC!$G$3:$G$1000,""),"")</f>
        <v/>
      </c>
    </row>
    <row r="394" spans="7:12" x14ac:dyDescent="0.25">
      <c r="G394" s="70">
        <f>IFERROR(SUMPRODUCT((TEXT(CC!$C$3:$C$1000,"0")=TEXT(C394,"0"))*IFERROR(CC!$E$3:$E$1000+0,0)),0)</f>
      </c>
      <c r="H394" s="56"/>
      <c r="I394" s="24" t="str">
        <f t="shared" si="20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21"/>
        <v/>
      </c>
      <c r="L394" s="57" t="str">
        <f>IF(C394&lt;&gt;"",_xlfn.XLOOKUP(TEXT(C394,"0"),TEXT(CC!$C$3:$C$1000,"0"),CC!$G$3:$G$1000,""),"")</f>
        <v/>
      </c>
    </row>
    <row r="395" spans="7:12" x14ac:dyDescent="0.25">
      <c r="G395" s="70">
        <f>IFERROR(SUMPRODUCT((TEXT(CC!$C$3:$C$1000,"0")=TEXT(C395,"0"))*IFERROR(CC!$E$3:$E$1000+0,0)),0)</f>
      </c>
      <c r="H395" s="56"/>
      <c r="I395" s="24" t="str">
        <f t="shared" si="20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21"/>
        <v/>
      </c>
      <c r="L395" s="57" t="str">
        <f>IF(C395&lt;&gt;"",_xlfn.XLOOKUP(TEXT(C395,"0"),TEXT(CC!$C$3:$C$1000,"0"),CC!$G$3:$G$1000,""),"")</f>
        <v/>
      </c>
    </row>
    <row r="396" spans="7:12" x14ac:dyDescent="0.25">
      <c r="G396" s="70">
        <f>IFERROR(SUMPRODUCT((TEXT(CC!$C$3:$C$1000,"0")=TEXT(C396,"0"))*IFERROR(CC!$E$3:$E$1000+0,0)),0)</f>
      </c>
      <c r="H396" s="56"/>
      <c r="I396" s="24" t="str">
        <f t="shared" si="20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21"/>
        <v/>
      </c>
      <c r="L396" s="57" t="str">
        <f>IF(C396&lt;&gt;"",_xlfn.XLOOKUP(TEXT(C396,"0"),TEXT(CC!$C$3:$C$1000,"0"),CC!$G$3:$G$1000,""),"")</f>
        <v/>
      </c>
    </row>
    <row r="397" spans="7:12" x14ac:dyDescent="0.25">
      <c r="G397" s="70">
        <f>IFERROR(SUMPRODUCT((TEXT(CC!$C$3:$C$1000,"0")=TEXT(C397,"0"))*IFERROR(CC!$E$3:$E$1000+0,0)),0)</f>
      </c>
      <c r="H397" s="56"/>
      <c r="I397" s="24" t="str">
        <f t="shared" si="20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21"/>
        <v/>
      </c>
      <c r="L397" s="57" t="str">
        <f>IF(C397&lt;&gt;"",_xlfn.XLOOKUP(TEXT(C397,"0"),TEXT(CC!$C$3:$C$1000,"0"),CC!$G$3:$G$1000,""),"")</f>
        <v/>
      </c>
    </row>
    <row r="398" spans="7:12" x14ac:dyDescent="0.25">
      <c r="G398" s="70">
        <f>IFERROR(SUMPRODUCT((TEXT(CC!$C$3:$C$1000,"0")=TEXT(C398,"0"))*IFERROR(CC!$E$3:$E$1000+0,0)),0)</f>
      </c>
      <c r="H398" s="56"/>
      <c r="I398" s="24" t="str">
        <f t="shared" si="20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21"/>
        <v/>
      </c>
      <c r="L398" s="57" t="str">
        <f>IF(C398&lt;&gt;"",_xlfn.XLOOKUP(TEXT(C398,"0"),TEXT(CC!$C$3:$C$1000,"0"),CC!$G$3:$G$1000,""),"")</f>
        <v/>
      </c>
    </row>
    <row r="399" spans="7:12" x14ac:dyDescent="0.25">
      <c r="G399" s="70">
        <f>IFERROR(SUMPRODUCT((TEXT(CC!$C$3:$C$1000,"0")=TEXT(C399,"0"))*IFERROR(CC!$E$3:$E$1000+0,0)),0)</f>
      </c>
      <c r="H399" s="56"/>
      <c r="I399" s="24" t="str">
        <f t="shared" ref="I399:I462" si="22">IF(J399&lt;&gt;0,"511011","")</f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21"/>
        <v/>
      </c>
      <c r="L399" s="57" t="str">
        <f>IF(C399&lt;&gt;"",_xlfn.XLOOKUP(TEXT(C399,"0"),TEXT(CC!$C$3:$C$1000,"0"),CC!$G$3:$G$1000,""),"")</f>
        <v/>
      </c>
    </row>
    <row r="400" spans="7:12" x14ac:dyDescent="0.25">
      <c r="G400" s="70">
        <f>IFERROR(SUMPRODUCT((TEXT(CC!$C$3:$C$1000,"0")=TEXT(C400,"0"))*IFERROR(CC!$E$3:$E$1000+0,0)),0)</f>
      </c>
      <c r="H400" s="56"/>
      <c r="I400" s="24" t="str">
        <f t="shared" si="22"/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3">IF(J400&lt;&gt;0,C400,"")</f>
        <v/>
      </c>
      <c r="L400" s="57" t="str">
        <f>IF(C400&lt;&gt;"",_xlfn.XLOOKUP(TEXT(C400,"0"),TEXT(CC!$C$3:$C$1000,"0"),CC!$G$3:$G$1000,""),"")</f>
        <v/>
      </c>
    </row>
    <row r="401" spans="7:12" x14ac:dyDescent="0.25">
      <c r="G401" s="70">
        <f>IFERROR(SUMPRODUCT((TEXT(CC!$C$3:$C$1000,"0")=TEXT(C401,"0"))*IFERROR(CC!$E$3:$E$1000+0,0)),0)</f>
      </c>
      <c r="H401" s="56"/>
      <c r="I401" s="24" t="str">
        <f t="shared" si="22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3"/>
        <v/>
      </c>
      <c r="L401" s="57" t="str">
        <f>IF(C401&lt;&gt;"",_xlfn.XLOOKUP(TEXT(C401,"0"),TEXT(CC!$C$3:$C$1000,"0"),CC!$G$3:$G$1000,""),"")</f>
        <v/>
      </c>
    </row>
    <row r="402" spans="7:12" x14ac:dyDescent="0.25">
      <c r="G402" s="70">
        <f>IFERROR(SUMPRODUCT((TEXT(CC!$C$3:$C$1000,"0")=TEXT(C402,"0"))*IFERROR(CC!$E$3:$E$1000+0,0)),0)</f>
      </c>
      <c r="H402" s="56"/>
      <c r="I402" s="24" t="str">
        <f t="shared" si="22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3"/>
        <v/>
      </c>
      <c r="L402" s="57" t="str">
        <f>IF(C402&lt;&gt;"",_xlfn.XLOOKUP(TEXT(C402,"0"),TEXT(CC!$C$3:$C$1000,"0"),CC!$G$3:$G$1000,""),"")</f>
        <v/>
      </c>
    </row>
    <row r="403" spans="7:12" x14ac:dyDescent="0.25">
      <c r="G403" s="70">
        <f>IFERROR(SUMPRODUCT((TEXT(CC!$C$3:$C$1000,"0")=TEXT(C403,"0"))*IFERROR(CC!$E$3:$E$1000+0,0)),0)</f>
      </c>
      <c r="H403" s="56"/>
      <c r="I403" s="24" t="str">
        <f t="shared" si="22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3"/>
        <v/>
      </c>
      <c r="L403" s="57" t="str">
        <f>IF(C403&lt;&gt;"",_xlfn.XLOOKUP(TEXT(C403,"0"),TEXT(CC!$C$3:$C$1000,"0"),CC!$G$3:$G$1000,""),"")</f>
        <v/>
      </c>
    </row>
    <row r="404" spans="7:12" x14ac:dyDescent="0.25">
      <c r="G404" s="70">
        <f>IFERROR(SUMPRODUCT((TEXT(CC!$C$3:$C$1000,"0")=TEXT(C404,"0"))*IFERROR(CC!$E$3:$E$1000+0,0)),0)</f>
      </c>
      <c r="H404" s="56"/>
      <c r="I404" s="24" t="str">
        <f t="shared" si="22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3"/>
        <v/>
      </c>
      <c r="L404" s="57" t="str">
        <f>IF(C404&lt;&gt;"",_xlfn.XLOOKUP(TEXT(C404,"0"),TEXT(CC!$C$3:$C$1000,"0"),CC!$G$3:$G$1000,""),"")</f>
        <v/>
      </c>
    </row>
    <row r="405" spans="7:12" x14ac:dyDescent="0.25">
      <c r="G405" s="70">
        <f>IFERROR(SUMPRODUCT((TEXT(CC!$C$3:$C$1000,"0")=TEXT(C405,"0"))*IFERROR(CC!$E$3:$E$1000+0,0)),0)</f>
      </c>
      <c r="H405" s="56"/>
      <c r="I405" s="24" t="str">
        <f t="shared" si="22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3"/>
        <v/>
      </c>
      <c r="L405" s="57" t="str">
        <f>IF(C405&lt;&gt;"",_xlfn.XLOOKUP(TEXT(C405,"0"),TEXT(CC!$C$3:$C$1000,"0"),CC!$G$3:$G$1000,""),"")</f>
        <v/>
      </c>
    </row>
    <row r="406" spans="7:12" x14ac:dyDescent="0.25">
      <c r="G406" s="70">
        <f>IFERROR(SUMPRODUCT((TEXT(CC!$C$3:$C$1000,"0")=TEXT(C406,"0"))*IFERROR(CC!$E$3:$E$1000+0,0)),0)</f>
      </c>
      <c r="H406" s="56"/>
      <c r="I406" s="24" t="str">
        <f t="shared" si="22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3"/>
        <v/>
      </c>
      <c r="L406" s="57" t="str">
        <f>IF(C406&lt;&gt;"",_xlfn.XLOOKUP(TEXT(C406,"0"),TEXT(CC!$C$3:$C$1000,"0"),CC!$G$3:$G$1000,""),"")</f>
        <v/>
      </c>
    </row>
    <row r="407" spans="7:12" x14ac:dyDescent="0.25">
      <c r="G407" s="70">
        <f>IFERROR(SUMPRODUCT((TEXT(CC!$C$3:$C$1000,"0")=TEXT(C407,"0"))*IFERROR(CC!$E$3:$E$1000+0,0)),0)</f>
      </c>
      <c r="H407" s="56"/>
      <c r="I407" s="24" t="str">
        <f t="shared" si="22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3"/>
        <v/>
      </c>
      <c r="L407" s="57" t="str">
        <f>IF(C407&lt;&gt;"",_xlfn.XLOOKUP(TEXT(C407,"0"),TEXT(CC!$C$3:$C$1000,"0"),CC!$G$3:$G$1000,""),"")</f>
        <v/>
      </c>
    </row>
    <row r="408" spans="7:12" x14ac:dyDescent="0.25">
      <c r="G408" s="70">
        <f>IFERROR(SUMPRODUCT((TEXT(CC!$C$3:$C$1000,"0")=TEXT(C408,"0"))*IFERROR(CC!$E$3:$E$1000+0,0)),0)</f>
      </c>
      <c r="H408" s="56"/>
      <c r="I408" s="24" t="str">
        <f t="shared" si="22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3"/>
        <v/>
      </c>
      <c r="L408" s="57" t="str">
        <f>IF(C408&lt;&gt;"",_xlfn.XLOOKUP(TEXT(C408,"0"),TEXT(CC!$C$3:$C$1000,"0"),CC!$G$3:$G$1000,""),"")</f>
        <v/>
      </c>
    </row>
    <row r="409" spans="7:12" x14ac:dyDescent="0.25">
      <c r="G409" s="70">
        <f>IFERROR(SUMPRODUCT((TEXT(CC!$C$3:$C$1000,"0")=TEXT(C409,"0"))*IFERROR(CC!$E$3:$E$1000+0,0)),0)</f>
      </c>
      <c r="H409" s="56"/>
      <c r="I409" s="24" t="str">
        <f t="shared" si="22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3"/>
        <v/>
      </c>
      <c r="L409" s="57" t="str">
        <f>IF(C409&lt;&gt;"",_xlfn.XLOOKUP(TEXT(C409,"0"),TEXT(CC!$C$3:$C$1000,"0"),CC!$G$3:$G$1000,""),"")</f>
        <v/>
      </c>
    </row>
    <row r="410" spans="7:12" x14ac:dyDescent="0.25">
      <c r="G410" s="70">
        <f>IFERROR(SUMPRODUCT((TEXT(CC!$C$3:$C$1000,"0")=TEXT(C410,"0"))*IFERROR(CC!$E$3:$E$1000+0,0)),0)</f>
      </c>
      <c r="H410" s="56"/>
      <c r="I410" s="24" t="str">
        <f t="shared" si="22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3"/>
        <v/>
      </c>
      <c r="L410" s="57" t="str">
        <f>IF(C410&lt;&gt;"",_xlfn.XLOOKUP(TEXT(C410,"0"),TEXT(CC!$C$3:$C$1000,"0"),CC!$G$3:$G$1000,""),"")</f>
        <v/>
      </c>
    </row>
    <row r="411" spans="7:12" x14ac:dyDescent="0.25">
      <c r="G411" s="70">
        <f>IFERROR(SUMPRODUCT((TEXT(CC!$C$3:$C$1000,"0")=TEXT(C411,"0"))*IFERROR(CC!$E$3:$E$1000+0,0)),0)</f>
      </c>
      <c r="H411" s="56"/>
      <c r="I411" s="24" t="str">
        <f t="shared" si="22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3"/>
        <v/>
      </c>
      <c r="L411" s="57" t="str">
        <f>IF(C411&lt;&gt;"",_xlfn.XLOOKUP(TEXT(C411,"0"),TEXT(CC!$C$3:$C$1000,"0"),CC!$G$3:$G$1000,""),"")</f>
        <v/>
      </c>
    </row>
    <row r="412" spans="7:12" x14ac:dyDescent="0.25">
      <c r="G412" s="70">
        <f>IFERROR(SUMPRODUCT((TEXT(CC!$C$3:$C$1000,"0")=TEXT(C412,"0"))*IFERROR(CC!$E$3:$E$1000+0,0)),0)</f>
      </c>
      <c r="H412" s="56"/>
      <c r="I412" s="24" t="str">
        <f t="shared" si="22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3"/>
        <v/>
      </c>
      <c r="L412" s="57" t="str">
        <f>IF(C412&lt;&gt;"",_xlfn.XLOOKUP(TEXT(C412,"0"),TEXT(CC!$C$3:$C$1000,"0"),CC!$G$3:$G$1000,""),"")</f>
        <v/>
      </c>
    </row>
    <row r="413" spans="7:12" x14ac:dyDescent="0.25">
      <c r="G413" s="70">
        <f>IFERROR(SUMPRODUCT((TEXT(CC!$C$3:$C$1000,"0")=TEXT(C413,"0"))*IFERROR(CC!$E$3:$E$1000+0,0)),0)</f>
      </c>
      <c r="H413" s="56"/>
      <c r="I413" s="24" t="str">
        <f t="shared" si="22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3"/>
        <v/>
      </c>
      <c r="L413" s="57" t="str">
        <f>IF(C413&lt;&gt;"",_xlfn.XLOOKUP(TEXT(C413,"0"),TEXT(CC!$C$3:$C$1000,"0"),CC!$G$3:$G$1000,""),"")</f>
        <v/>
      </c>
    </row>
    <row r="414" spans="7:12" x14ac:dyDescent="0.25">
      <c r="G414" s="70">
        <f>IFERROR(SUMPRODUCT((TEXT(CC!$C$3:$C$1000,"0")=TEXT(C414,"0"))*IFERROR(CC!$E$3:$E$1000+0,0)),0)</f>
      </c>
      <c r="H414" s="56"/>
      <c r="I414" s="24" t="str">
        <f t="shared" si="22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3"/>
        <v/>
      </c>
      <c r="L414" s="57" t="str">
        <f>IF(C414&lt;&gt;"",_xlfn.XLOOKUP(TEXT(C414,"0"),TEXT(CC!$C$3:$C$1000,"0"),CC!$G$3:$G$1000,""),"")</f>
        <v/>
      </c>
    </row>
    <row r="415" spans="7:12" x14ac:dyDescent="0.25">
      <c r="G415" s="70">
        <f>IFERROR(SUMPRODUCT((TEXT(CC!$C$3:$C$1000,"0")=TEXT(C415,"0"))*IFERROR(CC!$E$3:$E$1000+0,0)),0)</f>
      </c>
      <c r="H415" s="56"/>
      <c r="I415" s="24" t="str">
        <f t="shared" si="22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3"/>
        <v/>
      </c>
      <c r="L415" s="57" t="str">
        <f>IF(C415&lt;&gt;"",_xlfn.XLOOKUP(TEXT(C415,"0"),TEXT(CC!$C$3:$C$1000,"0"),CC!$G$3:$G$1000,""),"")</f>
        <v/>
      </c>
    </row>
    <row r="416" spans="7:12" x14ac:dyDescent="0.25">
      <c r="G416" s="70">
        <f>IFERROR(SUMPRODUCT((TEXT(CC!$C$3:$C$1000,"0")=TEXT(C416,"0"))*IFERROR(CC!$E$3:$E$1000+0,0)),0)</f>
      </c>
      <c r="H416" s="56"/>
      <c r="I416" s="24" t="str">
        <f t="shared" si="22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3"/>
        <v/>
      </c>
      <c r="L416" s="57" t="str">
        <f>IF(C416&lt;&gt;"",_xlfn.XLOOKUP(TEXT(C416,"0"),TEXT(CC!$C$3:$C$1000,"0"),CC!$G$3:$G$1000,""),"")</f>
        <v/>
      </c>
    </row>
    <row r="417" spans="7:12" x14ac:dyDescent="0.25">
      <c r="G417" s="70">
        <f>IFERROR(SUMPRODUCT((TEXT(CC!$C$3:$C$1000,"0")=TEXT(C417,"0"))*IFERROR(CC!$E$3:$E$1000+0,0)),0)</f>
      </c>
      <c r="H417" s="56"/>
      <c r="I417" s="24" t="str">
        <f t="shared" si="22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3"/>
        <v/>
      </c>
      <c r="L417" s="57" t="str">
        <f>IF(C417&lt;&gt;"",_xlfn.XLOOKUP(TEXT(C417,"0"),TEXT(CC!$C$3:$C$1000,"0"),CC!$G$3:$G$1000,""),"")</f>
        <v/>
      </c>
    </row>
    <row r="418" spans="7:12" x14ac:dyDescent="0.25">
      <c r="G418" s="70">
        <f>IFERROR(SUMPRODUCT((TEXT(CC!$C$3:$C$1000,"0")=TEXT(C418,"0"))*IFERROR(CC!$E$3:$E$1000+0,0)),0)</f>
      </c>
      <c r="H418" s="56"/>
      <c r="I418" s="24" t="str">
        <f t="shared" si="22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3"/>
        <v/>
      </c>
      <c r="L418" s="57" t="str">
        <f>IF(C418&lt;&gt;"",_xlfn.XLOOKUP(TEXT(C418,"0"),TEXT(CC!$C$3:$C$1000,"0"),CC!$G$3:$G$1000,""),"")</f>
        <v/>
      </c>
    </row>
    <row r="419" spans="7:12" x14ac:dyDescent="0.25">
      <c r="G419" s="70">
        <f>IFERROR(SUMPRODUCT((TEXT(CC!$C$3:$C$1000,"0")=TEXT(C419,"0"))*IFERROR(CC!$E$3:$E$1000+0,0)),0)</f>
      </c>
      <c r="H419" s="56"/>
      <c r="I419" s="24" t="str">
        <f t="shared" si="22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3"/>
        <v/>
      </c>
      <c r="L419" s="57" t="str">
        <f>IF(C419&lt;&gt;"",_xlfn.XLOOKUP(TEXT(C419,"0"),TEXT(CC!$C$3:$C$1000,"0"),CC!$G$3:$G$1000,""),"")</f>
        <v/>
      </c>
    </row>
    <row r="420" spans="7:12" x14ac:dyDescent="0.25">
      <c r="G420" s="70">
        <f>IFERROR(SUMPRODUCT((TEXT(CC!$C$3:$C$1000,"0")=TEXT(C420,"0"))*IFERROR(CC!$E$3:$E$1000+0,0)),0)</f>
      </c>
      <c r="H420" s="56"/>
      <c r="I420" s="24" t="str">
        <f t="shared" si="22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3"/>
        <v/>
      </c>
      <c r="L420" s="57" t="str">
        <f>IF(C420&lt;&gt;"",_xlfn.XLOOKUP(TEXT(C420,"0"),TEXT(CC!$C$3:$C$1000,"0"),CC!$G$3:$G$1000,""),"")</f>
        <v/>
      </c>
    </row>
    <row r="421" spans="7:12" x14ac:dyDescent="0.25">
      <c r="G421" s="70">
        <f>IFERROR(SUMPRODUCT((TEXT(CC!$C$3:$C$1000,"0")=TEXT(C421,"0"))*IFERROR(CC!$E$3:$E$1000+0,0)),0)</f>
      </c>
      <c r="H421" s="56"/>
      <c r="I421" s="24" t="str">
        <f t="shared" si="22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3"/>
        <v/>
      </c>
      <c r="L421" s="57" t="str">
        <f>IF(C421&lt;&gt;"",_xlfn.XLOOKUP(TEXT(C421,"0"),TEXT(CC!$C$3:$C$1000,"0"),CC!$G$3:$G$1000,""),"")</f>
        <v/>
      </c>
    </row>
    <row r="422" spans="7:12" x14ac:dyDescent="0.25">
      <c r="G422" s="70">
        <f>IFERROR(SUMPRODUCT((TEXT(CC!$C$3:$C$1000,"0")=TEXT(C422,"0"))*IFERROR(CC!$E$3:$E$1000+0,0)),0)</f>
      </c>
      <c r="H422" s="56"/>
      <c r="I422" s="24" t="str">
        <f t="shared" si="22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3"/>
        <v/>
      </c>
      <c r="L422" s="57" t="str">
        <f>IF(C422&lt;&gt;"",_xlfn.XLOOKUP(TEXT(C422,"0"),TEXT(CC!$C$3:$C$1000,"0"),CC!$G$3:$G$1000,""),"")</f>
        <v/>
      </c>
    </row>
    <row r="423" spans="7:12" x14ac:dyDescent="0.25">
      <c r="G423" s="70">
        <f>IFERROR(SUMPRODUCT((TEXT(CC!$C$3:$C$1000,"0")=TEXT(C423,"0"))*IFERROR(CC!$E$3:$E$1000+0,0)),0)</f>
      </c>
      <c r="H423" s="56"/>
      <c r="I423" s="24" t="str">
        <f t="shared" si="22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3"/>
        <v/>
      </c>
      <c r="L423" s="57" t="str">
        <f>IF(C423&lt;&gt;"",_xlfn.XLOOKUP(TEXT(C423,"0"),TEXT(CC!$C$3:$C$1000,"0"),CC!$G$3:$G$1000,""),"")</f>
        <v/>
      </c>
    </row>
    <row r="424" spans="7:12" x14ac:dyDescent="0.25">
      <c r="G424" s="70">
        <f>IFERROR(SUMPRODUCT((TEXT(CC!$C$3:$C$1000,"0")=TEXT(C424,"0"))*IFERROR(CC!$E$3:$E$1000+0,0)),0)</f>
      </c>
      <c r="H424" s="56"/>
      <c r="I424" s="24" t="str">
        <f t="shared" si="22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3"/>
        <v/>
      </c>
      <c r="L424" s="57" t="str">
        <f>IF(C424&lt;&gt;"",_xlfn.XLOOKUP(TEXT(C424,"0"),TEXT(CC!$C$3:$C$1000,"0"),CC!$G$3:$G$1000,""),"")</f>
        <v/>
      </c>
    </row>
    <row r="425" spans="7:12" x14ac:dyDescent="0.25">
      <c r="G425" s="70">
        <f>IFERROR(SUMPRODUCT((TEXT(CC!$C$3:$C$1000,"0")=TEXT(C425,"0"))*IFERROR(CC!$E$3:$E$1000+0,0)),0)</f>
      </c>
      <c r="H425" s="56"/>
      <c r="I425" s="24" t="str">
        <f t="shared" si="22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3"/>
        <v/>
      </c>
      <c r="L425" s="57" t="str">
        <f>IF(C425&lt;&gt;"",_xlfn.XLOOKUP(TEXT(C425,"0"),TEXT(CC!$C$3:$C$1000,"0"),CC!$G$3:$G$1000,""),"")</f>
        <v/>
      </c>
    </row>
    <row r="426" spans="7:12" x14ac:dyDescent="0.25">
      <c r="G426" s="70">
        <f>IFERROR(SUMPRODUCT((TEXT(CC!$C$3:$C$1000,"0")=TEXT(C426,"0"))*IFERROR(CC!$E$3:$E$1000+0,0)),0)</f>
      </c>
      <c r="H426" s="56"/>
      <c r="I426" s="24" t="str">
        <f t="shared" si="22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3"/>
        <v/>
      </c>
      <c r="L426" s="57" t="str">
        <f>IF(C426&lt;&gt;"",_xlfn.XLOOKUP(TEXT(C426,"0"),TEXT(CC!$C$3:$C$1000,"0"),CC!$G$3:$G$1000,""),"")</f>
        <v/>
      </c>
    </row>
    <row r="427" spans="7:12" x14ac:dyDescent="0.25">
      <c r="G427" s="70">
        <f>IFERROR(SUMPRODUCT((TEXT(CC!$C$3:$C$1000,"0")=TEXT(C427,"0"))*IFERROR(CC!$E$3:$E$1000+0,0)),0)</f>
      </c>
      <c r="H427" s="56"/>
      <c r="I427" s="24" t="str">
        <f t="shared" si="22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3"/>
        <v/>
      </c>
      <c r="L427" s="57" t="str">
        <f>IF(C427&lt;&gt;"",_xlfn.XLOOKUP(TEXT(C427,"0"),TEXT(CC!$C$3:$C$1000,"0"),CC!$G$3:$G$1000,""),"")</f>
        <v/>
      </c>
    </row>
    <row r="428" spans="7:12" x14ac:dyDescent="0.25">
      <c r="G428" s="70">
        <f>IFERROR(SUMPRODUCT((TEXT(CC!$C$3:$C$1000,"0")=TEXT(C428,"0"))*IFERROR(CC!$E$3:$E$1000+0,0)),0)</f>
      </c>
      <c r="H428" s="56"/>
      <c r="I428" s="24" t="str">
        <f t="shared" si="22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3"/>
        <v/>
      </c>
      <c r="L428" s="57" t="str">
        <f>IF(C428&lt;&gt;"",_xlfn.XLOOKUP(TEXT(C428,"0"),TEXT(CC!$C$3:$C$1000,"0"),CC!$G$3:$G$1000,""),"")</f>
        <v/>
      </c>
    </row>
    <row r="429" spans="7:12" x14ac:dyDescent="0.25">
      <c r="G429" s="70">
        <f>IFERROR(SUMPRODUCT((TEXT(CC!$C$3:$C$1000,"0")=TEXT(C429,"0"))*IFERROR(CC!$E$3:$E$1000+0,0)),0)</f>
      </c>
      <c r="H429" s="56"/>
      <c r="I429" s="24" t="str">
        <f t="shared" si="22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3"/>
        <v/>
      </c>
      <c r="L429" s="57" t="str">
        <f>IF(C429&lt;&gt;"",_xlfn.XLOOKUP(TEXT(C429,"0"),TEXT(CC!$C$3:$C$1000,"0"),CC!$G$3:$G$1000,""),"")</f>
        <v/>
      </c>
    </row>
    <row r="430" spans="7:12" x14ac:dyDescent="0.25">
      <c r="G430" s="70">
        <f>IFERROR(SUMPRODUCT((TEXT(CC!$C$3:$C$1000,"0")=TEXT(C430,"0"))*IFERROR(CC!$E$3:$E$1000+0,0)),0)</f>
      </c>
      <c r="H430" s="56"/>
      <c r="I430" s="24" t="str">
        <f t="shared" si="22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3"/>
        <v/>
      </c>
      <c r="L430" s="57" t="str">
        <f>IF(C430&lt;&gt;"",_xlfn.XLOOKUP(TEXT(C430,"0"),TEXT(CC!$C$3:$C$1000,"0"),CC!$G$3:$G$1000,""),"")</f>
        <v/>
      </c>
    </row>
    <row r="431" spans="7:12" x14ac:dyDescent="0.25">
      <c r="G431" s="70">
        <f>IFERROR(SUMPRODUCT((TEXT(CC!$C$3:$C$1000,"0")=TEXT(C431,"0"))*IFERROR(CC!$E$3:$E$1000+0,0)),0)</f>
      </c>
      <c r="H431" s="56"/>
      <c r="I431" s="24" t="str">
        <f t="shared" si="22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3"/>
        <v/>
      </c>
      <c r="L431" s="57" t="str">
        <f>IF(C431&lt;&gt;"",_xlfn.XLOOKUP(TEXT(C431,"0"),TEXT(CC!$C$3:$C$1000,"0"),CC!$G$3:$G$1000,""),"")</f>
        <v/>
      </c>
    </row>
    <row r="432" spans="7:12" x14ac:dyDescent="0.25">
      <c r="G432" s="70">
        <f>IFERROR(SUMPRODUCT((TEXT(CC!$C$3:$C$1000,"0")=TEXT(C432,"0"))*IFERROR(CC!$E$3:$E$1000+0,0)),0)</f>
      </c>
      <c r="H432" s="56"/>
      <c r="I432" s="24" t="str">
        <f t="shared" si="22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3"/>
        <v/>
      </c>
      <c r="L432" s="57" t="str">
        <f>IF(C432&lt;&gt;"",_xlfn.XLOOKUP(TEXT(C432,"0"),TEXT(CC!$C$3:$C$1000,"0"),CC!$G$3:$G$1000,""),"")</f>
        <v/>
      </c>
    </row>
    <row r="433" spans="7:12" x14ac:dyDescent="0.25">
      <c r="G433" s="70">
        <f>IFERROR(SUMPRODUCT((TEXT(CC!$C$3:$C$1000,"0")=TEXT(C433,"0"))*IFERROR(CC!$E$3:$E$1000+0,0)),0)</f>
      </c>
      <c r="H433" s="56"/>
      <c r="I433" s="24" t="str">
        <f t="shared" si="22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3"/>
        <v/>
      </c>
      <c r="L433" s="57" t="str">
        <f>IF(C433&lt;&gt;"",_xlfn.XLOOKUP(TEXT(C433,"0"),TEXT(CC!$C$3:$C$1000,"0"),CC!$G$3:$G$1000,""),"")</f>
        <v/>
      </c>
    </row>
    <row r="434" spans="7:12" x14ac:dyDescent="0.25">
      <c r="G434" s="70">
        <f>IFERROR(SUMPRODUCT((TEXT(CC!$C$3:$C$1000,"0")=TEXT(C434,"0"))*IFERROR(CC!$E$3:$E$1000+0,0)),0)</f>
      </c>
      <c r="H434" s="56"/>
      <c r="I434" s="24" t="str">
        <f t="shared" si="22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3"/>
        <v/>
      </c>
      <c r="L434" s="57" t="str">
        <f>IF(C434&lt;&gt;"",_xlfn.XLOOKUP(TEXT(C434,"0"),TEXT(CC!$C$3:$C$1000,"0"),CC!$G$3:$G$1000,""),"")</f>
        <v/>
      </c>
    </row>
    <row r="435" spans="7:12" x14ac:dyDescent="0.25">
      <c r="G435" s="70">
        <f>IFERROR(SUMPRODUCT((TEXT(CC!$C$3:$C$1000,"0")=TEXT(C435,"0"))*IFERROR(CC!$E$3:$E$1000+0,0)),0)</f>
      </c>
      <c r="H435" s="56"/>
      <c r="I435" s="24" t="str">
        <f t="shared" si="22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3"/>
        <v/>
      </c>
      <c r="L435" s="57" t="str">
        <f>IF(C435&lt;&gt;"",_xlfn.XLOOKUP(TEXT(C435,"0"),TEXT(CC!$C$3:$C$1000,"0"),CC!$G$3:$G$1000,""),"")</f>
        <v/>
      </c>
    </row>
    <row r="436" spans="7:12" x14ac:dyDescent="0.25">
      <c r="G436" s="70">
        <f>IFERROR(SUMPRODUCT((TEXT(CC!$C$3:$C$1000,"0")=TEXT(C436,"0"))*IFERROR(CC!$E$3:$E$1000+0,0)),0)</f>
      </c>
      <c r="H436" s="56"/>
      <c r="I436" s="24" t="str">
        <f t="shared" si="22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3"/>
        <v/>
      </c>
      <c r="L436" s="57" t="str">
        <f>IF(C436&lt;&gt;"",_xlfn.XLOOKUP(TEXT(C436,"0"),TEXT(CC!$C$3:$C$1000,"0"),CC!$G$3:$G$1000,""),"")</f>
        <v/>
      </c>
    </row>
    <row r="437" spans="7:12" x14ac:dyDescent="0.25">
      <c r="G437" s="70">
        <f>IFERROR(SUMPRODUCT((TEXT(CC!$C$3:$C$1000,"0")=TEXT(C437,"0"))*IFERROR(CC!$E$3:$E$1000+0,0)),0)</f>
      </c>
      <c r="H437" s="56"/>
      <c r="I437" s="24" t="str">
        <f t="shared" si="22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3"/>
        <v/>
      </c>
      <c r="L437" s="57" t="str">
        <f>IF(C437&lt;&gt;"",_xlfn.XLOOKUP(TEXT(C437,"0"),TEXT(CC!$C$3:$C$1000,"0"),CC!$G$3:$G$1000,""),"")</f>
        <v/>
      </c>
    </row>
    <row r="438" spans="7:12" x14ac:dyDescent="0.25">
      <c r="G438" s="70">
        <f>IFERROR(SUMPRODUCT((TEXT(CC!$C$3:$C$1000,"0")=TEXT(C438,"0"))*IFERROR(CC!$E$3:$E$1000+0,0)),0)</f>
      </c>
      <c r="H438" s="56"/>
      <c r="I438" s="24" t="str">
        <f t="shared" si="22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3"/>
        <v/>
      </c>
      <c r="L438" s="57" t="str">
        <f>IF(C438&lt;&gt;"",_xlfn.XLOOKUP(TEXT(C438,"0"),TEXT(CC!$C$3:$C$1000,"0"),CC!$G$3:$G$1000,""),"")</f>
        <v/>
      </c>
    </row>
    <row r="439" spans="7:12" x14ac:dyDescent="0.25">
      <c r="G439" s="70">
        <f>IFERROR(SUMPRODUCT((TEXT(CC!$C$3:$C$1000,"0")=TEXT(C439,"0"))*IFERROR(CC!$E$3:$E$1000+0,0)),0)</f>
      </c>
      <c r="H439" s="56"/>
      <c r="I439" s="24" t="str">
        <f t="shared" si="22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3"/>
        <v/>
      </c>
      <c r="L439" s="57" t="str">
        <f>IF(C439&lt;&gt;"",_xlfn.XLOOKUP(TEXT(C439,"0"),TEXT(CC!$C$3:$C$1000,"0"),CC!$G$3:$G$1000,""),"")</f>
        <v/>
      </c>
    </row>
    <row r="440" spans="7:12" x14ac:dyDescent="0.25">
      <c r="G440" s="70">
        <f>IFERROR(SUMPRODUCT((TEXT(CC!$C$3:$C$1000,"0")=TEXT(C440,"0"))*IFERROR(CC!$E$3:$E$1000+0,0)),0)</f>
      </c>
      <c r="H440" s="56"/>
      <c r="I440" s="24" t="str">
        <f t="shared" si="22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3"/>
        <v/>
      </c>
      <c r="L440" s="57" t="str">
        <f>IF(C440&lt;&gt;"",_xlfn.XLOOKUP(TEXT(C440,"0"),TEXT(CC!$C$3:$C$1000,"0"),CC!$G$3:$G$1000,""),"")</f>
        <v/>
      </c>
    </row>
    <row r="441" spans="7:12" x14ac:dyDescent="0.25">
      <c r="G441" s="70">
        <f>IFERROR(SUMPRODUCT((TEXT(CC!$C$3:$C$1000,"0")=TEXT(C441,"0"))*IFERROR(CC!$E$3:$E$1000+0,0)),0)</f>
      </c>
      <c r="H441" s="56"/>
      <c r="I441" s="24" t="str">
        <f t="shared" si="22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3"/>
        <v/>
      </c>
      <c r="L441" s="57" t="str">
        <f>IF(C441&lt;&gt;"",_xlfn.XLOOKUP(TEXT(C441,"0"),TEXT(CC!$C$3:$C$1000,"0"),CC!$G$3:$G$1000,""),"")</f>
        <v/>
      </c>
    </row>
    <row r="442" spans="7:12" x14ac:dyDescent="0.25">
      <c r="G442" s="70">
        <f>IFERROR(SUMPRODUCT((TEXT(CC!$C$3:$C$1000,"0")=TEXT(C442,"0"))*IFERROR(CC!$E$3:$E$1000+0,0)),0)</f>
      </c>
      <c r="H442" s="56"/>
      <c r="I442" s="24" t="str">
        <f t="shared" si="22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3"/>
        <v/>
      </c>
      <c r="L442" s="57" t="str">
        <f>IF(C442&lt;&gt;"",_xlfn.XLOOKUP(TEXT(C442,"0"),TEXT(CC!$C$3:$C$1000,"0"),CC!$G$3:$G$1000,""),"")</f>
        <v/>
      </c>
    </row>
    <row r="443" spans="7:12" x14ac:dyDescent="0.25">
      <c r="G443" s="70">
        <f>IFERROR(SUMPRODUCT((TEXT(CC!$C$3:$C$1000,"0")=TEXT(C443,"0"))*IFERROR(CC!$E$3:$E$1000+0,0)),0)</f>
      </c>
      <c r="H443" s="56"/>
      <c r="I443" s="24" t="str">
        <f t="shared" si="22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3"/>
        <v/>
      </c>
      <c r="L443" s="57" t="str">
        <f>IF(C443&lt;&gt;"",_xlfn.XLOOKUP(TEXT(C443,"0"),TEXT(CC!$C$3:$C$1000,"0"),CC!$G$3:$G$1000,""),"")</f>
        <v/>
      </c>
    </row>
    <row r="444" spans="7:12" x14ac:dyDescent="0.25">
      <c r="G444" s="70">
        <f>IFERROR(SUMPRODUCT((TEXT(CC!$C$3:$C$1000,"0")=TEXT(C444,"0"))*IFERROR(CC!$E$3:$E$1000+0,0)),0)</f>
      </c>
      <c r="H444" s="56"/>
      <c r="I444" s="24" t="str">
        <f t="shared" si="22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3"/>
        <v/>
      </c>
      <c r="L444" s="57" t="str">
        <f>IF(C444&lt;&gt;"",_xlfn.XLOOKUP(TEXT(C444,"0"),TEXT(CC!$C$3:$C$1000,"0"),CC!$G$3:$G$1000,""),"")</f>
        <v/>
      </c>
    </row>
    <row r="445" spans="7:12" x14ac:dyDescent="0.25">
      <c r="G445" s="70">
        <f>IFERROR(SUMPRODUCT((TEXT(CC!$C$3:$C$1000,"0")=TEXT(C445,"0"))*IFERROR(CC!$E$3:$E$1000+0,0)),0)</f>
      </c>
      <c r="H445" s="56"/>
      <c r="I445" s="24" t="str">
        <f t="shared" si="22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3"/>
        <v/>
      </c>
      <c r="L445" s="57" t="str">
        <f>IF(C445&lt;&gt;"",_xlfn.XLOOKUP(TEXT(C445,"0"),TEXT(CC!$C$3:$C$1000,"0"),CC!$G$3:$G$1000,""),"")</f>
        <v/>
      </c>
    </row>
    <row r="446" spans="7:12" x14ac:dyDescent="0.25">
      <c r="G446" s="70">
        <f>IFERROR(SUMPRODUCT((TEXT(CC!$C$3:$C$1000,"0")=TEXT(C446,"0"))*IFERROR(CC!$E$3:$E$1000+0,0)),0)</f>
      </c>
      <c r="H446" s="56"/>
      <c r="I446" s="24" t="str">
        <f t="shared" si="22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3"/>
        <v/>
      </c>
      <c r="L446" s="57" t="str">
        <f>IF(C446&lt;&gt;"",_xlfn.XLOOKUP(TEXT(C446,"0"),TEXT(CC!$C$3:$C$1000,"0"),CC!$G$3:$G$1000,""),"")</f>
        <v/>
      </c>
    </row>
    <row r="447" spans="7:12" x14ac:dyDescent="0.25">
      <c r="G447" s="70">
        <f>IFERROR(SUMPRODUCT((TEXT(CC!$C$3:$C$1000,"0")=TEXT(C447,"0"))*IFERROR(CC!$E$3:$E$1000+0,0)),0)</f>
      </c>
      <c r="H447" s="56"/>
      <c r="I447" s="24" t="str">
        <f t="shared" si="22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3"/>
        <v/>
      </c>
      <c r="L447" s="57" t="str">
        <f>IF(C447&lt;&gt;"",_xlfn.XLOOKUP(TEXT(C447,"0"),TEXT(CC!$C$3:$C$1000,"0"),CC!$G$3:$G$1000,""),"")</f>
        <v/>
      </c>
    </row>
    <row r="448" spans="7:12" x14ac:dyDescent="0.25">
      <c r="G448" s="70">
        <f>IFERROR(SUMPRODUCT((TEXT(CC!$C$3:$C$1000,"0")=TEXT(C448,"0"))*IFERROR(CC!$E$3:$E$1000+0,0)),0)</f>
      </c>
      <c r="H448" s="56"/>
      <c r="I448" s="24" t="str">
        <f t="shared" si="22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3"/>
        <v/>
      </c>
      <c r="L448" s="57" t="str">
        <f>IF(C448&lt;&gt;"",_xlfn.XLOOKUP(TEXT(C448,"0"),TEXT(CC!$C$3:$C$1000,"0"),CC!$G$3:$G$1000,""),"")</f>
        <v/>
      </c>
    </row>
    <row r="449" spans="7:12" x14ac:dyDescent="0.25">
      <c r="G449" s="70">
        <f>IFERROR(SUMPRODUCT((TEXT(CC!$C$3:$C$1000,"0")=TEXT(C449,"0"))*IFERROR(CC!$E$3:$E$1000+0,0)),0)</f>
      </c>
      <c r="H449" s="56"/>
      <c r="I449" s="24" t="str">
        <f t="shared" si="22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3"/>
        <v/>
      </c>
      <c r="L449" s="57" t="str">
        <f>IF(C449&lt;&gt;"",_xlfn.XLOOKUP(TEXT(C449,"0"),TEXT(CC!$C$3:$C$1000,"0"),CC!$G$3:$G$1000,""),"")</f>
        <v/>
      </c>
    </row>
    <row r="450" spans="7:12" x14ac:dyDescent="0.25">
      <c r="G450" s="70">
        <f>IFERROR(SUMPRODUCT((TEXT(CC!$C$3:$C$1000,"0")=TEXT(C450,"0"))*IFERROR(CC!$E$3:$E$1000+0,0)),0)</f>
      </c>
      <c r="H450" s="56"/>
      <c r="I450" s="24" t="str">
        <f t="shared" si="22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3"/>
        <v/>
      </c>
      <c r="L450" s="57" t="str">
        <f>IF(C450&lt;&gt;"",_xlfn.XLOOKUP(TEXT(C450,"0"),TEXT(CC!$C$3:$C$1000,"0"),CC!$G$3:$G$1000,""),"")</f>
        <v/>
      </c>
    </row>
    <row r="451" spans="7:12" x14ac:dyDescent="0.25">
      <c r="G451" s="70">
        <f>IFERROR(SUMPRODUCT((TEXT(CC!$C$3:$C$1000,"0")=TEXT(C451,"0"))*IFERROR(CC!$E$3:$E$1000+0,0)),0)</f>
      </c>
      <c r="H451" s="56"/>
      <c r="I451" s="24" t="str">
        <f t="shared" si="22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3"/>
        <v/>
      </c>
      <c r="L451" s="57" t="str">
        <f>IF(C451&lt;&gt;"",_xlfn.XLOOKUP(TEXT(C451,"0"),TEXT(CC!$C$3:$C$1000,"0"),CC!$G$3:$G$1000,""),"")</f>
        <v/>
      </c>
    </row>
    <row r="452" spans="7:12" x14ac:dyDescent="0.25">
      <c r="G452" s="70">
        <f>IFERROR(SUMPRODUCT((TEXT(CC!$C$3:$C$1000,"0")=TEXT(C452,"0"))*IFERROR(CC!$E$3:$E$1000+0,0)),0)</f>
      </c>
      <c r="H452" s="56"/>
      <c r="I452" s="24" t="str">
        <f t="shared" si="22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3"/>
        <v/>
      </c>
      <c r="L452" s="57" t="str">
        <f>IF(C452&lt;&gt;"",_xlfn.XLOOKUP(TEXT(C452,"0"),TEXT(CC!$C$3:$C$1000,"0"),CC!$G$3:$G$1000,""),"")</f>
        <v/>
      </c>
    </row>
    <row r="453" spans="7:12" x14ac:dyDescent="0.25">
      <c r="G453" s="70">
        <f>IFERROR(SUMPRODUCT((TEXT(CC!$C$3:$C$1000,"0")=TEXT(C453,"0"))*IFERROR(CC!$E$3:$E$1000+0,0)),0)</f>
      </c>
      <c r="H453" s="56"/>
      <c r="I453" s="24" t="str">
        <f t="shared" si="22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3"/>
        <v/>
      </c>
      <c r="L453" s="57" t="str">
        <f>IF(C453&lt;&gt;"",_xlfn.XLOOKUP(TEXT(C453,"0"),TEXT(CC!$C$3:$C$1000,"0"),CC!$G$3:$G$1000,""),"")</f>
        <v/>
      </c>
    </row>
    <row r="454" spans="7:12" x14ac:dyDescent="0.25">
      <c r="G454" s="70">
        <f>IFERROR(SUMPRODUCT((TEXT(CC!$C$3:$C$1000,"0")=TEXT(C454,"0"))*IFERROR(CC!$E$3:$E$1000+0,0)),0)</f>
      </c>
      <c r="H454" s="56"/>
      <c r="I454" s="24" t="str">
        <f t="shared" si="22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3"/>
        <v/>
      </c>
      <c r="L454" s="57" t="str">
        <f>IF(C454&lt;&gt;"",_xlfn.XLOOKUP(TEXT(C454,"0"),TEXT(CC!$C$3:$C$1000,"0"),CC!$G$3:$G$1000,""),"")</f>
        <v/>
      </c>
    </row>
    <row r="455" spans="7:12" x14ac:dyDescent="0.25">
      <c r="G455" s="70">
        <f>IFERROR(SUMPRODUCT((TEXT(CC!$C$3:$C$1000,"0")=TEXT(C455,"0"))*IFERROR(CC!$E$3:$E$1000+0,0)),0)</f>
      </c>
      <c r="H455" s="56"/>
      <c r="I455" s="24" t="str">
        <f t="shared" si="22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3"/>
        <v/>
      </c>
      <c r="L455" s="57" t="str">
        <f>IF(C455&lt;&gt;"",_xlfn.XLOOKUP(TEXT(C455,"0"),TEXT(CC!$C$3:$C$1000,"0"),CC!$G$3:$G$1000,""),"")</f>
        <v/>
      </c>
    </row>
    <row r="456" spans="7:12" x14ac:dyDescent="0.25">
      <c r="G456" s="70">
        <f>IFERROR(SUMPRODUCT((TEXT(CC!$C$3:$C$1000,"0")=TEXT(C456,"0"))*IFERROR(CC!$E$3:$E$1000+0,0)),0)</f>
      </c>
      <c r="H456" s="56"/>
      <c r="I456" s="24" t="str">
        <f t="shared" si="22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3"/>
        <v/>
      </c>
      <c r="L456" s="57" t="str">
        <f>IF(C456&lt;&gt;"",_xlfn.XLOOKUP(TEXT(C456,"0"),TEXT(CC!$C$3:$C$1000,"0"),CC!$G$3:$G$1000,""),"")</f>
        <v/>
      </c>
    </row>
    <row r="457" spans="7:12" x14ac:dyDescent="0.25">
      <c r="G457" s="70">
        <f>IFERROR(SUMPRODUCT((TEXT(CC!$C$3:$C$1000,"0")=TEXT(C457,"0"))*IFERROR(CC!$E$3:$E$1000+0,0)),0)</f>
      </c>
      <c r="H457" s="56"/>
      <c r="I457" s="24" t="str">
        <f t="shared" si="22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3"/>
        <v/>
      </c>
      <c r="L457" s="57" t="str">
        <f>IF(C457&lt;&gt;"",_xlfn.XLOOKUP(TEXT(C457,"0"),TEXT(CC!$C$3:$C$1000,"0"),CC!$G$3:$G$1000,""),"")</f>
        <v/>
      </c>
    </row>
    <row r="458" spans="7:12" x14ac:dyDescent="0.25">
      <c r="G458" s="70">
        <f>IFERROR(SUMPRODUCT((TEXT(CC!$C$3:$C$1000,"0")=TEXT(C458,"0"))*IFERROR(CC!$E$3:$E$1000+0,0)),0)</f>
      </c>
      <c r="H458" s="56"/>
      <c r="I458" s="24" t="str">
        <f t="shared" si="22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3"/>
        <v/>
      </c>
      <c r="L458" s="57" t="str">
        <f>IF(C458&lt;&gt;"",_xlfn.XLOOKUP(TEXT(C458,"0"),TEXT(CC!$C$3:$C$1000,"0"),CC!$G$3:$G$1000,""),"")</f>
        <v/>
      </c>
    </row>
    <row r="459" spans="7:12" x14ac:dyDescent="0.25">
      <c r="G459" s="70">
        <f>IFERROR(SUMPRODUCT((TEXT(CC!$C$3:$C$1000,"0")=TEXT(C459,"0"))*IFERROR(CC!$E$3:$E$1000+0,0)),0)</f>
      </c>
      <c r="H459" s="56"/>
      <c r="I459" s="24" t="str">
        <f t="shared" si="22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3"/>
        <v/>
      </c>
      <c r="L459" s="57" t="str">
        <f>IF(C459&lt;&gt;"",_xlfn.XLOOKUP(TEXT(C459,"0"),TEXT(CC!$C$3:$C$1000,"0"),CC!$G$3:$G$1000,""),"")</f>
        <v/>
      </c>
    </row>
    <row r="460" spans="7:12" x14ac:dyDescent="0.25">
      <c r="G460" s="70">
        <f>IFERROR(SUMPRODUCT((TEXT(CC!$C$3:$C$1000,"0")=TEXT(C460,"0"))*IFERROR(CC!$E$3:$E$1000+0,0)),0)</f>
      </c>
      <c r="H460" s="56"/>
      <c r="I460" s="24" t="str">
        <f t="shared" si="22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3"/>
        <v/>
      </c>
      <c r="L460" s="57" t="str">
        <f>IF(C460&lt;&gt;"",_xlfn.XLOOKUP(TEXT(C460,"0"),TEXT(CC!$C$3:$C$1000,"0"),CC!$G$3:$G$1000,""),"")</f>
        <v/>
      </c>
    </row>
    <row r="461" spans="7:12" x14ac:dyDescent="0.25">
      <c r="G461" s="70">
        <f>IFERROR(SUMPRODUCT((TEXT(CC!$C$3:$C$1000,"0")=TEXT(C461,"0"))*IFERROR(CC!$E$3:$E$1000+0,0)),0)</f>
      </c>
      <c r="H461" s="56"/>
      <c r="I461" s="24" t="str">
        <f t="shared" si="22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3"/>
        <v/>
      </c>
      <c r="L461" s="57" t="str">
        <f>IF(C461&lt;&gt;"",_xlfn.XLOOKUP(TEXT(C461,"0"),TEXT(CC!$C$3:$C$1000,"0"),CC!$G$3:$G$1000,""),"")</f>
        <v/>
      </c>
    </row>
    <row r="462" spans="7:12" x14ac:dyDescent="0.25">
      <c r="G462" s="70">
        <f>IFERROR(SUMPRODUCT((TEXT(CC!$C$3:$C$1000,"0")=TEXT(C462,"0"))*IFERROR(CC!$E$3:$E$1000+0,0)),0)</f>
      </c>
      <c r="H462" s="56"/>
      <c r="I462" s="24" t="str">
        <f t="shared" si="22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3"/>
        <v/>
      </c>
      <c r="L462" s="57" t="str">
        <f>IF(C462&lt;&gt;"",_xlfn.XLOOKUP(TEXT(C462,"0"),TEXT(CC!$C$3:$C$1000,"0"),CC!$G$3:$G$1000,""),"")</f>
        <v/>
      </c>
    </row>
    <row r="463" spans="7:12" x14ac:dyDescent="0.25">
      <c r="G463" s="70">
        <f>IFERROR(SUMPRODUCT((TEXT(CC!$C$3:$C$1000,"0")=TEXT(C463,"0"))*IFERROR(CC!$E$3:$E$1000+0,0)),0)</f>
      </c>
      <c r="H463" s="56"/>
      <c r="I463" s="24" t="str">
        <f t="shared" ref="I463:I493" si="24">IF(J463&lt;&gt;0,"511011","")</f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3"/>
        <v/>
      </c>
      <c r="L463" s="57" t="str">
        <f>IF(C463&lt;&gt;"",_xlfn.XLOOKUP(TEXT(C463,"0"),TEXT(CC!$C$3:$C$1000,"0"),CC!$G$3:$G$1000,""),"")</f>
        <v/>
      </c>
    </row>
    <row r="464" spans="7:12" x14ac:dyDescent="0.25">
      <c r="G464" s="70">
        <f>IFERROR(SUMPRODUCT((TEXT(CC!$C$3:$C$1000,"0")=TEXT(C464,"0"))*IFERROR(CC!$E$3:$E$1000+0,0)),0)</f>
      </c>
      <c r="H464" s="56"/>
      <c r="I464" s="24" t="str">
        <f t="shared" si="24"/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5">IF(J464&lt;&gt;0,C464,"")</f>
        <v/>
      </c>
      <c r="L464" s="57" t="str">
        <f>IF(C464&lt;&gt;"",_xlfn.XLOOKUP(TEXT(C464,"0"),TEXT(CC!$C$3:$C$1000,"0"),CC!$G$3:$G$1000,""),"")</f>
        <v/>
      </c>
    </row>
    <row r="465" spans="7:12" x14ac:dyDescent="0.25">
      <c r="G465" s="70">
        <f>IFERROR(SUMPRODUCT((TEXT(CC!$C$3:$C$1000,"0")=TEXT(C465,"0"))*IFERROR(CC!$E$3:$E$1000+0,0)),0)</f>
      </c>
      <c r="H465" s="56"/>
      <c r="I465" s="24" t="str">
        <f t="shared" si="24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5"/>
        <v/>
      </c>
      <c r="L465" s="57" t="str">
        <f>IF(C465&lt;&gt;"",_xlfn.XLOOKUP(TEXT(C465,"0"),TEXT(CC!$C$3:$C$1000,"0"),CC!$G$3:$G$1000,""),"")</f>
        <v/>
      </c>
    </row>
    <row r="466" spans="7:12" x14ac:dyDescent="0.25">
      <c r="G466" s="70">
        <f>IFERROR(SUMPRODUCT((TEXT(CC!$C$3:$C$1000,"0")=TEXT(C466,"0"))*IFERROR(CC!$E$3:$E$1000+0,0)),0)</f>
      </c>
      <c r="H466" s="56"/>
      <c r="I466" s="24" t="str">
        <f t="shared" si="24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5"/>
        <v/>
      </c>
      <c r="L466" s="57" t="str">
        <f>IF(C466&lt;&gt;"",_xlfn.XLOOKUP(TEXT(C466,"0"),TEXT(CC!$C$3:$C$1000,"0"),CC!$G$3:$G$1000,""),"")</f>
        <v/>
      </c>
    </row>
    <row r="467" spans="7:12" x14ac:dyDescent="0.25">
      <c r="G467" s="70">
        <f>IFERROR(SUMPRODUCT((TEXT(CC!$C$3:$C$1000,"0")=TEXT(C467,"0"))*IFERROR(CC!$E$3:$E$1000+0,0)),0)</f>
      </c>
      <c r="H467" s="56"/>
      <c r="I467" s="24" t="str">
        <f t="shared" si="24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5"/>
        <v/>
      </c>
      <c r="L467" s="57" t="str">
        <f>IF(C467&lt;&gt;"",_xlfn.XLOOKUP(TEXT(C467,"0"),TEXT(CC!$C$3:$C$1000,"0"),CC!$G$3:$G$1000,""),"")</f>
        <v/>
      </c>
    </row>
    <row r="468" spans="7:12" x14ac:dyDescent="0.25">
      <c r="G468" s="70">
        <f>IFERROR(SUMPRODUCT((TEXT(CC!$C$3:$C$1000,"0")=TEXT(C468,"0"))*IFERROR(CC!$E$3:$E$1000+0,0)),0)</f>
      </c>
      <c r="H468" s="56"/>
      <c r="I468" s="24" t="str">
        <f t="shared" si="24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5"/>
        <v/>
      </c>
      <c r="L468" s="57" t="str">
        <f>IF(C468&lt;&gt;"",_xlfn.XLOOKUP(TEXT(C468,"0"),TEXT(CC!$C$3:$C$1000,"0"),CC!$G$3:$G$1000,""),"")</f>
        <v/>
      </c>
    </row>
    <row r="469" spans="7:12" x14ac:dyDescent="0.25">
      <c r="G469" s="70">
        <f>IFERROR(SUMPRODUCT((TEXT(CC!$C$3:$C$1000,"0")=TEXT(C469,"0"))*IFERROR(CC!$E$3:$E$1000+0,0)),0)</f>
      </c>
      <c r="H469" s="56"/>
      <c r="I469" s="24" t="str">
        <f t="shared" si="24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5"/>
        <v/>
      </c>
      <c r="L469" s="57" t="str">
        <f>IF(C469&lt;&gt;"",_xlfn.XLOOKUP(TEXT(C469,"0"),TEXT(CC!$C$3:$C$1000,"0"),CC!$G$3:$G$1000,""),"")</f>
        <v/>
      </c>
    </row>
    <row r="470" spans="7:12" x14ac:dyDescent="0.25">
      <c r="G470" s="70">
        <f>IFERROR(SUMPRODUCT((TEXT(CC!$C$3:$C$1000,"0")=TEXT(C470,"0"))*IFERROR(CC!$E$3:$E$1000+0,0)),0)</f>
      </c>
      <c r="H470" s="56"/>
      <c r="I470" s="24" t="str">
        <f t="shared" si="24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5"/>
        <v/>
      </c>
      <c r="L470" s="57" t="str">
        <f>IF(C470&lt;&gt;"",_xlfn.XLOOKUP(TEXT(C470,"0"),TEXT(CC!$C$3:$C$1000,"0"),CC!$G$3:$G$1000,""),"")</f>
        <v/>
      </c>
    </row>
    <row r="471" spans="7:12" x14ac:dyDescent="0.25">
      <c r="G471" s="70">
        <f>IFERROR(SUMPRODUCT((TEXT(CC!$C$3:$C$1000,"0")=TEXT(C471,"0"))*IFERROR(CC!$E$3:$E$1000+0,0)),0)</f>
      </c>
      <c r="H471" s="56"/>
      <c r="I471" s="24" t="str">
        <f t="shared" si="24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5"/>
        <v/>
      </c>
      <c r="L471" s="57" t="str">
        <f>IF(C471&lt;&gt;"",_xlfn.XLOOKUP(TEXT(C471,"0"),TEXT(CC!$C$3:$C$1000,"0"),CC!$G$3:$G$1000,""),"")</f>
        <v/>
      </c>
    </row>
    <row r="472" spans="7:12" x14ac:dyDescent="0.25">
      <c r="G472" s="70">
        <f>IFERROR(SUMPRODUCT((TEXT(CC!$C$3:$C$1000,"0")=TEXT(C472,"0"))*IFERROR(CC!$E$3:$E$1000+0,0)),0)</f>
      </c>
      <c r="H472" s="56"/>
      <c r="I472" s="24" t="str">
        <f t="shared" si="24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5"/>
        <v/>
      </c>
      <c r="L472" s="57" t="str">
        <f>IF(C472&lt;&gt;"",_xlfn.XLOOKUP(TEXT(C472,"0"),TEXT(CC!$C$3:$C$1000,"0"),CC!$G$3:$G$1000,""),"")</f>
        <v/>
      </c>
    </row>
    <row r="473" spans="7:12" x14ac:dyDescent="0.25">
      <c r="G473" s="70">
        <f>IFERROR(SUMPRODUCT((TEXT(CC!$C$3:$C$1000,"0")=TEXT(C473,"0"))*IFERROR(CC!$E$3:$E$1000+0,0)),0)</f>
      </c>
      <c r="H473" s="56"/>
      <c r="I473" s="24" t="str">
        <f t="shared" si="24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5"/>
        <v/>
      </c>
      <c r="L473" s="57" t="str">
        <f>IF(C473&lt;&gt;"",_xlfn.XLOOKUP(TEXT(C473,"0"),TEXT(CC!$C$3:$C$1000,"0"),CC!$G$3:$G$1000,""),"")</f>
        <v/>
      </c>
    </row>
    <row r="474" spans="7:12" x14ac:dyDescent="0.25">
      <c r="G474" s="70">
        <f>IFERROR(SUMPRODUCT((TEXT(CC!$C$3:$C$1000,"0")=TEXT(C474,"0"))*IFERROR(CC!$E$3:$E$1000+0,0)),0)</f>
      </c>
      <c r="H474" s="56"/>
      <c r="I474" s="24" t="str">
        <f t="shared" si="24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5"/>
        <v/>
      </c>
      <c r="L474" s="57" t="str">
        <f>IF(C474&lt;&gt;"",_xlfn.XLOOKUP(TEXT(C474,"0"),TEXT(CC!$C$3:$C$1000,"0"),CC!$G$3:$G$1000,""),"")</f>
        <v/>
      </c>
    </row>
    <row r="475" spans="7:12" x14ac:dyDescent="0.25">
      <c r="G475" s="70">
        <f>IFERROR(SUMPRODUCT((TEXT(CC!$C$3:$C$1000,"0")=TEXT(C475,"0"))*IFERROR(CC!$E$3:$E$1000+0,0)),0)</f>
      </c>
      <c r="H475" s="56"/>
      <c r="I475" s="24" t="str">
        <f t="shared" si="24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5"/>
        <v/>
      </c>
      <c r="L475" s="57" t="str">
        <f>IF(C475&lt;&gt;"",_xlfn.XLOOKUP(TEXT(C475,"0"),TEXT(CC!$C$3:$C$1000,"0"),CC!$G$3:$G$1000,""),"")</f>
        <v/>
      </c>
    </row>
    <row r="476" spans="7:12" x14ac:dyDescent="0.25">
      <c r="G476" s="70">
        <f>IFERROR(SUMPRODUCT((TEXT(CC!$C$3:$C$1000,"0")=TEXT(C476,"0"))*IFERROR(CC!$E$3:$E$1000+0,0)),0)</f>
      </c>
      <c r="H476" s="56"/>
      <c r="I476" s="24" t="str">
        <f t="shared" si="24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5"/>
        <v/>
      </c>
      <c r="L476" s="57" t="str">
        <f>IF(C476&lt;&gt;"",_xlfn.XLOOKUP(TEXT(C476,"0"),TEXT(CC!$C$3:$C$1000,"0"),CC!$G$3:$G$1000,""),"")</f>
        <v/>
      </c>
    </row>
    <row r="477" spans="7:12" x14ac:dyDescent="0.25">
      <c r="G477" s="70">
        <f>IFERROR(SUMPRODUCT((TEXT(CC!$C$3:$C$1000,"0")=TEXT(C477,"0"))*IFERROR(CC!$E$3:$E$1000+0,0)),0)</f>
      </c>
      <c r="H477" s="56"/>
      <c r="I477" s="24" t="str">
        <f t="shared" si="24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5"/>
        <v/>
      </c>
      <c r="L477" s="57" t="str">
        <f>IF(C477&lt;&gt;"",_xlfn.XLOOKUP(TEXT(C477,"0"),TEXT(CC!$C$3:$C$1000,"0"),CC!$G$3:$G$1000,""),"")</f>
        <v/>
      </c>
    </row>
    <row r="478" spans="7:12" x14ac:dyDescent="0.25">
      <c r="G478" s="70">
        <f>IFERROR(SUMPRODUCT((TEXT(CC!$C$3:$C$1000,"0")=TEXT(C478,"0"))*IFERROR(CC!$E$3:$E$1000+0,0)),0)</f>
      </c>
      <c r="H478" s="56"/>
      <c r="I478" s="24" t="str">
        <f t="shared" si="24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5"/>
        <v/>
      </c>
      <c r="L478" s="57" t="str">
        <f>IF(C478&lt;&gt;"",_xlfn.XLOOKUP(TEXT(C478,"0"),TEXT(CC!$C$3:$C$1000,"0"),CC!$G$3:$G$1000,""),"")</f>
        <v/>
      </c>
    </row>
    <row r="479" spans="7:12" x14ac:dyDescent="0.25">
      <c r="G479" s="70">
        <f>IFERROR(SUMPRODUCT((TEXT(CC!$C$3:$C$1000,"0")=TEXT(C479,"0"))*IFERROR(CC!$E$3:$E$1000+0,0)),0)</f>
      </c>
      <c r="H479" s="56"/>
      <c r="I479" s="24" t="str">
        <f t="shared" si="24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5"/>
        <v/>
      </c>
      <c r="L479" s="57" t="str">
        <f>IF(C479&lt;&gt;"",_xlfn.XLOOKUP(TEXT(C479,"0"),TEXT(CC!$C$3:$C$1000,"0"),CC!$G$3:$G$1000,""),"")</f>
        <v/>
      </c>
    </row>
    <row r="480" spans="7:12" x14ac:dyDescent="0.25">
      <c r="G480" s="70">
        <f>IFERROR(SUMPRODUCT((TEXT(CC!$C$3:$C$1000,"0")=TEXT(C480,"0"))*IFERROR(CC!$E$3:$E$1000+0,0)),0)</f>
      </c>
      <c r="H480" s="56"/>
      <c r="I480" s="24" t="str">
        <f t="shared" si="24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5"/>
        <v/>
      </c>
      <c r="L480" s="57" t="str">
        <f>IF(C480&lt;&gt;"",_xlfn.XLOOKUP(TEXT(C480,"0"),TEXT(CC!$C$3:$C$1000,"0"),CC!$G$3:$G$1000,""),"")</f>
        <v/>
      </c>
    </row>
    <row r="481" spans="7:12" x14ac:dyDescent="0.25">
      <c r="G481" s="70">
        <f>IFERROR(SUMPRODUCT((TEXT(CC!$C$3:$C$1000,"0")=TEXT(C481,"0"))*IFERROR(CC!$E$3:$E$1000+0,0)),0)</f>
      </c>
      <c r="H481" s="56"/>
      <c r="I481" s="24" t="str">
        <f t="shared" si="24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5"/>
        <v/>
      </c>
      <c r="L481" s="57" t="str">
        <f>IF(C481&lt;&gt;"",_xlfn.XLOOKUP(TEXT(C481,"0"),TEXT(CC!$C$3:$C$1000,"0"),CC!$G$3:$G$1000,""),"")</f>
        <v/>
      </c>
    </row>
    <row r="482" spans="7:12" x14ac:dyDescent="0.25">
      <c r="G482" s="70">
        <f>IFERROR(SUMPRODUCT((TEXT(CC!$C$3:$C$1000,"0")=TEXT(C482,"0"))*IFERROR(CC!$E$3:$E$1000+0,0)),0)</f>
      </c>
      <c r="H482" s="56"/>
      <c r="I482" s="24" t="str">
        <f t="shared" si="24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5"/>
        <v/>
      </c>
      <c r="L482" s="57" t="str">
        <f>IF(C482&lt;&gt;"",_xlfn.XLOOKUP(TEXT(C482,"0"),TEXT(CC!$C$3:$C$1000,"0"),CC!$G$3:$G$1000,""),"")</f>
        <v/>
      </c>
    </row>
    <row r="483" spans="7:12" x14ac:dyDescent="0.25">
      <c r="G483" s="70">
        <f>IFERROR(SUMPRODUCT((TEXT(CC!$C$3:$C$1000,"0")=TEXT(C483,"0"))*IFERROR(CC!$E$3:$E$1000+0,0)),0)</f>
      </c>
      <c r="H483" s="56"/>
      <c r="I483" s="24" t="str">
        <f t="shared" si="24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5"/>
        <v/>
      </c>
      <c r="L483" s="57" t="str">
        <f>IF(C483&lt;&gt;"",_xlfn.XLOOKUP(TEXT(C483,"0"),TEXT(CC!$C$3:$C$1000,"0"),CC!$G$3:$G$1000,""),"")</f>
        <v/>
      </c>
    </row>
    <row r="484" spans="7:12" x14ac:dyDescent="0.25">
      <c r="G484" s="70">
        <f>IFERROR(SUMPRODUCT((TEXT(CC!$C$3:$C$1000,"0")=TEXT(C484,"0"))*IFERROR(CC!$E$3:$E$1000+0,0)),0)</f>
      </c>
      <c r="H484" s="56"/>
      <c r="I484" s="24" t="str">
        <f t="shared" si="24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5"/>
        <v/>
      </c>
      <c r="L484" s="57" t="str">
        <f>IF(C484&lt;&gt;"",_xlfn.XLOOKUP(TEXT(C484,"0"),TEXT(CC!$C$3:$C$1000,"0"),CC!$G$3:$G$1000,""),"")</f>
        <v/>
      </c>
    </row>
    <row r="485" spans="7:12" x14ac:dyDescent="0.25">
      <c r="G485" s="70">
        <f>IFERROR(SUMPRODUCT((TEXT(CC!$C$3:$C$1000,"0")=TEXT(C485,"0"))*IFERROR(CC!$E$3:$E$1000+0,0)),0)</f>
      </c>
      <c r="H485" s="56"/>
      <c r="I485" s="24" t="str">
        <f t="shared" si="24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5"/>
        <v/>
      </c>
      <c r="L485" s="57" t="str">
        <f>IF(C485&lt;&gt;"",_xlfn.XLOOKUP(TEXT(C485,"0"),TEXT(CC!$C$3:$C$1000,"0"),CC!$G$3:$G$1000,""),"")</f>
        <v/>
      </c>
    </row>
    <row r="486" spans="7:12" x14ac:dyDescent="0.25">
      <c r="G486" s="70">
        <f>IFERROR(SUMPRODUCT((TEXT(CC!$C$3:$C$1000,"0")=TEXT(C486,"0"))*IFERROR(CC!$E$3:$E$1000+0,0)),0)</f>
      </c>
      <c r="H486" s="56"/>
      <c r="I486" s="24" t="str">
        <f t="shared" si="24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5"/>
        <v/>
      </c>
      <c r="L486" s="57" t="str">
        <f>IF(C486&lt;&gt;"",_xlfn.XLOOKUP(TEXT(C486,"0"),TEXT(CC!$C$3:$C$1000,"0"),CC!$G$3:$G$1000,""),"")</f>
        <v/>
      </c>
    </row>
    <row r="487" spans="7:12" x14ac:dyDescent="0.25">
      <c r="G487" s="70">
        <f>IFERROR(SUMPRODUCT((TEXT(CC!$C$3:$C$1000,"0")=TEXT(C487,"0"))*IFERROR(CC!$E$3:$E$1000+0,0)),0)</f>
      </c>
      <c r="H487" s="56"/>
      <c r="I487" s="24" t="str">
        <f t="shared" si="24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5"/>
        <v/>
      </c>
      <c r="L487" s="57" t="str">
        <f>IF(C487&lt;&gt;"",_xlfn.XLOOKUP(TEXT(C487,"0"),TEXT(CC!$C$3:$C$1000,"0"),CC!$G$3:$G$1000,""),"")</f>
        <v/>
      </c>
    </row>
    <row r="488" spans="7:12" x14ac:dyDescent="0.25">
      <c r="G488" s="70">
        <f>IFERROR(SUMPRODUCT((TEXT(CC!$C$3:$C$1000,"0")=TEXT(C488,"0"))*IFERROR(CC!$E$3:$E$1000+0,0)),0)</f>
      </c>
      <c r="H488" s="56"/>
      <c r="I488" s="24" t="str">
        <f t="shared" si="24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5"/>
        <v/>
      </c>
      <c r="L488" s="57" t="str">
        <f>IF(C488&lt;&gt;"",_xlfn.XLOOKUP(TEXT(C488,"0"),TEXT(CC!$C$3:$C$1000,"0"),CC!$G$3:$G$1000,""),"")</f>
        <v/>
      </c>
    </row>
    <row r="489" spans="7:12" x14ac:dyDescent="0.25">
      <c r="G489" s="70">
        <f>IFERROR(SUMPRODUCT((TEXT(CC!$C$3:$C$1000,"0")=TEXT(C489,"0"))*IFERROR(CC!$E$3:$E$1000+0,0)),0)</f>
      </c>
      <c r="H489" s="56"/>
      <c r="I489" s="24" t="str">
        <f t="shared" si="24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5"/>
        <v/>
      </c>
      <c r="L489" s="57" t="str">
        <f>IF(C489&lt;&gt;"",_xlfn.XLOOKUP(TEXT(C489,"0"),TEXT(CC!$C$3:$C$1000,"0"),CC!$G$3:$G$1000,""),"")</f>
        <v/>
      </c>
    </row>
    <row r="490" spans="7:12" x14ac:dyDescent="0.25">
      <c r="G490" s="70">
        <f>IFERROR(SUMPRODUCT((TEXT(CC!$C$3:$C$1000,"0")=TEXT(C490,"0"))*IFERROR(CC!$E$3:$E$1000+0,0)),0)</f>
      </c>
      <c r="H490" s="56"/>
      <c r="I490" s="24" t="str">
        <f t="shared" si="24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5"/>
        <v/>
      </c>
      <c r="L490" s="57" t="str">
        <f>IF(C490&lt;&gt;"",_xlfn.XLOOKUP(TEXT(C490,"0"),TEXT(CC!$C$3:$C$1000,"0"),CC!$G$3:$G$1000,""),"")</f>
        <v/>
      </c>
    </row>
    <row r="491" spans="7:12" x14ac:dyDescent="0.25">
      <c r="G491" s="70">
        <f>IFERROR(SUMPRODUCT((TEXT(CC!$C$3:$C$1000,"0")=TEXT(C491,"0"))*IFERROR(CC!$E$3:$E$1000+0,0)),0)</f>
      </c>
      <c r="H491" s="56"/>
      <c r="I491" s="24" t="str">
        <f t="shared" si="24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5"/>
        <v/>
      </c>
      <c r="L491" s="57" t="str">
        <f>IF(C491&lt;&gt;"",_xlfn.XLOOKUP(TEXT(C491,"0"),TEXT(CC!$C$3:$C$1000,"0"),CC!$G$3:$G$1000,""),"")</f>
        <v/>
      </c>
    </row>
    <row r="492" spans="7:12" x14ac:dyDescent="0.25">
      <c r="G492" s="70">
        <f>IFERROR(SUMPRODUCT((TEXT(CC!$C$3:$C$1000,"0")=TEXT(C492,"0"))*IFERROR(CC!$E$3:$E$1000+0,0)),0)</f>
      </c>
      <c r="H492" s="56"/>
      <c r="I492" s="24" t="str">
        <f t="shared" si="24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5"/>
        <v/>
      </c>
      <c r="L492" s="57" t="str">
        <f>IF(C492&lt;&gt;"",_xlfn.XLOOKUP(TEXT(C492,"0"),TEXT(CC!$C$3:$C$1000,"0"),CC!$G$3:$G$1000,""),"")</f>
        <v/>
      </c>
    </row>
    <row r="493" spans="7:12" x14ac:dyDescent="0.25">
      <c r="G493" s="70">
        <f>IFERROR(SUMPRODUCT((TEXT(CC!$C$3:$C$1000,"0")=TEXT(C493,"0"))*IFERROR(CC!$E$3:$E$1000+0,0)),0)</f>
      </c>
      <c r="H493" s="56"/>
      <c r="I493" s="24" t="str">
        <f t="shared" si="24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5"/>
        <v/>
      </c>
      <c r="L493" s="57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4">
    <mergeCell ref="N2:T2"/>
    <mergeCell ref="B9"/>
    <mergeCell ref="N37:T37"/>
    <mergeCell ref="N12:S12"/>
  </mergeCells>
  <conditionalFormatting sqref="T39:T60">
    <cfRule type="expression" dxfId="33" priority="4">
      <formula>AND($Q39&lt;&gt;0,$T39&lt;&gt;"")</formula>
    </cfRule>
    <cfRule type="expression" dxfId="32" priority="6">
      <formula>AND($Q39&lt;&gt;0,$T39="")</formula>
    </cfRule>
  </conditionalFormatting>
  <conditionalFormatting sqref="L8">
    <cfRule type="cellIs" dxfId="31" priority="2" operator="equal">
      <formula>0</formula>
    </cfRule>
    <cfRule type="cellIs" dxfId="30" priority="3" operator="notEqual">
      <formula>0</formula>
    </cfRule>
  </conditionalFormatting>
  <conditionalFormatting sqref="G14:G493">
    <cfRule type="expression" dxfId="29" priority="1">
      <formula>AND(G14&lt;&gt;_xlfn.NUMBERVALUE(F14),G14&lt;&gt;0)</formula>
    </cfRule>
  </conditionalFormatting>
  <dataValidations count="1">
    <dataValidation type="list" allowBlank="1" showInputMessage="1" showErrorMessage="1" sqref="N4:N10" xr:uid="{5A55A2F2-CECF-48A2-86FA-68D33D4BC8F0}">
      <formula1>"CASH,CREDIT,CHECK,PARTS POLICY,SERVICE POLICY"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workbookViewId="0">
      <selection activeCell="A1" sqref="A1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32.85546875" bestFit="1" customWidth="1"/>
    <col min="4" max="4" width="16" bestFit="1" customWidth="1"/>
    <col min="5" max="5" width="23.7109375" bestFit="1" customWidth="1"/>
    <col min="6" max="6" width="10.5703125" bestFit="1" customWidth="1"/>
    <col min="7" max="7" width="17" bestFit="1" customWidth="1"/>
    <col min="8" max="8" width="32.5703125" bestFit="1" customWidth="1"/>
    <col min="9" max="9" width="15.28515625" bestFit="1" customWidth="1"/>
    <col min="10" max="10" width="22.85546875" bestFit="1" customWidth="1"/>
    <col min="11" max="11" width="11.7109375" bestFit="1" customWidth="1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workbookViewId="0">
      <selection activeCell="J13" sqref="J13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91" t="s">
        <v>48</v>
      </c>
      <c r="B3" s="91"/>
      <c r="C3" s="92" t="str">
        <f>"DD"&amp;TEXT('Schedule&amp;Rec'!L3,"mmddyy")</f>
        <v>DD010000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91"/>
      <c r="B4" s="91"/>
      <c r="C4" s="93"/>
      <c r="D4" s="4"/>
      <c r="E4" s="4"/>
      <c r="F4" s="4"/>
      <c r="G4" s="5"/>
      <c r="H4" s="4"/>
      <c r="I4" s="4"/>
      <c r="J4" s="4"/>
      <c r="K4" s="4"/>
      <c r="L4" s="4"/>
      <c r="M4" s="6" t="s">
        <v>49</v>
      </c>
      <c r="N4" s="4"/>
    </row>
    <row r="5" spans="1:14" ht="15.75" thickBot="1" x14ac:dyDescent="0.3">
      <c r="A5" s="91"/>
      <c r="B5" s="91"/>
      <c r="C5" s="94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-3580.4600000000009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50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51</v>
      </c>
      <c r="D9" s="15"/>
      <c r="E9" s="15" t="s">
        <v>52</v>
      </c>
      <c r="F9" s="15" t="s">
        <v>53</v>
      </c>
      <c r="G9" s="16" t="s">
        <v>54</v>
      </c>
      <c r="H9" s="15" t="s">
        <v>10</v>
      </c>
      <c r="I9" s="15" t="s">
        <v>55</v>
      </c>
      <c r="J9" s="15" t="s">
        <v>56</v>
      </c>
      <c r="K9" s="15" t="s">
        <v>57</v>
      </c>
      <c r="L9" s="15"/>
      <c r="M9" s="15" t="s">
        <v>58</v>
      </c>
      <c r="N9" s="14"/>
    </row>
    <row r="10" spans="1:14" x14ac:dyDescent="0.25">
      <c r="A10" s="4"/>
      <c r="B10" s="14"/>
      <c r="C10" s="17" t="str">
        <f>IF(G10=0,"",(E10&amp;"."&amp;F10&amp;"."&amp;G10*100&amp;"."&amp;H10&amp;"."&amp;I10&amp;"."&amp;J10&amp;"."&amp;K10))</f>
        <v>18.501001.2500000.CA0324..CASH.</v>
      </c>
      <c r="D10" s="14"/>
      <c r="E10">
        <v>18</v>
      </c>
      <c r="F10">
        <v>501001</v>
      </c>
      <c r="G10" s="1">
        <v>25000</v>
      </c>
      <c r="H10" t="s">
        <v>86</v>
      </c>
      <c r="J10" s="18" t="s">
        <v>63</v>
      </c>
      <c r="K10" s="18"/>
      <c r="L10" s="14"/>
      <c r="N10" s="14"/>
    </row>
    <row r="11" spans="1:14" x14ac:dyDescent="0.25">
      <c r="A11" s="4"/>
      <c r="B11" s="14"/>
      <c r="C11" s="17" t="str">
        <f t="shared" ref="C11:C74" si="0">IF(G11=0,"",(E11&amp;"."&amp;F11&amp;"."&amp;G11*100&amp;"."&amp;H11&amp;"."&amp;I11&amp;"."&amp;J11&amp;"."&amp;K11))</f>
        <v>18.501010.-800000.213835...</v>
      </c>
      <c r="D11" s="14"/>
      <c r="E11">
        <v>18</v>
      </c>
      <c r="F11">
        <v>501010</v>
      </c>
      <c r="G11" s="2">
        <v>-8000</v>
      </c>
      <c r="H11">
        <v>213835</v>
      </c>
      <c r="J11" s="18"/>
      <c r="K11" s="18"/>
      <c r="L11" s="14"/>
      <c r="N11" s="14"/>
    </row>
    <row r="12" spans="1:14" x14ac:dyDescent="0.25">
      <c r="A12" s="4"/>
      <c r="B12" s="14"/>
      <c r="C12" s="17" t="str">
        <f t="shared" si="0"/>
        <v>18.501010.-50000.213838...</v>
      </c>
      <c r="D12" s="14"/>
      <c r="E12">
        <v>18</v>
      </c>
      <c r="F12">
        <v>501010</v>
      </c>
      <c r="G12" s="1">
        <v>-500</v>
      </c>
      <c r="H12">
        <v>213838</v>
      </c>
      <c r="J12" s="18"/>
      <c r="K12" s="18"/>
      <c r="L12" s="14"/>
      <c r="N12" s="14"/>
    </row>
    <row r="13" spans="1:14" x14ac:dyDescent="0.25">
      <c r="A13" s="4"/>
      <c r="B13" s="14"/>
      <c r="C13" s="17" t="str">
        <f t="shared" si="0"/>
        <v>18.501010.-11661.346894...</v>
      </c>
      <c r="D13" s="14"/>
      <c r="E13">
        <v>18</v>
      </c>
      <c r="F13">
        <v>501010</v>
      </c>
      <c r="G13" s="2">
        <v>-116.61</v>
      </c>
      <c r="H13">
        <v>346894</v>
      </c>
      <c r="J13" s="18"/>
      <c r="K13" s="18"/>
      <c r="L13" s="14"/>
      <c r="N13" s="14"/>
    </row>
    <row r="14" spans="1:14" x14ac:dyDescent="0.25">
      <c r="A14" s="4"/>
      <c r="B14" s="14"/>
      <c r="C14" s="17" t="str">
        <f t="shared" si="0"/>
        <v>18.501010.-5935.347139...</v>
      </c>
      <c r="D14" s="14"/>
      <c r="E14">
        <v>18</v>
      </c>
      <c r="F14">
        <v>501010</v>
      </c>
      <c r="G14" s="1">
        <v>-59.35</v>
      </c>
      <c r="H14">
        <v>347139</v>
      </c>
      <c r="J14" s="18"/>
      <c r="K14" s="18"/>
      <c r="L14" s="14"/>
      <c r="N14" s="14"/>
    </row>
    <row r="15" spans="1:14" x14ac:dyDescent="0.25">
      <c r="A15" s="4"/>
      <c r="B15" s="14"/>
      <c r="C15" s="17" t="str">
        <f t="shared" si="0"/>
        <v>18.501010.-4260.347140...</v>
      </c>
      <c r="D15" s="14"/>
      <c r="E15">
        <v>18</v>
      </c>
      <c r="F15">
        <v>501010</v>
      </c>
      <c r="G15" s="1">
        <v>-42.6</v>
      </c>
      <c r="H15">
        <v>347140</v>
      </c>
      <c r="J15" s="18"/>
      <c r="K15" s="18"/>
      <c r="L15" s="14"/>
      <c r="N15" s="14"/>
    </row>
    <row r="16" spans="1:14" x14ac:dyDescent="0.25">
      <c r="A16" s="4"/>
      <c r="B16" s="14"/>
      <c r="C16" s="17" t="str">
        <f t="shared" si="0"/>
        <v>18.501010.-53334.347148...</v>
      </c>
      <c r="D16" s="14"/>
      <c r="E16">
        <v>18</v>
      </c>
      <c r="F16">
        <v>501010</v>
      </c>
      <c r="G16" s="1">
        <v>-533.34</v>
      </c>
      <c r="H16">
        <v>347148</v>
      </c>
      <c r="J16" s="18"/>
      <c r="K16" s="18"/>
      <c r="L16" s="14"/>
      <c r="N16" s="14"/>
    </row>
    <row r="17" spans="1:14" x14ac:dyDescent="0.25">
      <c r="A17" s="4"/>
      <c r="B17" s="14"/>
      <c r="C17" s="17" t="str">
        <f t="shared" si="0"/>
        <v>18.501010.-2897.347151...</v>
      </c>
      <c r="D17" s="14"/>
      <c r="E17">
        <v>18</v>
      </c>
      <c r="F17">
        <v>501010</v>
      </c>
      <c r="G17" s="1">
        <v>-28.97</v>
      </c>
      <c r="H17">
        <v>347151</v>
      </c>
      <c r="J17" s="18"/>
      <c r="K17" s="18"/>
      <c r="L17" s="14"/>
      <c r="N17" s="14"/>
    </row>
    <row r="18" spans="1:14" x14ac:dyDescent="0.25">
      <c r="A18" s="4"/>
      <c r="B18" s="14"/>
      <c r="C18" s="17" t="str">
        <f t="shared" si="0"/>
        <v>18.501010.-22851.347154...</v>
      </c>
      <c r="D18" s="14"/>
      <c r="E18">
        <v>18</v>
      </c>
      <c r="F18">
        <v>501010</v>
      </c>
      <c r="G18" s="1">
        <v>-228.51</v>
      </c>
      <c r="H18">
        <v>347154</v>
      </c>
      <c r="J18" s="18"/>
      <c r="K18" s="18"/>
      <c r="L18" s="14"/>
      <c r="N18" s="14"/>
    </row>
    <row r="19" spans="1:14" x14ac:dyDescent="0.25">
      <c r="A19" s="4"/>
      <c r="B19" s="14"/>
      <c r="C19" s="17" t="str">
        <f t="shared" si="0"/>
        <v>18.501010.-11793.347155...</v>
      </c>
      <c r="D19" s="14"/>
      <c r="E19">
        <v>18</v>
      </c>
      <c r="F19">
        <v>501010</v>
      </c>
      <c r="G19" s="1">
        <v>-117.93</v>
      </c>
      <c r="H19">
        <v>347155</v>
      </c>
      <c r="J19" s="18"/>
      <c r="K19" s="18"/>
      <c r="L19" s="14"/>
      <c r="N19" s="14"/>
    </row>
    <row r="20" spans="1:14" x14ac:dyDescent="0.25">
      <c r="A20" s="4"/>
      <c r="B20" s="14"/>
      <c r="C20" s="17" t="str">
        <f t="shared" si="0"/>
        <v>18.501010.-1884.347161...</v>
      </c>
      <c r="D20" s="14"/>
      <c r="E20">
        <v>18</v>
      </c>
      <c r="F20">
        <v>501010</v>
      </c>
      <c r="G20" s="1">
        <v>-18.84</v>
      </c>
      <c r="H20">
        <v>347161</v>
      </c>
      <c r="J20" s="18"/>
      <c r="K20" s="18"/>
      <c r="L20" s="14"/>
      <c r="N20" s="14"/>
    </row>
    <row r="21" spans="1:14" x14ac:dyDescent="0.25">
      <c r="A21" s="4"/>
      <c r="B21" s="14"/>
      <c r="C21" s="17" t="str">
        <f t="shared" si="0"/>
        <v>18.501010.-2675.347162...</v>
      </c>
      <c r="D21" s="14"/>
      <c r="E21">
        <v>18</v>
      </c>
      <c r="F21">
        <v>501010</v>
      </c>
      <c r="G21" s="1">
        <v>-26.75</v>
      </c>
      <c r="H21">
        <v>347162</v>
      </c>
      <c r="J21" s="18"/>
      <c r="K21" s="18"/>
      <c r="L21" s="14"/>
      <c r="N21" s="14"/>
    </row>
    <row r="22" spans="1:14" x14ac:dyDescent="0.25">
      <c r="A22" s="4"/>
      <c r="B22" s="14"/>
      <c r="C22" s="17" t="str">
        <f t="shared" si="0"/>
        <v>18.501010.-46925.809485...</v>
      </c>
      <c r="D22" s="14"/>
      <c r="E22">
        <v>18</v>
      </c>
      <c r="F22">
        <v>501010</v>
      </c>
      <c r="G22" s="1">
        <v>-469.25</v>
      </c>
      <c r="H22">
        <v>809485</v>
      </c>
      <c r="J22" s="18"/>
      <c r="K22" s="18"/>
      <c r="L22" s="14"/>
      <c r="N22" s="14"/>
    </row>
    <row r="23" spans="1:14" x14ac:dyDescent="0.25">
      <c r="A23" s="4"/>
      <c r="B23" s="14"/>
      <c r="C23" s="17" t="str">
        <f t="shared" si="0"/>
        <v>18.501010.-182780.809614...</v>
      </c>
      <c r="D23" s="14"/>
      <c r="E23">
        <v>18</v>
      </c>
      <c r="F23">
        <v>501010</v>
      </c>
      <c r="G23" s="1">
        <v>-1827.8</v>
      </c>
      <c r="H23">
        <v>809614</v>
      </c>
      <c r="J23" s="18"/>
      <c r="K23" s="18"/>
      <c r="L23" s="14"/>
      <c r="N23" s="14"/>
    </row>
    <row r="24" spans="1:14" x14ac:dyDescent="0.25">
      <c r="A24" s="4"/>
      <c r="B24" s="14"/>
      <c r="C24" s="17" t="str">
        <f t="shared" si="0"/>
        <v>18.501010.-80625.809619...</v>
      </c>
      <c r="D24" s="14"/>
      <c r="E24">
        <v>18</v>
      </c>
      <c r="F24">
        <v>501010</v>
      </c>
      <c r="G24" s="1">
        <v>-806.25</v>
      </c>
      <c r="H24">
        <v>809619</v>
      </c>
      <c r="J24" s="18"/>
      <c r="K24" s="18"/>
      <c r="L24" s="14"/>
      <c r="N24" s="14"/>
    </row>
    <row r="25" spans="1:14" x14ac:dyDescent="0.25">
      <c r="A25" s="4"/>
      <c r="B25" s="14"/>
      <c r="C25" s="17" t="str">
        <f t="shared" si="0"/>
        <v>18.501010.-8300.809777...</v>
      </c>
      <c r="D25" s="14"/>
      <c r="E25">
        <v>18</v>
      </c>
      <c r="F25">
        <v>501010</v>
      </c>
      <c r="G25" s="1">
        <v>-83</v>
      </c>
      <c r="H25">
        <v>809777</v>
      </c>
      <c r="J25" s="18"/>
      <c r="K25" s="18"/>
      <c r="L25" s="14"/>
      <c r="N25" s="14"/>
    </row>
    <row r="26" spans="1:14" x14ac:dyDescent="0.25">
      <c r="A26" s="4"/>
      <c r="B26" s="14"/>
      <c r="C26" s="17" t="str">
        <f t="shared" si="0"/>
        <v>18.501010.-2000.809800...</v>
      </c>
      <c r="D26" s="14"/>
      <c r="E26">
        <v>18</v>
      </c>
      <c r="F26">
        <v>501010</v>
      </c>
      <c r="G26" s="1">
        <v>-20</v>
      </c>
      <c r="H26">
        <v>809800</v>
      </c>
      <c r="J26" s="18"/>
      <c r="K26" s="18"/>
      <c r="L26" s="14"/>
      <c r="N26" s="14"/>
    </row>
    <row r="27" spans="1:14" x14ac:dyDescent="0.25">
      <c r="A27" s="4"/>
      <c r="B27" s="14"/>
      <c r="C27" s="17" t="str">
        <f t="shared" si="0"/>
        <v>18.501010.-23324.809801...</v>
      </c>
      <c r="D27" s="14"/>
      <c r="E27">
        <v>18</v>
      </c>
      <c r="F27">
        <v>501010</v>
      </c>
      <c r="G27" s="1">
        <v>-233.24</v>
      </c>
      <c r="H27">
        <v>809801</v>
      </c>
      <c r="J27" s="18"/>
      <c r="K27" s="18"/>
      <c r="L27" s="14"/>
      <c r="N27" s="14"/>
    </row>
    <row r="28" spans="1:14" x14ac:dyDescent="0.25">
      <c r="A28" s="4"/>
      <c r="B28" s="14"/>
      <c r="C28" s="17" t="str">
        <f t="shared" si="0"/>
        <v>18.501010.-10446.809804...</v>
      </c>
      <c r="D28" s="14"/>
      <c r="E28">
        <v>18</v>
      </c>
      <c r="F28">
        <v>501010</v>
      </c>
      <c r="G28" s="1">
        <v>-104.46</v>
      </c>
      <c r="H28">
        <v>809804</v>
      </c>
      <c r="J28" s="18"/>
      <c r="K28" s="18"/>
      <c r="L28" s="14"/>
      <c r="N28" s="14"/>
    </row>
    <row r="29" spans="1:14" x14ac:dyDescent="0.25">
      <c r="A29" s="4"/>
      <c r="B29" s="14"/>
      <c r="C29" s="17" t="str">
        <f t="shared" si="0"/>
        <v>18.501010.-58934.809806...</v>
      </c>
      <c r="D29" s="14"/>
      <c r="E29">
        <v>18</v>
      </c>
      <c r="F29">
        <v>501010</v>
      </c>
      <c r="G29" s="1">
        <v>-589.34</v>
      </c>
      <c r="H29">
        <v>809806</v>
      </c>
      <c r="J29" s="18"/>
      <c r="K29" s="18"/>
      <c r="L29" s="14"/>
      <c r="N29" s="14"/>
    </row>
    <row r="30" spans="1:14" x14ac:dyDescent="0.25">
      <c r="A30" s="4"/>
      <c r="B30" s="14"/>
      <c r="C30" s="17" t="str">
        <f t="shared" si="0"/>
        <v>18.501010.-34683.809808...</v>
      </c>
      <c r="D30" s="14"/>
      <c r="E30">
        <v>18</v>
      </c>
      <c r="F30">
        <v>501010</v>
      </c>
      <c r="G30" s="1">
        <v>-346.83</v>
      </c>
      <c r="H30">
        <v>809808</v>
      </c>
      <c r="J30" s="18"/>
      <c r="K30" s="18"/>
      <c r="L30" s="14"/>
      <c r="N30" s="14"/>
    </row>
    <row r="31" spans="1:14" x14ac:dyDescent="0.25">
      <c r="A31" s="4"/>
      <c r="B31" s="14"/>
      <c r="C31" s="17" t="str">
        <f t="shared" si="0"/>
        <v>18.501010.-31904.809809...</v>
      </c>
      <c r="D31" s="14"/>
      <c r="E31">
        <v>18</v>
      </c>
      <c r="F31">
        <v>501010</v>
      </c>
      <c r="G31" s="1">
        <v>-319.04000000000002</v>
      </c>
      <c r="H31">
        <v>809809</v>
      </c>
      <c r="J31" s="18"/>
      <c r="K31" s="18"/>
      <c r="L31" s="14"/>
      <c r="N31" s="14"/>
    </row>
    <row r="32" spans="1:14" x14ac:dyDescent="0.25">
      <c r="A32" s="4"/>
      <c r="B32" s="14"/>
      <c r="C32" s="17" t="str">
        <f t="shared" si="0"/>
        <v>18.501010.-27707.809810...</v>
      </c>
      <c r="D32" s="14"/>
      <c r="E32">
        <v>18</v>
      </c>
      <c r="F32">
        <v>501010</v>
      </c>
      <c r="G32" s="1">
        <v>-277.07</v>
      </c>
      <c r="H32">
        <v>809810</v>
      </c>
      <c r="J32" s="18"/>
      <c r="K32" s="18"/>
      <c r="L32" s="14"/>
      <c r="N32" s="14"/>
    </row>
    <row r="33" spans="1:14" x14ac:dyDescent="0.25">
      <c r="A33" s="4"/>
      <c r="B33" s="14"/>
      <c r="C33" s="17" t="str">
        <f t="shared" si="0"/>
        <v>18.501010.-10271.809814...</v>
      </c>
      <c r="D33" s="14"/>
      <c r="E33">
        <v>18</v>
      </c>
      <c r="F33">
        <v>501010</v>
      </c>
      <c r="G33" s="1">
        <v>-102.71</v>
      </c>
      <c r="H33">
        <v>809814</v>
      </c>
      <c r="J33" s="18"/>
      <c r="K33" s="18"/>
      <c r="L33" s="14"/>
      <c r="N33" s="14"/>
    </row>
    <row r="34" spans="1:14" x14ac:dyDescent="0.25">
      <c r="A34" s="4"/>
      <c r="B34" s="14"/>
      <c r="C34" s="17" t="str">
        <f t="shared" si="0"/>
        <v>18.501010.-9329.809815...</v>
      </c>
      <c r="D34" s="14"/>
      <c r="E34">
        <v>18</v>
      </c>
      <c r="F34">
        <v>501010</v>
      </c>
      <c r="G34" s="1">
        <v>-93.29</v>
      </c>
      <c r="H34">
        <v>809815</v>
      </c>
      <c r="J34" s="18"/>
      <c r="K34" s="18"/>
      <c r="L34" s="14"/>
      <c r="N34" s="14"/>
    </row>
    <row r="35" spans="1:14" x14ac:dyDescent="0.25">
      <c r="A35" s="4"/>
      <c r="B35" s="14"/>
      <c r="C35" s="17" t="str">
        <f t="shared" si="0"/>
        <v>18.501010.-2000.809818...</v>
      </c>
      <c r="D35" s="14"/>
      <c r="E35">
        <v>18</v>
      </c>
      <c r="F35">
        <v>501010</v>
      </c>
      <c r="G35" s="1">
        <v>-20</v>
      </c>
      <c r="H35">
        <v>809818</v>
      </c>
      <c r="J35" s="18"/>
      <c r="K35" s="18"/>
      <c r="L35" s="14"/>
      <c r="N35" s="14"/>
    </row>
    <row r="36" spans="1:14" x14ac:dyDescent="0.25">
      <c r="A36" s="4"/>
      <c r="B36" s="14"/>
      <c r="C36" s="17" t="str">
        <f t="shared" si="0"/>
        <v>18.501010.-138486.809819...</v>
      </c>
      <c r="D36" s="14"/>
      <c r="E36">
        <v>18</v>
      </c>
      <c r="F36">
        <v>501010</v>
      </c>
      <c r="G36" s="1">
        <v>-1384.86</v>
      </c>
      <c r="H36">
        <v>809819</v>
      </c>
      <c r="J36" s="18"/>
      <c r="K36" s="18"/>
      <c r="L36" s="14"/>
      <c r="N36" s="14"/>
    </row>
    <row r="37" spans="1:14" x14ac:dyDescent="0.25">
      <c r="A37" s="4"/>
      <c r="B37" s="14"/>
      <c r="C37" s="17" t="str">
        <f t="shared" si="0"/>
        <v>18.501010.-10897.809820...</v>
      </c>
      <c r="D37" s="14"/>
      <c r="E37">
        <v>18</v>
      </c>
      <c r="F37">
        <v>501010</v>
      </c>
      <c r="G37" s="1">
        <v>-108.97</v>
      </c>
      <c r="H37">
        <v>809820</v>
      </c>
      <c r="J37" s="18"/>
      <c r="K37" s="18"/>
      <c r="L37" s="14"/>
      <c r="N37" s="14"/>
    </row>
    <row r="38" spans="1:14" x14ac:dyDescent="0.25">
      <c r="A38" s="4"/>
      <c r="B38" s="14"/>
      <c r="C38" s="17" t="str">
        <f t="shared" si="0"/>
        <v>18.501010.-13995.809821...</v>
      </c>
      <c r="D38" s="14"/>
      <c r="E38">
        <v>18</v>
      </c>
      <c r="F38">
        <v>501010</v>
      </c>
      <c r="G38" s="1">
        <v>-139.94999999999999</v>
      </c>
      <c r="H38">
        <v>809821</v>
      </c>
      <c r="J38" s="18"/>
      <c r="K38" s="18"/>
      <c r="L38" s="14"/>
      <c r="N38" s="14"/>
    </row>
    <row r="39" spans="1:14" x14ac:dyDescent="0.25">
      <c r="A39" s="4"/>
      <c r="B39" s="14"/>
      <c r="C39" s="17" t="str">
        <f t="shared" si="0"/>
        <v>18.501010.-21627.809822...</v>
      </c>
      <c r="D39" s="14"/>
      <c r="E39">
        <v>18</v>
      </c>
      <c r="F39">
        <v>501010</v>
      </c>
      <c r="G39" s="1">
        <v>-216.27</v>
      </c>
      <c r="H39">
        <v>809822</v>
      </c>
      <c r="J39" s="18"/>
      <c r="K39" s="18"/>
      <c r="L39" s="14"/>
      <c r="N39" s="14"/>
    </row>
    <row r="40" spans="1:14" x14ac:dyDescent="0.25">
      <c r="A40" s="4"/>
      <c r="B40" s="14"/>
      <c r="C40" s="17" t="str">
        <f t="shared" si="0"/>
        <v>18.501010.-84140.809825...</v>
      </c>
      <c r="D40" s="14"/>
      <c r="E40">
        <v>18</v>
      </c>
      <c r="F40">
        <v>501010</v>
      </c>
      <c r="G40" s="1">
        <v>-841.4</v>
      </c>
      <c r="H40">
        <v>809825</v>
      </c>
      <c r="J40" s="18"/>
      <c r="K40" s="18"/>
      <c r="L40" s="14"/>
      <c r="N40" s="14"/>
    </row>
    <row r="41" spans="1:14" x14ac:dyDescent="0.25">
      <c r="A41" s="4"/>
      <c r="B41" s="14"/>
      <c r="C41" s="17" t="str">
        <f t="shared" si="0"/>
        <v>18.501010.-2000.809828...</v>
      </c>
      <c r="D41" s="14"/>
      <c r="E41">
        <v>18</v>
      </c>
      <c r="F41">
        <v>501010</v>
      </c>
      <c r="G41" s="1">
        <v>-20</v>
      </c>
      <c r="H41">
        <v>809828</v>
      </c>
      <c r="J41" s="18"/>
      <c r="K41" s="18"/>
      <c r="L41" s="14"/>
      <c r="N41" s="14"/>
    </row>
    <row r="42" spans="1:14" x14ac:dyDescent="0.25">
      <c r="A42" s="4"/>
      <c r="B42" s="14"/>
      <c r="C42" s="17" t="str">
        <f t="shared" si="0"/>
        <v>18.501010.-45378.809829...</v>
      </c>
      <c r="D42" s="14"/>
      <c r="E42">
        <v>18</v>
      </c>
      <c r="F42">
        <v>501010</v>
      </c>
      <c r="G42" s="1">
        <v>-453.78</v>
      </c>
      <c r="H42">
        <v>809829</v>
      </c>
      <c r="J42" s="18"/>
      <c r="K42" s="18"/>
      <c r="L42" s="14"/>
      <c r="N42" s="14"/>
    </row>
    <row r="43" spans="1:14" x14ac:dyDescent="0.25">
      <c r="A43" s="4"/>
      <c r="B43" s="14"/>
      <c r="C43" s="17" t="str">
        <f t="shared" si="0"/>
        <v>18.501010.-17810.809830...</v>
      </c>
      <c r="D43" s="14"/>
      <c r="E43">
        <v>18</v>
      </c>
      <c r="F43">
        <v>501010</v>
      </c>
      <c r="G43" s="1">
        <v>-178.1</v>
      </c>
      <c r="H43">
        <v>809830</v>
      </c>
      <c r="J43" s="18"/>
      <c r="K43" s="18"/>
      <c r="L43" s="14"/>
      <c r="N43" s="14"/>
    </row>
    <row r="44" spans="1:14" x14ac:dyDescent="0.25">
      <c r="A44" s="4"/>
      <c r="B44" s="14"/>
      <c r="C44" s="17" t="str">
        <f t="shared" si="0"/>
        <v>18.501010.-2000.809831...</v>
      </c>
      <c r="D44" s="14"/>
      <c r="E44">
        <v>18</v>
      </c>
      <c r="F44">
        <v>501010</v>
      </c>
      <c r="G44" s="1">
        <v>-20</v>
      </c>
      <c r="H44">
        <v>809831</v>
      </c>
      <c r="J44" s="18"/>
      <c r="K44" s="18"/>
      <c r="L44" s="14"/>
      <c r="N44" s="14"/>
    </row>
    <row r="45" spans="1:14" x14ac:dyDescent="0.25">
      <c r="A45" s="4"/>
      <c r="B45" s="14"/>
      <c r="C45" s="17" t="str">
        <f t="shared" si="0"/>
        <v>18.501010.-11557.809832...</v>
      </c>
      <c r="D45" s="14"/>
      <c r="E45">
        <v>18</v>
      </c>
      <c r="F45">
        <v>501010</v>
      </c>
      <c r="G45" s="1">
        <v>-115.57</v>
      </c>
      <c r="H45">
        <v>809832</v>
      </c>
      <c r="J45" s="18"/>
      <c r="K45" s="18"/>
      <c r="L45" s="14"/>
      <c r="N45" s="14"/>
    </row>
    <row r="46" spans="1:14" x14ac:dyDescent="0.25">
      <c r="A46" s="4"/>
      <c r="B46" s="14"/>
      <c r="C46" s="17" t="str">
        <f t="shared" si="0"/>
        <v>18.501010.-34832.809833...</v>
      </c>
      <c r="D46" s="14"/>
      <c r="E46">
        <v>18</v>
      </c>
      <c r="F46">
        <v>501010</v>
      </c>
      <c r="G46" s="1">
        <v>-348.32</v>
      </c>
      <c r="H46">
        <v>809833</v>
      </c>
      <c r="J46" s="18"/>
      <c r="K46" s="18"/>
      <c r="L46" s="14"/>
      <c r="N46" s="14"/>
    </row>
    <row r="47" spans="1:14" x14ac:dyDescent="0.25">
      <c r="A47" s="4"/>
      <c r="B47" s="14"/>
      <c r="C47" s="17" t="str">
        <f t="shared" si="0"/>
        <v>18.501010.-10897.809835...</v>
      </c>
      <c r="D47" s="14"/>
      <c r="E47">
        <v>18</v>
      </c>
      <c r="F47">
        <v>501010</v>
      </c>
      <c r="G47" s="1">
        <v>-108.97</v>
      </c>
      <c r="H47">
        <v>809835</v>
      </c>
      <c r="J47" s="18"/>
      <c r="K47" s="18"/>
      <c r="L47" s="14"/>
      <c r="N47" s="14"/>
    </row>
    <row r="48" spans="1:14" x14ac:dyDescent="0.25">
      <c r="A48" s="4"/>
      <c r="B48" s="14"/>
      <c r="C48" s="17" t="str">
        <f t="shared" si="0"/>
        <v>18.501010.-35838.809836...</v>
      </c>
      <c r="D48" s="14"/>
      <c r="E48">
        <v>18</v>
      </c>
      <c r="F48">
        <v>501010</v>
      </c>
      <c r="G48" s="1">
        <v>-358.38</v>
      </c>
      <c r="H48">
        <v>809836</v>
      </c>
      <c r="J48" s="18"/>
      <c r="K48" s="18"/>
      <c r="L48" s="14"/>
      <c r="N48" s="14"/>
    </row>
    <row r="49" spans="1:14" x14ac:dyDescent="0.25">
      <c r="A49" s="4"/>
      <c r="B49" s="14"/>
      <c r="C49" s="17" t="str">
        <f t="shared" si="0"/>
        <v>18.501010.-54993.809837...</v>
      </c>
      <c r="D49" s="14"/>
      <c r="E49">
        <v>18</v>
      </c>
      <c r="F49">
        <v>501010</v>
      </c>
      <c r="G49" s="1">
        <v>-549.92999999999995</v>
      </c>
      <c r="H49">
        <v>809837</v>
      </c>
      <c r="J49" s="18"/>
      <c r="K49" s="18"/>
      <c r="L49" s="14"/>
      <c r="N49" s="14"/>
    </row>
    <row r="50" spans="1:14" x14ac:dyDescent="0.25">
      <c r="A50" s="4"/>
      <c r="B50" s="14"/>
      <c r="C50" s="17" t="str">
        <f t="shared" si="0"/>
        <v>18.501010.-2000.809838...</v>
      </c>
      <c r="D50" s="14"/>
      <c r="E50">
        <v>18</v>
      </c>
      <c r="F50">
        <v>501010</v>
      </c>
      <c r="G50" s="1">
        <v>-20</v>
      </c>
      <c r="H50">
        <v>809838</v>
      </c>
      <c r="J50" s="18"/>
      <c r="K50" s="18"/>
      <c r="L50" s="14"/>
      <c r="N50" s="14"/>
    </row>
    <row r="51" spans="1:14" x14ac:dyDescent="0.25">
      <c r="A51" s="4"/>
      <c r="B51" s="14"/>
      <c r="C51" s="17" t="str">
        <f t="shared" si="0"/>
        <v>18.501010.-40513.809840...</v>
      </c>
      <c r="D51" s="14"/>
      <c r="E51">
        <v>18</v>
      </c>
      <c r="F51">
        <v>501010</v>
      </c>
      <c r="G51" s="1">
        <v>-405.13</v>
      </c>
      <c r="H51">
        <v>809840</v>
      </c>
      <c r="J51" s="18"/>
      <c r="K51" s="18"/>
      <c r="L51" s="14"/>
      <c r="N51" s="14"/>
    </row>
    <row r="52" spans="1:14" x14ac:dyDescent="0.25">
      <c r="A52" s="4"/>
      <c r="B52" s="14"/>
      <c r="C52" s="17" t="str">
        <f t="shared" si="0"/>
        <v>18.501010.-7905.809844...</v>
      </c>
      <c r="D52" s="14"/>
      <c r="E52">
        <v>18</v>
      </c>
      <c r="F52">
        <v>501010</v>
      </c>
      <c r="G52" s="1">
        <v>-79.05</v>
      </c>
      <c r="H52">
        <v>809844</v>
      </c>
      <c r="J52" s="18"/>
      <c r="K52" s="18"/>
      <c r="L52" s="14"/>
      <c r="N52" s="14"/>
    </row>
    <row r="53" spans="1:14" x14ac:dyDescent="0.25">
      <c r="A53" s="4"/>
      <c r="B53" s="14"/>
      <c r="C53" s="17" t="str">
        <f t="shared" si="0"/>
        <v>18.501010.-13995.809847...</v>
      </c>
      <c r="D53" s="14"/>
      <c r="E53">
        <v>18</v>
      </c>
      <c r="F53">
        <v>501010</v>
      </c>
      <c r="G53" s="1">
        <v>-139.94999999999999</v>
      </c>
      <c r="H53">
        <v>809847</v>
      </c>
      <c r="J53" s="18"/>
      <c r="K53" s="18"/>
      <c r="L53" s="14"/>
      <c r="N53" s="14"/>
    </row>
    <row r="54" spans="1:14" x14ac:dyDescent="0.25">
      <c r="A54" s="4"/>
      <c r="B54" s="14"/>
      <c r="C54" s="17" t="str">
        <f t="shared" si="0"/>
        <v>18.501010.-193803.809851...</v>
      </c>
      <c r="D54" s="14"/>
      <c r="E54">
        <v>18</v>
      </c>
      <c r="F54">
        <v>501010</v>
      </c>
      <c r="G54" s="1">
        <v>-1938.03</v>
      </c>
      <c r="H54">
        <v>809851</v>
      </c>
      <c r="J54" s="18"/>
      <c r="K54" s="18"/>
      <c r="L54" s="14"/>
      <c r="N54" s="14"/>
    </row>
    <row r="55" spans="1:14" x14ac:dyDescent="0.25">
      <c r="A55" s="4"/>
      <c r="B55" s="14"/>
      <c r="C55" s="17" t="str">
        <f t="shared" si="0"/>
        <v>18.501010.-8698.809852...</v>
      </c>
      <c r="D55" s="14"/>
      <c r="E55">
        <v>18</v>
      </c>
      <c r="F55">
        <v>501010</v>
      </c>
      <c r="G55" s="1">
        <v>-86.98</v>
      </c>
      <c r="H55">
        <v>809852</v>
      </c>
      <c r="J55" s="18"/>
      <c r="K55" s="18"/>
      <c r="L55" s="14"/>
      <c r="N55" s="14"/>
    </row>
    <row r="56" spans="1:14" x14ac:dyDescent="0.25">
      <c r="A56" s="4"/>
      <c r="B56" s="14"/>
      <c r="C56" s="17" t="str">
        <f t="shared" si="0"/>
        <v>18.501010.-48794.809853...</v>
      </c>
      <c r="D56" s="14"/>
      <c r="E56">
        <v>18</v>
      </c>
      <c r="F56">
        <v>501010</v>
      </c>
      <c r="G56" s="1">
        <v>-487.94</v>
      </c>
      <c r="H56">
        <v>809853</v>
      </c>
      <c r="J56" s="18"/>
      <c r="K56" s="18"/>
      <c r="L56" s="14"/>
      <c r="N56" s="14"/>
    </row>
    <row r="57" spans="1:14" x14ac:dyDescent="0.25">
      <c r="A57" s="4"/>
      <c r="B57" s="14"/>
      <c r="C57" s="17" t="str">
        <f t="shared" si="0"/>
        <v>18.501010.-28130.809856...</v>
      </c>
      <c r="D57" s="14"/>
      <c r="E57">
        <v>18</v>
      </c>
      <c r="F57">
        <v>501010</v>
      </c>
      <c r="G57" s="1">
        <v>-281.3</v>
      </c>
      <c r="H57">
        <v>809856</v>
      </c>
      <c r="J57" s="18"/>
      <c r="K57" s="18"/>
      <c r="L57" s="14"/>
      <c r="N57" s="14"/>
    </row>
    <row r="58" spans="1:14" x14ac:dyDescent="0.25">
      <c r="A58" s="4"/>
      <c r="B58" s="14"/>
      <c r="C58" s="17" t="str">
        <f t="shared" si="0"/>
        <v>18.501010.-52891.809857...</v>
      </c>
      <c r="D58" s="14"/>
      <c r="E58">
        <v>18</v>
      </c>
      <c r="F58">
        <v>501010</v>
      </c>
      <c r="G58" s="1">
        <v>-528.91</v>
      </c>
      <c r="H58">
        <v>809857</v>
      </c>
      <c r="J58" s="18"/>
      <c r="K58" s="18"/>
      <c r="L58" s="14"/>
      <c r="N58" s="14"/>
    </row>
    <row r="59" spans="1:14" x14ac:dyDescent="0.25">
      <c r="A59" s="4"/>
      <c r="B59" s="14"/>
      <c r="C59" s="17" t="str">
        <f t="shared" si="0"/>
        <v>18.501010.-50648.809858...</v>
      </c>
      <c r="D59" s="14"/>
      <c r="E59">
        <v>18</v>
      </c>
      <c r="F59">
        <v>501010</v>
      </c>
      <c r="G59" s="1">
        <v>-506.48</v>
      </c>
      <c r="H59">
        <v>809858</v>
      </c>
      <c r="J59" s="18"/>
      <c r="K59" s="18"/>
      <c r="L59" s="14"/>
      <c r="N59" s="14"/>
    </row>
    <row r="60" spans="1:14" x14ac:dyDescent="0.25">
      <c r="A60" s="4"/>
      <c r="B60" s="14"/>
      <c r="C60" s="17" t="str">
        <f t="shared" si="0"/>
        <v>18.501010.-10897.809864...</v>
      </c>
      <c r="D60" s="14"/>
      <c r="E60">
        <v>18</v>
      </c>
      <c r="F60">
        <v>501010</v>
      </c>
      <c r="G60" s="1">
        <v>-108.97</v>
      </c>
      <c r="H60">
        <v>809864</v>
      </c>
      <c r="J60" s="18"/>
      <c r="K60" s="18"/>
      <c r="L60" s="14"/>
      <c r="N60" s="14"/>
    </row>
    <row r="61" spans="1:14" x14ac:dyDescent="0.25">
      <c r="A61" s="4"/>
      <c r="B61" s="14"/>
      <c r="C61" s="17" t="str">
        <f t="shared" si="0"/>
        <v>18.501010.-30039.809868...</v>
      </c>
      <c r="D61" s="14"/>
      <c r="E61">
        <v>18</v>
      </c>
      <c r="F61">
        <v>501010</v>
      </c>
      <c r="G61" s="1">
        <v>-300.39</v>
      </c>
      <c r="H61">
        <v>809868</v>
      </c>
      <c r="J61" s="18"/>
      <c r="K61" s="18"/>
      <c r="L61" s="14"/>
      <c r="N61" s="14"/>
    </row>
    <row r="62" spans="1:14" x14ac:dyDescent="0.25">
      <c r="A62" s="4"/>
      <c r="B62" s="14"/>
      <c r="C62" s="17" t="str">
        <f t="shared" si="0"/>
        <v>18.501010.-12361.809871...</v>
      </c>
      <c r="D62" s="14"/>
      <c r="E62">
        <v>18</v>
      </c>
      <c r="F62">
        <v>501010</v>
      </c>
      <c r="G62" s="1">
        <v>-123.61</v>
      </c>
      <c r="H62">
        <v>809871</v>
      </c>
      <c r="J62" s="18"/>
      <c r="K62" s="18"/>
      <c r="L62" s="14"/>
      <c r="N62" s="14"/>
    </row>
    <row r="63" spans="1:14" x14ac:dyDescent="0.25">
      <c r="A63" s="4"/>
      <c r="B63" s="14"/>
      <c r="C63" s="17" t="str">
        <f t="shared" si="0"/>
        <v>18.501010.-10897.809873...</v>
      </c>
      <c r="D63" s="14"/>
      <c r="E63">
        <v>18</v>
      </c>
      <c r="F63">
        <v>501010</v>
      </c>
      <c r="G63" s="1">
        <v>-108.97</v>
      </c>
      <c r="H63">
        <v>809873</v>
      </c>
      <c r="J63" s="18"/>
      <c r="K63" s="18"/>
      <c r="L63" s="14"/>
      <c r="N63" s="14"/>
    </row>
    <row r="64" spans="1:14" x14ac:dyDescent="0.25">
      <c r="A64" s="4"/>
      <c r="B64" s="14"/>
      <c r="C64" s="17" t="str">
        <f t="shared" si="0"/>
        <v>18.501010.-12897.809874...</v>
      </c>
      <c r="D64" s="14"/>
      <c r="E64">
        <v>18</v>
      </c>
      <c r="F64">
        <v>501010</v>
      </c>
      <c r="G64" s="1">
        <v>-128.97</v>
      </c>
      <c r="H64">
        <v>809874</v>
      </c>
      <c r="J64" s="18"/>
      <c r="K64" s="18"/>
      <c r="L64" s="14"/>
      <c r="N64" s="14"/>
    </row>
    <row r="65" spans="1:14" x14ac:dyDescent="0.25">
      <c r="A65" s="4"/>
      <c r="B65" s="14"/>
      <c r="C65" s="17" t="str">
        <f t="shared" si="0"/>
        <v>18.501010.-8067.809875...</v>
      </c>
      <c r="D65" s="14"/>
      <c r="E65">
        <v>18</v>
      </c>
      <c r="F65">
        <v>501010</v>
      </c>
      <c r="G65" s="1">
        <v>-80.67</v>
      </c>
      <c r="H65">
        <v>809875</v>
      </c>
      <c r="J65" s="18"/>
      <c r="K65" s="18"/>
      <c r="L65" s="14"/>
      <c r="N65" s="14"/>
    </row>
    <row r="66" spans="1:14" x14ac:dyDescent="0.25">
      <c r="A66" s="4"/>
      <c r="B66" s="14"/>
      <c r="C66" s="17" t="str">
        <f t="shared" si="0"/>
        <v>18.501010.-21011.809876...</v>
      </c>
      <c r="D66" s="14"/>
      <c r="E66">
        <v>18</v>
      </c>
      <c r="F66">
        <v>501010</v>
      </c>
      <c r="G66" s="1">
        <v>-210.11</v>
      </c>
      <c r="H66">
        <v>809876</v>
      </c>
      <c r="J66" s="18"/>
      <c r="K66" s="18"/>
      <c r="L66" s="14"/>
      <c r="N66" s="14"/>
    </row>
    <row r="67" spans="1:14" x14ac:dyDescent="0.25">
      <c r="A67" s="4"/>
      <c r="B67" s="14"/>
      <c r="C67" s="17" t="str">
        <f t="shared" si="0"/>
        <v>18.501010.11000.787969...</v>
      </c>
      <c r="D67" s="14"/>
      <c r="E67">
        <v>18</v>
      </c>
      <c r="F67">
        <v>501010</v>
      </c>
      <c r="G67" s="1">
        <v>110</v>
      </c>
      <c r="H67">
        <v>787969</v>
      </c>
      <c r="J67" s="18"/>
      <c r="K67" s="18"/>
      <c r="L67" s="14"/>
      <c r="N67" s="14"/>
    </row>
    <row r="68" spans="1:14" x14ac:dyDescent="0.25">
      <c r="A68" s="4"/>
      <c r="B68" s="14"/>
      <c r="C68" s="17" t="str">
        <f t="shared" si="0"/>
        <v>18.501010.-50000.788031...</v>
      </c>
      <c r="D68" s="14"/>
      <c r="E68">
        <v>18</v>
      </c>
      <c r="F68">
        <v>501010</v>
      </c>
      <c r="G68" s="1">
        <v>-500</v>
      </c>
      <c r="H68">
        <v>788031</v>
      </c>
      <c r="J68" s="18"/>
      <c r="K68" s="18"/>
      <c r="L68" s="14"/>
      <c r="N68" s="14"/>
    </row>
    <row r="69" spans="1:14" x14ac:dyDescent="0.25">
      <c r="A69" s="4"/>
      <c r="B69" s="14"/>
      <c r="C69" s="17" t="str">
        <f t="shared" si="0"/>
        <v>18.501010.-50000.204078.Cash..</v>
      </c>
      <c r="D69" s="14"/>
      <c r="E69">
        <v>18</v>
      </c>
      <c r="F69">
        <v>501010</v>
      </c>
      <c r="G69" s="1">
        <v>-500</v>
      </c>
      <c r="H69">
        <v>204078</v>
      </c>
      <c r="I69" t="s">
        <v>81</v>
      </c>
      <c r="J69" s="18"/>
      <c r="K69" s="18"/>
      <c r="L69" s="14"/>
      <c r="N69" s="14"/>
    </row>
    <row r="70" spans="1:14" x14ac:dyDescent="0.25">
      <c r="A70" s="4"/>
      <c r="B70" s="14"/>
      <c r="C70" s="17" t="str">
        <f t="shared" si="0"/>
        <v>18.501010.-837.347157.Cash..</v>
      </c>
      <c r="D70" s="14"/>
      <c r="E70">
        <v>18</v>
      </c>
      <c r="F70">
        <v>501010</v>
      </c>
      <c r="G70" s="1">
        <v>-8.3699999999999992</v>
      </c>
      <c r="H70">
        <v>347157</v>
      </c>
      <c r="I70" t="s">
        <v>81</v>
      </c>
      <c r="J70" s="18"/>
      <c r="K70" s="18"/>
      <c r="L70" s="14"/>
      <c r="N70" s="14"/>
    </row>
    <row r="71" spans="1:14" x14ac:dyDescent="0.25">
      <c r="A71" s="4"/>
      <c r="B71" s="14"/>
      <c r="C71" s="17" t="str">
        <f t="shared" si="0"/>
        <v>18.501010.-11999.809452.Cash..</v>
      </c>
      <c r="D71" s="14"/>
      <c r="E71">
        <v>18</v>
      </c>
      <c r="F71">
        <v>501010</v>
      </c>
      <c r="G71" s="1">
        <v>-119.99</v>
      </c>
      <c r="H71">
        <v>809452</v>
      </c>
      <c r="I71" t="s">
        <v>81</v>
      </c>
      <c r="J71" s="18"/>
      <c r="K71" s="18"/>
      <c r="L71" s="14"/>
      <c r="N71" s="14"/>
    </row>
    <row r="72" spans="1:14" x14ac:dyDescent="0.25">
      <c r="A72" s="4"/>
      <c r="B72" s="14"/>
      <c r="C72" s="17" t="str">
        <f t="shared" si="0"/>
        <v>18.501010.-2000.809805.Cash..</v>
      </c>
      <c r="D72" s="14"/>
      <c r="E72">
        <v>18</v>
      </c>
      <c r="F72">
        <v>501010</v>
      </c>
      <c r="G72" s="1">
        <v>-20</v>
      </c>
      <c r="H72">
        <v>809805</v>
      </c>
      <c r="I72" t="s">
        <v>81</v>
      </c>
      <c r="J72" s="18"/>
      <c r="K72" s="18"/>
      <c r="L72" s="14"/>
      <c r="N72" s="14"/>
    </row>
    <row r="73" spans="1:14" x14ac:dyDescent="0.25">
      <c r="A73" s="4"/>
      <c r="B73" s="14"/>
      <c r="C73" s="17" t="str">
        <f t="shared" si="0"/>
        <v>18.501010.-8067.809827.Cash..</v>
      </c>
      <c r="D73" s="14"/>
      <c r="E73">
        <v>18</v>
      </c>
      <c r="F73">
        <v>501010</v>
      </c>
      <c r="G73" s="1">
        <v>-80.67</v>
      </c>
      <c r="H73">
        <v>809827</v>
      </c>
      <c r="I73" t="s">
        <v>81</v>
      </c>
      <c r="J73" s="18"/>
      <c r="K73" s="18"/>
      <c r="L73" s="14"/>
      <c r="N73" s="14"/>
    </row>
    <row r="74" spans="1:14" x14ac:dyDescent="0.25">
      <c r="A74" s="4"/>
      <c r="B74" s="14"/>
      <c r="C74" s="17" t="str">
        <f t="shared" si="0"/>
        <v>18.501010.-2000.809849.Cash..</v>
      </c>
      <c r="D74" s="14"/>
      <c r="E74">
        <v>18</v>
      </c>
      <c r="F74">
        <v>501010</v>
      </c>
      <c r="G74" s="1">
        <v>-20</v>
      </c>
      <c r="H74">
        <v>809849</v>
      </c>
      <c r="I74" t="s">
        <v>81</v>
      </c>
      <c r="J74" s="18"/>
      <c r="K74" s="18"/>
      <c r="L74" s="14"/>
      <c r="N74" s="14"/>
    </row>
    <row r="75" spans="1:14" x14ac:dyDescent="0.25">
      <c r="A75" s="4"/>
      <c r="B75" s="14"/>
      <c r="C75" s="17" t="str">
        <f t="shared" ref="C75:C138" si="1">IF(G75=0,"",(E75&amp;"."&amp;F75&amp;"."&amp;G75*100&amp;"."&amp;H75&amp;"."&amp;I75&amp;"."&amp;J75&amp;"."&amp;K75))</f>
        <v>18.501010.-63043.347089.Check..</v>
      </c>
      <c r="D75" s="14"/>
      <c r="E75">
        <v>18</v>
      </c>
      <c r="F75">
        <v>501010</v>
      </c>
      <c r="G75" s="1">
        <v>-630.42999999999995</v>
      </c>
      <c r="H75">
        <v>347089</v>
      </c>
      <c r="I75" t="s">
        <v>82</v>
      </c>
      <c r="J75" s="18"/>
      <c r="K75" s="18"/>
      <c r="L75" s="14"/>
      <c r="N75" s="14"/>
    </row>
    <row r="76" spans="1:14" x14ac:dyDescent="0.25">
      <c r="A76" s="4"/>
      <c r="B76" s="14"/>
      <c r="C76" s="17" t="str">
        <f t="shared" si="1"/>
        <v>18.501010.-1822.347091.Check..</v>
      </c>
      <c r="D76" s="14"/>
      <c r="E76">
        <v>18</v>
      </c>
      <c r="F76">
        <v>501010</v>
      </c>
      <c r="G76" s="1">
        <v>-18.22</v>
      </c>
      <c r="H76">
        <v>347091</v>
      </c>
      <c r="I76" t="s">
        <v>82</v>
      </c>
      <c r="J76" s="18"/>
      <c r="K76" s="18"/>
      <c r="L76" s="14"/>
      <c r="N76" s="14"/>
    </row>
    <row r="77" spans="1:14" x14ac:dyDescent="0.25">
      <c r="A77" s="4"/>
      <c r="B77" s="14"/>
      <c r="C77" s="17" t="str">
        <f t="shared" si="1"/>
        <v>18.501010.-136579.347127.Check..</v>
      </c>
      <c r="D77" s="14"/>
      <c r="E77">
        <v>18</v>
      </c>
      <c r="F77">
        <v>501010</v>
      </c>
      <c r="G77" s="1">
        <v>-1365.79</v>
      </c>
      <c r="H77">
        <v>347127</v>
      </c>
      <c r="I77" t="s">
        <v>82</v>
      </c>
      <c r="J77" s="18"/>
      <c r="K77" s="18"/>
      <c r="L77" s="14"/>
      <c r="N77" s="14"/>
    </row>
    <row r="78" spans="1:14" x14ac:dyDescent="0.25">
      <c r="A78" s="4"/>
      <c r="B78" s="14"/>
      <c r="C78" s="17" t="str">
        <f t="shared" si="1"/>
        <v>18.501010.-4663.347153.Check..</v>
      </c>
      <c r="D78" s="14"/>
      <c r="E78">
        <v>18</v>
      </c>
      <c r="F78">
        <v>501010</v>
      </c>
      <c r="G78" s="1">
        <v>-46.63</v>
      </c>
      <c r="H78">
        <v>347153</v>
      </c>
      <c r="I78" t="s">
        <v>82</v>
      </c>
      <c r="J78" s="18"/>
      <c r="K78" s="18"/>
      <c r="L78" s="14"/>
      <c r="N78" s="14"/>
    </row>
    <row r="79" spans="1:14" x14ac:dyDescent="0.25">
      <c r="A79" s="4"/>
      <c r="B79" s="14"/>
      <c r="C79" s="17" t="str">
        <f t="shared" si="1"/>
        <v>18.501010.-3522.347156.Check..</v>
      </c>
      <c r="D79" s="14"/>
      <c r="E79">
        <v>18</v>
      </c>
      <c r="F79">
        <v>501010</v>
      </c>
      <c r="G79" s="1">
        <v>-35.22</v>
      </c>
      <c r="H79">
        <v>347156</v>
      </c>
      <c r="I79" t="s">
        <v>82</v>
      </c>
      <c r="J79" s="18"/>
      <c r="K79" s="18"/>
      <c r="L79" s="14"/>
      <c r="N79" s="14"/>
    </row>
    <row r="80" spans="1:14" x14ac:dyDescent="0.25">
      <c r="A80" s="4"/>
      <c r="B80" s="14"/>
      <c r="C80" s="17" t="str">
        <f t="shared" si="1"/>
        <v/>
      </c>
      <c r="D80" s="14"/>
      <c r="G80" s="1"/>
      <c r="J80" s="18"/>
      <c r="K80" s="18"/>
      <c r="L80" s="14"/>
      <c r="N80" s="14"/>
    </row>
    <row r="81" spans="1:14" x14ac:dyDescent="0.25">
      <c r="A81" s="4"/>
      <c r="B81" s="14"/>
      <c r="C81" s="17" t="str">
        <f t="shared" si="1"/>
        <v/>
      </c>
      <c r="D81" s="14"/>
      <c r="G81" s="1"/>
      <c r="J81" s="18"/>
      <c r="K81" s="18"/>
      <c r="L81" s="14"/>
      <c r="N81" s="14"/>
    </row>
    <row r="82" spans="1:14" x14ac:dyDescent="0.25">
      <c r="A82" s="4"/>
      <c r="B82" s="14"/>
      <c r="C82" s="17" t="str">
        <f t="shared" si="1"/>
        <v/>
      </c>
      <c r="D82" s="14"/>
      <c r="G82" s="1"/>
      <c r="J82" s="18"/>
      <c r="K82" s="18"/>
      <c r="L82" s="14"/>
      <c r="N82" s="14"/>
    </row>
    <row r="83" spans="1:14" x14ac:dyDescent="0.25">
      <c r="A83" s="4"/>
      <c r="B83" s="14"/>
      <c r="C83" s="17" t="str">
        <f t="shared" si="1"/>
        <v/>
      </c>
      <c r="D83" s="14"/>
      <c r="G83" s="1"/>
      <c r="J83" s="18"/>
      <c r="K83" s="18"/>
      <c r="L83" s="14"/>
      <c r="N83" s="14"/>
    </row>
    <row r="84" spans="1:14" x14ac:dyDescent="0.25">
      <c r="A84" s="4"/>
      <c r="B84" s="14"/>
      <c r="C84" s="17" t="str">
        <f t="shared" si="1"/>
        <v/>
      </c>
      <c r="D84" s="14"/>
      <c r="G84" s="1"/>
      <c r="J84" s="18"/>
      <c r="K84" s="18"/>
      <c r="L84" s="14"/>
      <c r="N84" s="14"/>
    </row>
    <row r="85" spans="1:14" x14ac:dyDescent="0.25">
      <c r="A85" s="4"/>
      <c r="B85" s="14"/>
      <c r="C85" s="17" t="str">
        <f t="shared" si="1"/>
        <v/>
      </c>
      <c r="D85" s="14"/>
      <c r="G85" s="1"/>
      <c r="J85" s="18"/>
      <c r="K85" s="18"/>
      <c r="L85" s="14"/>
      <c r="N85" s="14"/>
    </row>
    <row r="86" spans="1:14" x14ac:dyDescent="0.25">
      <c r="A86" s="4"/>
      <c r="B86" s="14"/>
      <c r="C86" s="17" t="str">
        <f t="shared" si="1"/>
        <v/>
      </c>
      <c r="D86" s="14"/>
      <c r="G86" s="1"/>
      <c r="J86" s="18"/>
      <c r="K86" s="18"/>
      <c r="L86" s="14"/>
      <c r="N86" s="14"/>
    </row>
    <row r="87" spans="1:14" x14ac:dyDescent="0.25">
      <c r="A87" s="4"/>
      <c r="B87" s="14"/>
      <c r="C87" s="17" t="str">
        <f t="shared" si="1"/>
        <v/>
      </c>
      <c r="D87" s="14"/>
      <c r="G87" s="1"/>
      <c r="J87" s="18"/>
      <c r="K87" s="18"/>
      <c r="L87" s="14"/>
      <c r="N87" s="14"/>
    </row>
    <row r="88" spans="1:14" x14ac:dyDescent="0.25">
      <c r="A88" s="4"/>
      <c r="B88" s="14"/>
      <c r="C88" s="17" t="str">
        <f t="shared" si="1"/>
        <v/>
      </c>
      <c r="D88" s="14"/>
      <c r="G88" s="1"/>
      <c r="J88" s="18"/>
      <c r="K88" s="18"/>
      <c r="L88" s="14"/>
      <c r="N88" s="14"/>
    </row>
    <row r="89" spans="1:14" x14ac:dyDescent="0.25">
      <c r="A89" s="4"/>
      <c r="B89" s="14"/>
      <c r="C89" s="17" t="str">
        <f t="shared" si="1"/>
        <v/>
      </c>
      <c r="D89" s="14"/>
      <c r="G89" s="1"/>
      <c r="J89" s="18"/>
      <c r="K89" s="18"/>
      <c r="L89" s="14"/>
      <c r="N89" s="14"/>
    </row>
    <row r="90" spans="1:14" x14ac:dyDescent="0.25">
      <c r="A90" s="4"/>
      <c r="B90" s="14"/>
      <c r="C90" s="17" t="str">
        <f t="shared" si="1"/>
        <v/>
      </c>
      <c r="D90" s="14"/>
      <c r="G90" s="1"/>
      <c r="J90" s="18"/>
      <c r="K90" s="18"/>
      <c r="L90" s="14"/>
      <c r="N90" s="14"/>
    </row>
    <row r="91" spans="1:14" x14ac:dyDescent="0.25">
      <c r="A91" s="4"/>
      <c r="B91" s="14"/>
      <c r="C91" s="17" t="str">
        <f t="shared" si="1"/>
        <v/>
      </c>
      <c r="D91" s="14"/>
      <c r="G91" s="1"/>
      <c r="J91" s="18"/>
      <c r="K91" s="18"/>
      <c r="L91" s="14"/>
      <c r="N91" s="14"/>
    </row>
    <row r="92" spans="1:14" x14ac:dyDescent="0.25">
      <c r="A92" s="4"/>
      <c r="B92" s="14"/>
      <c r="C92" s="17" t="str">
        <f t="shared" si="1"/>
        <v/>
      </c>
      <c r="D92" s="14"/>
      <c r="G92" s="1"/>
      <c r="J92" s="18"/>
      <c r="K92" s="18"/>
      <c r="L92" s="14"/>
      <c r="N92" s="14"/>
    </row>
    <row r="93" spans="1:14" x14ac:dyDescent="0.25">
      <c r="A93" s="4"/>
      <c r="B93" s="14"/>
      <c r="C93" s="17" t="str">
        <f t="shared" si="1"/>
        <v/>
      </c>
      <c r="D93" s="14"/>
      <c r="G93" s="1"/>
      <c r="J93" s="18"/>
      <c r="K93" s="18"/>
      <c r="L93" s="14"/>
      <c r="N93" s="14"/>
    </row>
    <row r="94" spans="1:14" x14ac:dyDescent="0.25">
      <c r="A94" s="4"/>
      <c r="B94" s="14"/>
      <c r="C94" s="17" t="str">
        <f t="shared" si="1"/>
        <v/>
      </c>
      <c r="D94" s="14"/>
      <c r="G94" s="1"/>
      <c r="J94" s="18"/>
      <c r="K94" s="18"/>
      <c r="L94" s="14"/>
      <c r="N94" s="14"/>
    </row>
    <row r="95" spans="1:14" x14ac:dyDescent="0.25">
      <c r="A95" s="4"/>
      <c r="B95" s="14"/>
      <c r="C95" s="17" t="str">
        <f t="shared" si="1"/>
        <v/>
      </c>
      <c r="D95" s="14"/>
      <c r="G95" s="1"/>
      <c r="J95" s="18"/>
      <c r="K95" s="18"/>
      <c r="L95" s="14"/>
      <c r="N95" s="14"/>
    </row>
    <row r="96" spans="1:14" x14ac:dyDescent="0.25">
      <c r="A96" s="4"/>
      <c r="B96" s="14"/>
      <c r="C96" s="17" t="str">
        <f t="shared" si="1"/>
        <v/>
      </c>
      <c r="D96" s="14"/>
      <c r="G96" s="1"/>
      <c r="J96" s="18"/>
      <c r="K96" s="18"/>
      <c r="L96" s="14"/>
      <c r="N96" s="14"/>
    </row>
    <row r="97" spans="1:14" x14ac:dyDescent="0.25">
      <c r="A97" s="4"/>
      <c r="B97" s="14"/>
      <c r="C97" s="17" t="str">
        <f t="shared" si="1"/>
        <v/>
      </c>
      <c r="D97" s="14"/>
      <c r="G97" s="1"/>
      <c r="J97" s="18"/>
      <c r="K97" s="18"/>
      <c r="L97" s="14"/>
      <c r="N97" s="14"/>
    </row>
    <row r="98" spans="1:14" x14ac:dyDescent="0.25">
      <c r="A98" s="4"/>
      <c r="B98" s="14"/>
      <c r="C98" s="17" t="str">
        <f t="shared" si="1"/>
        <v/>
      </c>
      <c r="D98" s="14"/>
      <c r="G98" s="1"/>
      <c r="J98" s="18"/>
      <c r="K98" s="18"/>
      <c r="L98" s="14"/>
      <c r="N98" s="14"/>
    </row>
    <row r="99" spans="1:14" x14ac:dyDescent="0.25">
      <c r="A99" s="4"/>
      <c r="B99" s="14"/>
      <c r="C99" s="17" t="str">
        <f t="shared" si="1"/>
        <v/>
      </c>
      <c r="D99" s="14"/>
      <c r="G99" s="1"/>
      <c r="J99" s="18"/>
      <c r="K99" s="18"/>
      <c r="L99" s="14"/>
      <c r="N99" s="14"/>
    </row>
    <row r="100" spans="1:14" x14ac:dyDescent="0.25">
      <c r="A100" s="4"/>
      <c r="B100" s="14"/>
      <c r="C100" s="17" t="str">
        <f t="shared" si="1"/>
        <v/>
      </c>
      <c r="D100" s="14"/>
      <c r="G100" s="1"/>
      <c r="J100" s="18"/>
      <c r="K100" s="18"/>
      <c r="L100" s="14"/>
      <c r="N100" s="14"/>
    </row>
    <row r="101" spans="1:14" x14ac:dyDescent="0.25">
      <c r="A101" s="4"/>
      <c r="B101" s="14"/>
      <c r="C101" s="17" t="str">
        <f t="shared" si="1"/>
        <v/>
      </c>
      <c r="D101" s="14"/>
      <c r="G101" s="1"/>
      <c r="J101" s="18"/>
      <c r="K101" s="18"/>
      <c r="L101" s="14"/>
      <c r="N101" s="14"/>
    </row>
    <row r="102" spans="1:14" x14ac:dyDescent="0.25">
      <c r="A102" s="4"/>
      <c r="B102" s="14"/>
      <c r="C102" s="17" t="str">
        <f t="shared" si="1"/>
        <v/>
      </c>
      <c r="D102" s="14"/>
      <c r="G102" s="1"/>
      <c r="J102" s="18"/>
      <c r="K102" s="18"/>
      <c r="L102" s="14"/>
      <c r="N102" s="14"/>
    </row>
    <row r="103" spans="1:14" x14ac:dyDescent="0.25">
      <c r="A103" s="4"/>
      <c r="B103" s="14"/>
      <c r="C103" s="17" t="str">
        <f t="shared" si="1"/>
        <v/>
      </c>
      <c r="D103" s="14"/>
      <c r="G103" s="1"/>
      <c r="J103" s="18"/>
      <c r="K103" s="18"/>
      <c r="L103" s="14"/>
      <c r="N103" s="14"/>
    </row>
    <row r="104" spans="1:14" x14ac:dyDescent="0.25">
      <c r="A104" s="4"/>
      <c r="B104" s="14"/>
      <c r="C104" s="17" t="str">
        <f t="shared" si="1"/>
        <v/>
      </c>
      <c r="D104" s="14"/>
      <c r="G104" s="1"/>
      <c r="J104" s="18"/>
      <c r="K104" s="18"/>
      <c r="L104" s="14"/>
      <c r="N104" s="14"/>
    </row>
    <row r="105" spans="1:14" x14ac:dyDescent="0.25">
      <c r="A105" s="4"/>
      <c r="B105" s="14"/>
      <c r="C105" s="17" t="str">
        <f t="shared" si="1"/>
        <v/>
      </c>
      <c r="D105" s="14"/>
      <c r="G105" s="1"/>
      <c r="J105" s="18"/>
      <c r="K105" s="18"/>
      <c r="L105" s="14"/>
      <c r="N105" s="14"/>
    </row>
    <row r="106" spans="1:14" x14ac:dyDescent="0.25">
      <c r="A106" s="4"/>
      <c r="B106" s="14"/>
      <c r="C106" s="17" t="str">
        <f t="shared" si="1"/>
        <v/>
      </c>
      <c r="D106" s="14"/>
      <c r="G106" s="1"/>
      <c r="J106" s="18"/>
      <c r="K106" s="18"/>
      <c r="L106" s="14"/>
      <c r="N106" s="14"/>
    </row>
    <row r="107" spans="1:14" x14ac:dyDescent="0.25">
      <c r="A107" s="4"/>
      <c r="B107" s="14"/>
      <c r="C107" s="17" t="str">
        <f t="shared" si="1"/>
        <v/>
      </c>
      <c r="D107" s="14"/>
      <c r="G107" s="1"/>
      <c r="J107" s="18"/>
      <c r="K107" s="18"/>
      <c r="L107" s="14"/>
      <c r="N107" s="14"/>
    </row>
    <row r="108" spans="1:14" x14ac:dyDescent="0.25">
      <c r="A108" s="4"/>
      <c r="B108" s="14"/>
      <c r="C108" s="17" t="str">
        <f t="shared" si="1"/>
        <v/>
      </c>
      <c r="D108" s="14"/>
      <c r="G108" s="1"/>
      <c r="J108" s="18"/>
      <c r="K108" s="18"/>
      <c r="L108" s="14"/>
      <c r="N108" s="14"/>
    </row>
    <row r="109" spans="1:14" x14ac:dyDescent="0.25">
      <c r="A109" s="4"/>
      <c r="B109" s="14"/>
      <c r="C109" s="17" t="str">
        <f t="shared" si="1"/>
        <v/>
      </c>
      <c r="D109" s="14"/>
      <c r="G109" s="1"/>
      <c r="J109" s="18"/>
      <c r="K109" s="18"/>
      <c r="L109" s="14"/>
      <c r="N109" s="14"/>
    </row>
    <row r="110" spans="1:14" x14ac:dyDescent="0.25">
      <c r="A110" s="4"/>
      <c r="B110" s="14"/>
      <c r="C110" s="17" t="str">
        <f t="shared" si="1"/>
        <v/>
      </c>
      <c r="D110" s="14"/>
      <c r="G110" s="1"/>
      <c r="J110" s="18"/>
      <c r="K110" s="18"/>
      <c r="L110" s="14"/>
      <c r="N110" s="14"/>
    </row>
    <row r="111" spans="1:14" x14ac:dyDescent="0.25">
      <c r="A111" s="4"/>
      <c r="B111" s="14"/>
      <c r="C111" s="17" t="str">
        <f t="shared" si="1"/>
        <v/>
      </c>
      <c r="D111" s="14"/>
      <c r="G111" s="1"/>
      <c r="J111" s="18"/>
      <c r="K111" s="18"/>
      <c r="L111" s="14"/>
      <c r="N111" s="14"/>
    </row>
    <row r="112" spans="1:14" x14ac:dyDescent="0.25">
      <c r="A112" s="4"/>
      <c r="B112" s="14"/>
      <c r="C112" s="17" t="str">
        <f t="shared" si="1"/>
        <v/>
      </c>
      <c r="D112" s="14"/>
      <c r="G112" s="1"/>
      <c r="J112" s="18"/>
      <c r="K112" s="18"/>
      <c r="L112" s="14"/>
      <c r="N112" s="14"/>
    </row>
    <row r="113" spans="1:14" x14ac:dyDescent="0.25">
      <c r="A113" s="4"/>
      <c r="B113" s="14"/>
      <c r="C113" s="17" t="str">
        <f t="shared" si="1"/>
        <v/>
      </c>
      <c r="D113" s="14"/>
      <c r="G113" s="1"/>
      <c r="J113" s="18"/>
      <c r="K113" s="18"/>
      <c r="L113" s="14"/>
      <c r="N113" s="14"/>
    </row>
    <row r="114" spans="1:14" x14ac:dyDescent="0.25">
      <c r="A114" s="4"/>
      <c r="B114" s="14"/>
      <c r="C114" s="17" t="str">
        <f t="shared" si="1"/>
        <v/>
      </c>
      <c r="D114" s="14"/>
      <c r="G114" s="1"/>
      <c r="J114" s="18"/>
      <c r="K114" s="18"/>
      <c r="L114" s="14"/>
      <c r="N114" s="14"/>
    </row>
    <row r="115" spans="1:14" x14ac:dyDescent="0.25">
      <c r="A115" s="4"/>
      <c r="B115" s="14"/>
      <c r="C115" s="17" t="str">
        <f t="shared" si="1"/>
        <v/>
      </c>
      <c r="D115" s="14"/>
      <c r="G115" s="1"/>
      <c r="J115" s="18"/>
      <c r="K115" s="18"/>
      <c r="L115" s="14"/>
      <c r="N115" s="14"/>
    </row>
    <row r="116" spans="1:14" x14ac:dyDescent="0.25">
      <c r="A116" s="4"/>
      <c r="B116" s="14"/>
      <c r="C116" s="17" t="str">
        <f t="shared" si="1"/>
        <v/>
      </c>
      <c r="D116" s="14"/>
      <c r="G116" s="1"/>
      <c r="J116" s="18"/>
      <c r="K116" s="18"/>
      <c r="L116" s="14"/>
      <c r="N116" s="14"/>
    </row>
    <row r="117" spans="1:14" x14ac:dyDescent="0.25">
      <c r="A117" s="4"/>
      <c r="B117" s="14"/>
      <c r="C117" s="17" t="str">
        <f t="shared" si="1"/>
        <v/>
      </c>
      <c r="D117" s="14"/>
      <c r="G117" s="1"/>
      <c r="J117" s="18"/>
      <c r="K117" s="18"/>
      <c r="L117" s="14"/>
      <c r="N117" s="14"/>
    </row>
    <row r="118" spans="1:14" x14ac:dyDescent="0.25">
      <c r="A118" s="4"/>
      <c r="B118" s="14"/>
      <c r="C118" s="17" t="str">
        <f t="shared" si="1"/>
        <v/>
      </c>
      <c r="D118" s="14"/>
      <c r="G118" s="1"/>
      <c r="J118" s="18"/>
      <c r="K118" s="18"/>
      <c r="L118" s="14"/>
      <c r="N118" s="14"/>
    </row>
    <row r="119" spans="1:14" x14ac:dyDescent="0.25">
      <c r="A119" s="4"/>
      <c r="B119" s="14"/>
      <c r="C119" s="17" t="str">
        <f t="shared" si="1"/>
        <v/>
      </c>
      <c r="D119" s="14"/>
      <c r="G119" s="1"/>
      <c r="J119" s="18"/>
      <c r="K119" s="18"/>
      <c r="L119" s="14"/>
      <c r="N119" s="14"/>
    </row>
    <row r="120" spans="1:14" x14ac:dyDescent="0.25">
      <c r="A120" s="4"/>
      <c r="B120" s="14"/>
      <c r="C120" s="17" t="str">
        <f t="shared" si="1"/>
        <v/>
      </c>
      <c r="D120" s="14"/>
      <c r="G120" s="1"/>
      <c r="J120" s="18"/>
      <c r="K120" s="18"/>
      <c r="L120" s="14"/>
      <c r="N120" s="14"/>
    </row>
    <row r="121" spans="1:14" x14ac:dyDescent="0.25">
      <c r="A121" s="4"/>
      <c r="B121" s="14"/>
      <c r="C121" s="17" t="str">
        <f t="shared" si="1"/>
        <v/>
      </c>
      <c r="D121" s="14"/>
      <c r="G121" s="1"/>
      <c r="J121" s="18"/>
      <c r="K121" s="18"/>
      <c r="L121" s="14"/>
      <c r="N121" s="14"/>
    </row>
    <row r="122" spans="1:14" x14ac:dyDescent="0.25">
      <c r="A122" s="4"/>
      <c r="B122" s="14"/>
      <c r="C122" s="17" t="str">
        <f t="shared" si="1"/>
        <v/>
      </c>
      <c r="D122" s="14"/>
      <c r="G122" s="1"/>
      <c r="J122" s="18"/>
      <c r="K122" s="18"/>
      <c r="L122" s="14"/>
      <c r="N122" s="14"/>
    </row>
    <row r="123" spans="1:14" x14ac:dyDescent="0.25">
      <c r="A123" s="4"/>
      <c r="B123" s="14"/>
      <c r="C123" s="17" t="str">
        <f t="shared" si="1"/>
        <v/>
      </c>
      <c r="D123" s="14"/>
      <c r="G123" s="1"/>
      <c r="J123" s="18"/>
      <c r="K123" s="18"/>
      <c r="L123" s="14"/>
      <c r="N123" s="14"/>
    </row>
    <row r="124" spans="1:14" x14ac:dyDescent="0.25">
      <c r="A124" s="4"/>
      <c r="B124" s="14"/>
      <c r="C124" s="17" t="str">
        <f t="shared" si="1"/>
        <v/>
      </c>
      <c r="D124" s="14"/>
      <c r="G124" s="1"/>
      <c r="J124" s="18"/>
      <c r="K124" s="18"/>
      <c r="L124" s="14"/>
      <c r="N124" s="14"/>
    </row>
    <row r="125" spans="1:14" x14ac:dyDescent="0.25">
      <c r="A125" s="4"/>
      <c r="B125" s="14"/>
      <c r="C125" s="17" t="str">
        <f t="shared" si="1"/>
        <v/>
      </c>
      <c r="D125" s="14"/>
      <c r="G125" s="1"/>
      <c r="J125" s="18"/>
      <c r="K125" s="18"/>
      <c r="L125" s="14"/>
      <c r="N125" s="14"/>
    </row>
    <row r="126" spans="1:14" x14ac:dyDescent="0.25">
      <c r="A126" s="4"/>
      <c r="B126" s="14"/>
      <c r="C126" s="17" t="str">
        <f t="shared" si="1"/>
        <v/>
      </c>
      <c r="D126" s="14"/>
      <c r="G126" s="1"/>
      <c r="J126" s="18"/>
      <c r="K126" s="18"/>
      <c r="L126" s="14"/>
      <c r="N126" s="14"/>
    </row>
    <row r="127" spans="1:14" x14ac:dyDescent="0.25">
      <c r="A127" s="4"/>
      <c r="B127" s="14"/>
      <c r="C127" s="17" t="str">
        <f t="shared" si="1"/>
        <v/>
      </c>
      <c r="D127" s="14"/>
      <c r="G127" s="1"/>
      <c r="J127" s="18"/>
      <c r="K127" s="18"/>
      <c r="L127" s="14"/>
      <c r="N127" s="14"/>
    </row>
    <row r="128" spans="1:14" x14ac:dyDescent="0.25">
      <c r="A128" s="4"/>
      <c r="B128" s="14"/>
      <c r="C128" s="17" t="str">
        <f t="shared" si="1"/>
        <v/>
      </c>
      <c r="D128" s="14"/>
      <c r="G128" s="1"/>
      <c r="J128" s="18"/>
      <c r="K128" s="18"/>
      <c r="L128" s="14"/>
      <c r="N128" s="14"/>
    </row>
    <row r="129" spans="1:14" x14ac:dyDescent="0.25">
      <c r="A129" s="4"/>
      <c r="B129" s="14"/>
      <c r="C129" s="17" t="str">
        <f t="shared" si="1"/>
        <v/>
      </c>
      <c r="D129" s="14"/>
      <c r="G129" s="1"/>
      <c r="J129" s="18"/>
      <c r="K129" s="18"/>
      <c r="L129" s="14"/>
      <c r="N129" s="14"/>
    </row>
    <row r="130" spans="1:14" x14ac:dyDescent="0.25">
      <c r="A130" s="4"/>
      <c r="B130" s="14"/>
      <c r="C130" s="17" t="str">
        <f t="shared" si="1"/>
        <v/>
      </c>
      <c r="D130" s="14"/>
      <c r="G130" s="1"/>
      <c r="J130" s="18"/>
      <c r="K130" s="18"/>
      <c r="L130" s="14"/>
      <c r="N130" s="14"/>
    </row>
    <row r="131" spans="1:14" x14ac:dyDescent="0.25">
      <c r="A131" s="4"/>
      <c r="B131" s="14"/>
      <c r="C131" s="17" t="str">
        <f t="shared" si="1"/>
        <v/>
      </c>
      <c r="D131" s="14"/>
      <c r="G131" s="1"/>
      <c r="J131" s="18"/>
      <c r="K131" s="18"/>
      <c r="L131" s="14"/>
      <c r="N131" s="14"/>
    </row>
    <row r="132" spans="1:14" x14ac:dyDescent="0.25">
      <c r="A132" s="4"/>
      <c r="B132" s="14"/>
      <c r="C132" s="17" t="str">
        <f t="shared" si="1"/>
        <v/>
      </c>
      <c r="D132" s="14"/>
      <c r="G132" s="1"/>
      <c r="J132" s="18"/>
      <c r="K132" s="18"/>
      <c r="L132" s="14"/>
      <c r="N132" s="14"/>
    </row>
    <row r="133" spans="1:14" x14ac:dyDescent="0.25">
      <c r="A133" s="4"/>
      <c r="B133" s="14"/>
      <c r="C133" s="17" t="str">
        <f t="shared" si="1"/>
        <v/>
      </c>
      <c r="D133" s="14"/>
      <c r="G133" s="1"/>
      <c r="J133" s="18"/>
      <c r="K133" s="18"/>
      <c r="L133" s="14"/>
      <c r="N133" s="14"/>
    </row>
    <row r="134" spans="1:14" x14ac:dyDescent="0.25">
      <c r="A134" s="4"/>
      <c r="B134" s="14"/>
      <c r="C134" s="17" t="str">
        <f t="shared" si="1"/>
        <v/>
      </c>
      <c r="D134" s="14"/>
      <c r="G134" s="1"/>
      <c r="J134" s="18"/>
      <c r="K134" s="18"/>
      <c r="L134" s="14"/>
      <c r="N134" s="14"/>
    </row>
    <row r="135" spans="1:14" x14ac:dyDescent="0.25">
      <c r="A135" s="4"/>
      <c r="B135" s="14"/>
      <c r="C135" s="17" t="str">
        <f t="shared" si="1"/>
        <v/>
      </c>
      <c r="D135" s="14"/>
      <c r="G135" s="1"/>
      <c r="J135" s="18"/>
      <c r="K135" s="18"/>
      <c r="L135" s="14"/>
      <c r="N135" s="14"/>
    </row>
    <row r="136" spans="1:14" x14ac:dyDescent="0.25">
      <c r="A136" s="4"/>
      <c r="B136" s="14"/>
      <c r="C136" s="17" t="str">
        <f t="shared" si="1"/>
        <v/>
      </c>
      <c r="D136" s="14"/>
      <c r="G136" s="1"/>
      <c r="J136" s="18"/>
      <c r="K136" s="18"/>
      <c r="L136" s="14"/>
      <c r="N136" s="14"/>
    </row>
    <row r="137" spans="1:14" x14ac:dyDescent="0.25">
      <c r="A137" s="4"/>
      <c r="B137" s="14"/>
      <c r="C137" s="17" t="str">
        <f t="shared" si="1"/>
        <v/>
      </c>
      <c r="D137" s="14"/>
      <c r="G137" s="1"/>
      <c r="J137" s="18"/>
      <c r="K137" s="18"/>
      <c r="L137" s="14"/>
      <c r="N137" s="14"/>
    </row>
    <row r="138" spans="1:14" x14ac:dyDescent="0.25">
      <c r="A138" s="4"/>
      <c r="B138" s="14"/>
      <c r="C138" s="17" t="str">
        <f t="shared" si="1"/>
        <v/>
      </c>
      <c r="D138" s="14"/>
      <c r="G138" s="1"/>
      <c r="J138" s="18"/>
      <c r="K138" s="18"/>
      <c r="L138" s="14"/>
      <c r="N138" s="14"/>
    </row>
    <row r="139" spans="1:14" x14ac:dyDescent="0.25">
      <c r="A139" s="4"/>
      <c r="B139" s="14"/>
      <c r="C139" s="17" t="str">
        <f t="shared" ref="C139:C202" si="2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25">
      <c r="A140" s="4"/>
      <c r="B140" s="14"/>
      <c r="C140" s="17" t="str">
        <f t="shared" si="2"/>
        <v/>
      </c>
      <c r="D140" s="14"/>
      <c r="G140" s="1"/>
      <c r="J140" s="18"/>
      <c r="K140" s="18"/>
      <c r="L140" s="14"/>
      <c r="N140" s="14"/>
    </row>
    <row r="141" spans="1:14" x14ac:dyDescent="0.25">
      <c r="A141" s="4"/>
      <c r="B141" s="14"/>
      <c r="C141" s="17" t="str">
        <f t="shared" si="2"/>
        <v/>
      </c>
      <c r="D141" s="14"/>
      <c r="G141" s="1"/>
      <c r="J141" s="18"/>
      <c r="K141" s="18"/>
      <c r="L141" s="14"/>
      <c r="N141" s="14"/>
    </row>
    <row r="142" spans="1:14" x14ac:dyDescent="0.25">
      <c r="A142" s="4"/>
      <c r="B142" s="14"/>
      <c r="C142" s="17" t="str">
        <f t="shared" si="2"/>
        <v/>
      </c>
      <c r="D142" s="14"/>
      <c r="G142" s="1"/>
      <c r="J142" s="18"/>
      <c r="K142" s="18"/>
      <c r="L142" s="14"/>
      <c r="N142" s="14"/>
    </row>
    <row r="143" spans="1:14" x14ac:dyDescent="0.25">
      <c r="A143" s="4"/>
      <c r="B143" s="14"/>
      <c r="C143" s="17" t="str">
        <f t="shared" si="2"/>
        <v/>
      </c>
      <c r="D143" s="14"/>
      <c r="G143" s="1"/>
      <c r="J143" s="18"/>
      <c r="K143" s="18"/>
      <c r="L143" s="14"/>
      <c r="N143" s="14"/>
    </row>
    <row r="144" spans="1:14" x14ac:dyDescent="0.25">
      <c r="A144" s="4"/>
      <c r="B144" s="14"/>
      <c r="C144" s="17" t="str">
        <f t="shared" si="2"/>
        <v/>
      </c>
      <c r="D144" s="14"/>
      <c r="G144" s="1"/>
      <c r="J144" s="18"/>
      <c r="K144" s="18"/>
      <c r="L144" s="14"/>
      <c r="N144" s="14"/>
    </row>
    <row r="145" spans="1:14" x14ac:dyDescent="0.25">
      <c r="A145" s="4"/>
      <c r="B145" s="14"/>
      <c r="C145" s="17" t="str">
        <f t="shared" si="2"/>
        <v/>
      </c>
      <c r="D145" s="14"/>
      <c r="G145" s="1"/>
      <c r="J145" s="18"/>
      <c r="K145" s="18"/>
      <c r="L145" s="14"/>
      <c r="N145" s="14"/>
    </row>
    <row r="146" spans="1:14" x14ac:dyDescent="0.25">
      <c r="A146" s="4"/>
      <c r="B146" s="14"/>
      <c r="C146" s="17" t="str">
        <f t="shared" si="2"/>
        <v/>
      </c>
      <c r="D146" s="14"/>
      <c r="G146" s="1"/>
      <c r="J146" s="18"/>
      <c r="K146" s="18"/>
      <c r="L146" s="14"/>
      <c r="N146" s="14"/>
    </row>
    <row r="147" spans="1:14" x14ac:dyDescent="0.25">
      <c r="A147" s="4"/>
      <c r="B147" s="14"/>
      <c r="C147" s="17" t="str">
        <f t="shared" si="2"/>
        <v/>
      </c>
      <c r="D147" s="14"/>
      <c r="G147" s="1"/>
      <c r="J147" s="18"/>
      <c r="K147" s="18"/>
      <c r="L147" s="14"/>
      <c r="N147" s="14"/>
    </row>
    <row r="148" spans="1:14" x14ac:dyDescent="0.25">
      <c r="A148" s="4"/>
      <c r="B148" s="14"/>
      <c r="C148" s="17" t="str">
        <f t="shared" si="2"/>
        <v/>
      </c>
      <c r="D148" s="14"/>
      <c r="G148" s="1"/>
      <c r="J148" s="18"/>
      <c r="K148" s="18"/>
      <c r="L148" s="14"/>
      <c r="N148" s="14"/>
    </row>
    <row r="149" spans="1:14" x14ac:dyDescent="0.25">
      <c r="A149" s="4"/>
      <c r="B149" s="14"/>
      <c r="C149" s="17" t="str">
        <f t="shared" si="2"/>
        <v/>
      </c>
      <c r="D149" s="14"/>
      <c r="G149" s="1"/>
      <c r="J149" s="18"/>
      <c r="K149" s="18"/>
      <c r="L149" s="14"/>
      <c r="N149" s="14"/>
    </row>
    <row r="150" spans="1:14" x14ac:dyDescent="0.25">
      <c r="A150" s="4"/>
      <c r="B150" s="14"/>
      <c r="C150" s="17" t="str">
        <f t="shared" si="2"/>
        <v/>
      </c>
      <c r="D150" s="14"/>
      <c r="G150" s="1"/>
      <c r="J150" s="18"/>
      <c r="K150" s="18"/>
      <c r="L150" s="14"/>
      <c r="N150" s="14"/>
    </row>
    <row r="151" spans="1:14" x14ac:dyDescent="0.25">
      <c r="A151" s="4"/>
      <c r="B151" s="14"/>
      <c r="C151" s="17" t="str">
        <f t="shared" si="2"/>
        <v/>
      </c>
      <c r="D151" s="14"/>
      <c r="G151" s="1"/>
      <c r="J151" s="18"/>
      <c r="K151" s="18"/>
      <c r="L151" s="14"/>
      <c r="N151" s="14"/>
    </row>
    <row r="152" spans="1:14" x14ac:dyDescent="0.25">
      <c r="A152" s="4"/>
      <c r="B152" s="14"/>
      <c r="C152" s="17" t="str">
        <f t="shared" si="2"/>
        <v/>
      </c>
      <c r="D152" s="14"/>
      <c r="G152" s="1"/>
      <c r="J152" s="18"/>
      <c r="K152" s="18"/>
      <c r="L152" s="14"/>
      <c r="N152" s="14"/>
    </row>
    <row r="153" spans="1:14" x14ac:dyDescent="0.25">
      <c r="A153" s="4"/>
      <c r="B153" s="14"/>
      <c r="C153" s="17" t="str">
        <f t="shared" si="2"/>
        <v/>
      </c>
      <c r="D153" s="14"/>
      <c r="G153" s="1"/>
      <c r="J153" s="18"/>
      <c r="K153" s="18"/>
      <c r="L153" s="14"/>
      <c r="N153" s="14"/>
    </row>
    <row r="154" spans="1:14" x14ac:dyDescent="0.25">
      <c r="A154" s="4"/>
      <c r="B154" s="14"/>
      <c r="C154" s="17" t="str">
        <f t="shared" si="2"/>
        <v/>
      </c>
      <c r="D154" s="14"/>
      <c r="G154" s="1"/>
      <c r="J154" s="18"/>
      <c r="K154" s="18"/>
      <c r="L154" s="14"/>
      <c r="N154" s="14"/>
    </row>
    <row r="155" spans="1:14" x14ac:dyDescent="0.25">
      <c r="A155" s="4"/>
      <c r="B155" s="14"/>
      <c r="C155" s="17" t="str">
        <f t="shared" si="2"/>
        <v/>
      </c>
      <c r="D155" s="14"/>
      <c r="G155" s="1"/>
      <c r="J155" s="18"/>
      <c r="K155" s="18"/>
      <c r="L155" s="14"/>
      <c r="N155" s="14"/>
    </row>
    <row r="156" spans="1:14" x14ac:dyDescent="0.25">
      <c r="A156" s="4"/>
      <c r="B156" s="14"/>
      <c r="C156" s="17" t="str">
        <f t="shared" si="2"/>
        <v/>
      </c>
      <c r="D156" s="14"/>
      <c r="G156" s="1"/>
      <c r="J156" s="18"/>
      <c r="K156" s="18"/>
      <c r="L156" s="14"/>
      <c r="N156" s="14"/>
    </row>
    <row r="157" spans="1:14" x14ac:dyDescent="0.25">
      <c r="A157" s="4"/>
      <c r="B157" s="14"/>
      <c r="C157" s="17" t="str">
        <f t="shared" si="2"/>
        <v/>
      </c>
      <c r="D157" s="14"/>
      <c r="G157" s="1"/>
      <c r="J157" s="18"/>
      <c r="K157" s="18"/>
      <c r="L157" s="14"/>
      <c r="N157" s="14"/>
    </row>
    <row r="158" spans="1:14" x14ac:dyDescent="0.25">
      <c r="A158" s="4"/>
      <c r="B158" s="14"/>
      <c r="C158" s="17" t="str">
        <f t="shared" si="2"/>
        <v/>
      </c>
      <c r="D158" s="14"/>
      <c r="G158" s="1"/>
      <c r="J158" s="18"/>
      <c r="K158" s="18"/>
      <c r="L158" s="14"/>
      <c r="N158" s="14"/>
    </row>
    <row r="159" spans="1:14" x14ac:dyDescent="0.25">
      <c r="A159" s="4"/>
      <c r="B159" s="14"/>
      <c r="C159" s="17" t="str">
        <f t="shared" si="2"/>
        <v/>
      </c>
      <c r="D159" s="14"/>
      <c r="G159" s="1"/>
      <c r="J159" s="18"/>
      <c r="K159" s="18"/>
      <c r="L159" s="14"/>
      <c r="N159" s="14"/>
    </row>
    <row r="160" spans="1:14" x14ac:dyDescent="0.25">
      <c r="A160" s="4"/>
      <c r="B160" s="14"/>
      <c r="C160" s="17" t="str">
        <f t="shared" si="2"/>
        <v/>
      </c>
      <c r="D160" s="14"/>
      <c r="G160" s="1"/>
      <c r="J160" s="18"/>
      <c r="K160" s="18"/>
      <c r="L160" s="14"/>
      <c r="N160" s="14"/>
    </row>
    <row r="161" spans="1:14" x14ac:dyDescent="0.25">
      <c r="A161" s="4"/>
      <c r="B161" s="14"/>
      <c r="C161" s="17" t="str">
        <f t="shared" si="2"/>
        <v/>
      </c>
      <c r="D161" s="14"/>
      <c r="G161" s="1"/>
      <c r="J161" s="18"/>
      <c r="K161" s="18"/>
      <c r="L161" s="14"/>
      <c r="N161" s="14"/>
    </row>
    <row r="162" spans="1:14" x14ac:dyDescent="0.25">
      <c r="A162" s="4"/>
      <c r="B162" s="14"/>
      <c r="C162" s="17" t="str">
        <f t="shared" si="2"/>
        <v/>
      </c>
      <c r="D162" s="14"/>
      <c r="G162" s="1"/>
      <c r="J162" s="18"/>
      <c r="K162" s="18"/>
      <c r="L162" s="14"/>
      <c r="N162" s="14"/>
    </row>
    <row r="163" spans="1:14" x14ac:dyDescent="0.25">
      <c r="A163" s="4"/>
      <c r="B163" s="14"/>
      <c r="C163" s="17" t="str">
        <f t="shared" si="2"/>
        <v/>
      </c>
      <c r="D163" s="14"/>
      <c r="G163" s="1"/>
      <c r="J163" s="18"/>
      <c r="K163" s="18"/>
      <c r="L163" s="14"/>
      <c r="N163" s="14"/>
    </row>
    <row r="164" spans="1:14" x14ac:dyDescent="0.25">
      <c r="A164" s="4"/>
      <c r="B164" s="14"/>
      <c r="C164" s="17" t="str">
        <f t="shared" si="2"/>
        <v/>
      </c>
      <c r="D164" s="14"/>
      <c r="G164" s="1"/>
      <c r="J164" s="18"/>
      <c r="K164" s="18"/>
      <c r="L164" s="14"/>
      <c r="N164" s="14"/>
    </row>
    <row r="165" spans="1:14" x14ac:dyDescent="0.25">
      <c r="A165" s="4"/>
      <c r="B165" s="14"/>
      <c r="C165" s="17" t="str">
        <f t="shared" si="2"/>
        <v/>
      </c>
      <c r="D165" s="14"/>
      <c r="G165" s="1"/>
      <c r="J165" s="18"/>
      <c r="K165" s="18"/>
      <c r="L165" s="14"/>
      <c r="N165" s="14"/>
    </row>
    <row r="166" spans="1:14" x14ac:dyDescent="0.25">
      <c r="A166" s="4"/>
      <c r="B166" s="14"/>
      <c r="C166" s="17" t="str">
        <f t="shared" si="2"/>
        <v/>
      </c>
      <c r="D166" s="14"/>
      <c r="G166" s="1"/>
      <c r="J166" s="18"/>
      <c r="K166" s="18"/>
      <c r="L166" s="14"/>
      <c r="N166" s="14"/>
    </row>
    <row r="167" spans="1:14" x14ac:dyDescent="0.25">
      <c r="A167" s="4"/>
      <c r="B167" s="14"/>
      <c r="C167" s="17" t="str">
        <f t="shared" si="2"/>
        <v/>
      </c>
      <c r="D167" s="14"/>
      <c r="G167" s="1"/>
      <c r="J167" s="18"/>
      <c r="K167" s="18"/>
      <c r="L167" s="14"/>
      <c r="N167" s="14"/>
    </row>
    <row r="168" spans="1:14" x14ac:dyDescent="0.25">
      <c r="A168" s="4"/>
      <c r="B168" s="14"/>
      <c r="C168" s="17" t="str">
        <f t="shared" si="2"/>
        <v/>
      </c>
      <c r="D168" s="14"/>
      <c r="G168" s="1"/>
      <c r="J168" s="18"/>
      <c r="K168" s="18"/>
      <c r="L168" s="14"/>
      <c r="N168" s="14"/>
    </row>
    <row r="169" spans="1:14" x14ac:dyDescent="0.25">
      <c r="A169" s="4"/>
      <c r="B169" s="14"/>
      <c r="C169" s="17" t="str">
        <f t="shared" si="2"/>
        <v/>
      </c>
      <c r="D169" s="14"/>
      <c r="G169" s="1"/>
      <c r="J169" s="18"/>
      <c r="K169" s="18"/>
      <c r="L169" s="14"/>
      <c r="N169" s="14"/>
    </row>
    <row r="170" spans="1:14" x14ac:dyDescent="0.25">
      <c r="A170" s="4"/>
      <c r="B170" s="14"/>
      <c r="C170" s="17" t="str">
        <f t="shared" si="2"/>
        <v/>
      </c>
      <c r="D170" s="14"/>
      <c r="G170" s="1"/>
      <c r="J170" s="18"/>
      <c r="K170" s="18"/>
      <c r="L170" s="14"/>
      <c r="N170" s="14"/>
    </row>
    <row r="171" spans="1:14" x14ac:dyDescent="0.25">
      <c r="A171" s="4"/>
      <c r="B171" s="14"/>
      <c r="C171" s="17" t="str">
        <f t="shared" si="2"/>
        <v/>
      </c>
      <c r="D171" s="14"/>
      <c r="G171" s="1"/>
      <c r="J171" s="18"/>
      <c r="K171" s="18"/>
      <c r="L171" s="14"/>
      <c r="N171" s="14"/>
    </row>
    <row r="172" spans="1:14" x14ac:dyDescent="0.25">
      <c r="A172" s="4"/>
      <c r="B172" s="14"/>
      <c r="C172" s="17" t="str">
        <f t="shared" si="2"/>
        <v/>
      </c>
      <c r="D172" s="14"/>
      <c r="G172" s="1"/>
      <c r="J172" s="18"/>
      <c r="K172" s="18"/>
      <c r="L172" s="14"/>
      <c r="N172" s="14"/>
    </row>
    <row r="173" spans="1:14" x14ac:dyDescent="0.25">
      <c r="A173" s="4"/>
      <c r="B173" s="14"/>
      <c r="C173" s="17" t="str">
        <f t="shared" si="2"/>
        <v/>
      </c>
      <c r="D173" s="14"/>
      <c r="G173" s="1"/>
      <c r="J173" s="18"/>
      <c r="K173" s="18"/>
      <c r="L173" s="14"/>
      <c r="N173" s="14"/>
    </row>
    <row r="174" spans="1:14" x14ac:dyDescent="0.25">
      <c r="A174" s="4"/>
      <c r="B174" s="14"/>
      <c r="C174" s="17" t="str">
        <f t="shared" si="2"/>
        <v/>
      </c>
      <c r="D174" s="14"/>
      <c r="G174" s="1"/>
      <c r="J174" s="18"/>
      <c r="K174" s="18"/>
      <c r="L174" s="14"/>
      <c r="N174" s="14"/>
    </row>
    <row r="175" spans="1:14" x14ac:dyDescent="0.25">
      <c r="A175" s="4"/>
      <c r="B175" s="14"/>
      <c r="C175" s="17" t="str">
        <f t="shared" si="2"/>
        <v/>
      </c>
      <c r="D175" s="14"/>
      <c r="G175" s="1"/>
      <c r="J175" s="18"/>
      <c r="K175" s="18"/>
      <c r="L175" s="14"/>
      <c r="N175" s="14"/>
    </row>
    <row r="176" spans="1:14" x14ac:dyDescent="0.25">
      <c r="A176" s="4"/>
      <c r="B176" s="14"/>
      <c r="C176" s="17" t="str">
        <f t="shared" si="2"/>
        <v/>
      </c>
      <c r="D176" s="14"/>
      <c r="G176" s="1"/>
      <c r="J176" s="18"/>
      <c r="K176" s="18"/>
      <c r="L176" s="14"/>
      <c r="N176" s="14"/>
    </row>
    <row r="177" spans="1:14" x14ac:dyDescent="0.25">
      <c r="A177" s="4"/>
      <c r="B177" s="14"/>
      <c r="C177" s="17" t="str">
        <f t="shared" si="2"/>
        <v/>
      </c>
      <c r="D177" s="14"/>
      <c r="G177" s="1"/>
      <c r="J177" s="18"/>
      <c r="K177" s="18"/>
      <c r="L177" s="14"/>
      <c r="N177" s="14"/>
    </row>
    <row r="178" spans="1:14" x14ac:dyDescent="0.25">
      <c r="A178" s="4"/>
      <c r="B178" s="14"/>
      <c r="C178" s="17" t="str">
        <f t="shared" si="2"/>
        <v/>
      </c>
      <c r="D178" s="14"/>
      <c r="G178" s="1"/>
      <c r="J178" s="18"/>
      <c r="K178" s="18"/>
      <c r="L178" s="14"/>
      <c r="N178" s="14"/>
    </row>
    <row r="179" spans="1:14" x14ac:dyDescent="0.25">
      <c r="A179" s="4"/>
      <c r="B179" s="14"/>
      <c r="C179" s="17" t="str">
        <f t="shared" si="2"/>
        <v/>
      </c>
      <c r="D179" s="14"/>
      <c r="G179" s="1"/>
      <c r="J179" s="18"/>
      <c r="K179" s="18"/>
      <c r="L179" s="14"/>
      <c r="N179" s="14"/>
    </row>
    <row r="180" spans="1:14" x14ac:dyDescent="0.25">
      <c r="A180" s="4"/>
      <c r="B180" s="14"/>
      <c r="C180" s="17" t="str">
        <f t="shared" si="2"/>
        <v/>
      </c>
      <c r="D180" s="14"/>
      <c r="G180" s="1"/>
      <c r="J180" s="18"/>
      <c r="K180" s="18"/>
      <c r="L180" s="14"/>
      <c r="N180" s="14"/>
    </row>
    <row r="181" spans="1:14" x14ac:dyDescent="0.25">
      <c r="A181" s="4"/>
      <c r="B181" s="14"/>
      <c r="C181" s="17" t="str">
        <f t="shared" si="2"/>
        <v/>
      </c>
      <c r="D181" s="14"/>
      <c r="G181" s="1"/>
      <c r="J181" s="18"/>
      <c r="K181" s="18"/>
      <c r="L181" s="14"/>
      <c r="N181" s="14"/>
    </row>
    <row r="182" spans="1:14" x14ac:dyDescent="0.25">
      <c r="A182" s="4"/>
      <c r="B182" s="14"/>
      <c r="C182" s="17" t="str">
        <f t="shared" si="2"/>
        <v/>
      </c>
      <c r="D182" s="14"/>
      <c r="G182" s="1"/>
      <c r="J182" s="18"/>
      <c r="K182" s="18"/>
      <c r="L182" s="14"/>
      <c r="N182" s="14"/>
    </row>
    <row r="183" spans="1:14" x14ac:dyDescent="0.25">
      <c r="A183" s="4"/>
      <c r="B183" s="14"/>
      <c r="C183" s="17" t="str">
        <f t="shared" si="2"/>
        <v/>
      </c>
      <c r="D183" s="14"/>
      <c r="G183" s="1"/>
      <c r="J183" s="18"/>
      <c r="K183" s="18"/>
      <c r="L183" s="14"/>
      <c r="N183" s="14"/>
    </row>
    <row r="184" spans="1:14" x14ac:dyDescent="0.25">
      <c r="A184" s="4"/>
      <c r="B184" s="14"/>
      <c r="C184" s="17" t="str">
        <f t="shared" si="2"/>
        <v/>
      </c>
      <c r="D184" s="14"/>
      <c r="G184" s="1"/>
      <c r="J184" s="18"/>
      <c r="K184" s="18"/>
      <c r="L184" s="14"/>
      <c r="N184" s="14"/>
    </row>
    <row r="185" spans="1:14" x14ac:dyDescent="0.25">
      <c r="A185" s="4"/>
      <c r="B185" s="14"/>
      <c r="C185" s="17" t="str">
        <f t="shared" si="2"/>
        <v/>
      </c>
      <c r="D185" s="14"/>
      <c r="G185" s="1"/>
      <c r="J185" s="18"/>
      <c r="K185" s="18"/>
      <c r="L185" s="14"/>
      <c r="N185" s="14"/>
    </row>
    <row r="186" spans="1:14" x14ac:dyDescent="0.25">
      <c r="A186" s="4"/>
      <c r="B186" s="14"/>
      <c r="C186" s="17" t="str">
        <f t="shared" si="2"/>
        <v/>
      </c>
      <c r="D186" s="14"/>
      <c r="G186" s="1"/>
      <c r="J186" s="18"/>
      <c r="K186" s="18"/>
      <c r="L186" s="14"/>
      <c r="N186" s="14"/>
    </row>
    <row r="187" spans="1:14" x14ac:dyDescent="0.25">
      <c r="A187" s="4"/>
      <c r="B187" s="14"/>
      <c r="C187" s="17" t="str">
        <f t="shared" si="2"/>
        <v/>
      </c>
      <c r="D187" s="14"/>
      <c r="G187" s="1"/>
      <c r="J187" s="18"/>
      <c r="K187" s="18"/>
      <c r="L187" s="14"/>
      <c r="N187" s="14"/>
    </row>
    <row r="188" spans="1:14" x14ac:dyDescent="0.25">
      <c r="A188" s="4"/>
      <c r="B188" s="14"/>
      <c r="C188" s="17" t="str">
        <f t="shared" si="2"/>
        <v/>
      </c>
      <c r="D188" s="14"/>
      <c r="G188" s="1"/>
      <c r="J188" s="18"/>
      <c r="K188" s="18"/>
      <c r="L188" s="14"/>
      <c r="N188" s="14"/>
    </row>
    <row r="189" spans="1:14" x14ac:dyDescent="0.25">
      <c r="A189" s="4"/>
      <c r="B189" s="14"/>
      <c r="C189" s="17" t="str">
        <f t="shared" si="2"/>
        <v/>
      </c>
      <c r="D189" s="14"/>
      <c r="G189" s="1"/>
      <c r="J189" s="18"/>
      <c r="K189" s="18"/>
      <c r="L189" s="14"/>
      <c r="N189" s="14"/>
    </row>
    <row r="190" spans="1:14" x14ac:dyDescent="0.25">
      <c r="A190" s="4"/>
      <c r="B190" s="14"/>
      <c r="C190" s="17" t="str">
        <f t="shared" si="2"/>
        <v/>
      </c>
      <c r="D190" s="14"/>
      <c r="G190" s="1"/>
      <c r="J190" s="18"/>
      <c r="K190" s="18"/>
      <c r="L190" s="14"/>
      <c r="N190" s="14"/>
    </row>
    <row r="191" spans="1:14" x14ac:dyDescent="0.25">
      <c r="A191" s="4"/>
      <c r="B191" s="14"/>
      <c r="C191" s="17" t="str">
        <f t="shared" si="2"/>
        <v/>
      </c>
      <c r="D191" s="14"/>
      <c r="G191" s="1"/>
      <c r="J191" s="18"/>
      <c r="K191" s="18"/>
      <c r="L191" s="14"/>
      <c r="N191" s="14"/>
    </row>
    <row r="192" spans="1:14" x14ac:dyDescent="0.25">
      <c r="A192" s="4"/>
      <c r="B192" s="14"/>
      <c r="C192" s="17" t="str">
        <f t="shared" si="2"/>
        <v/>
      </c>
      <c r="D192" s="14"/>
      <c r="G192" s="1"/>
      <c r="J192" s="18"/>
      <c r="K192" s="18"/>
      <c r="L192" s="14"/>
      <c r="N192" s="14"/>
    </row>
    <row r="193" spans="1:14" x14ac:dyDescent="0.25">
      <c r="A193" s="4"/>
      <c r="B193" s="14"/>
      <c r="C193" s="17" t="str">
        <f t="shared" si="2"/>
        <v/>
      </c>
      <c r="D193" s="14"/>
      <c r="G193" s="1"/>
      <c r="J193" s="18"/>
      <c r="K193" s="18"/>
      <c r="L193" s="14"/>
      <c r="N193" s="14"/>
    </row>
    <row r="194" spans="1:14" x14ac:dyDescent="0.25">
      <c r="A194" s="4"/>
      <c r="B194" s="14"/>
      <c r="C194" s="17" t="str">
        <f t="shared" si="2"/>
        <v/>
      </c>
      <c r="D194" s="14"/>
      <c r="G194" s="1"/>
      <c r="J194" s="18"/>
      <c r="K194" s="18"/>
      <c r="L194" s="14"/>
      <c r="N194" s="14"/>
    </row>
    <row r="195" spans="1:14" x14ac:dyDescent="0.25">
      <c r="A195" s="4"/>
      <c r="B195" s="14"/>
      <c r="C195" s="17" t="str">
        <f t="shared" si="2"/>
        <v/>
      </c>
      <c r="D195" s="14"/>
      <c r="G195" s="1"/>
      <c r="J195" s="18"/>
      <c r="K195" s="18"/>
      <c r="L195" s="14"/>
      <c r="N195" s="14"/>
    </row>
    <row r="196" spans="1:14" x14ac:dyDescent="0.25">
      <c r="A196" s="4"/>
      <c r="B196" s="14"/>
      <c r="C196" s="17" t="str">
        <f t="shared" si="2"/>
        <v/>
      </c>
      <c r="D196" s="14"/>
      <c r="G196" s="1"/>
      <c r="J196" s="18"/>
      <c r="K196" s="18"/>
      <c r="L196" s="14"/>
      <c r="N196" s="14"/>
    </row>
    <row r="197" spans="1:14" x14ac:dyDescent="0.25">
      <c r="A197" s="4"/>
      <c r="B197" s="14"/>
      <c r="C197" s="17" t="str">
        <f t="shared" si="2"/>
        <v/>
      </c>
      <c r="D197" s="14"/>
      <c r="G197" s="1"/>
      <c r="J197" s="18"/>
      <c r="K197" s="18"/>
      <c r="L197" s="14"/>
      <c r="N197" s="14"/>
    </row>
    <row r="198" spans="1:14" x14ac:dyDescent="0.25">
      <c r="A198" s="4"/>
      <c r="B198" s="14"/>
      <c r="C198" s="17" t="str">
        <f t="shared" si="2"/>
        <v/>
      </c>
      <c r="D198" s="14"/>
      <c r="G198" s="1"/>
      <c r="J198" s="18"/>
      <c r="K198" s="18"/>
      <c r="L198" s="14"/>
      <c r="N198" s="14"/>
    </row>
    <row r="199" spans="1:14" x14ac:dyDescent="0.25">
      <c r="A199" s="4"/>
      <c r="B199" s="14"/>
      <c r="C199" s="17" t="str">
        <f t="shared" si="2"/>
        <v/>
      </c>
      <c r="D199" s="14"/>
      <c r="G199" s="1"/>
      <c r="J199" s="18"/>
      <c r="K199" s="18"/>
      <c r="L199" s="14"/>
      <c r="N199" s="14"/>
    </row>
    <row r="200" spans="1:14" x14ac:dyDescent="0.25">
      <c r="A200" s="4"/>
      <c r="B200" s="14"/>
      <c r="C200" s="17" t="str">
        <f t="shared" si="2"/>
        <v/>
      </c>
      <c r="D200" s="14"/>
      <c r="G200" s="1"/>
      <c r="J200" s="18"/>
      <c r="K200" s="18"/>
      <c r="L200" s="14"/>
      <c r="N200" s="14"/>
    </row>
    <row r="201" spans="1:14" x14ac:dyDescent="0.25">
      <c r="A201" s="4"/>
      <c r="B201" s="14"/>
      <c r="C201" s="17" t="str">
        <f t="shared" si="2"/>
        <v/>
      </c>
      <c r="D201" s="14"/>
      <c r="G201" s="1"/>
      <c r="J201" s="18"/>
      <c r="K201" s="18"/>
      <c r="L201" s="14"/>
      <c r="N201" s="14"/>
    </row>
    <row r="202" spans="1:14" x14ac:dyDescent="0.25">
      <c r="A202" s="4"/>
      <c r="B202" s="14"/>
      <c r="C202" s="17" t="str">
        <f t="shared" si="2"/>
        <v/>
      </c>
      <c r="D202" s="14"/>
      <c r="G202" s="1"/>
      <c r="J202" s="18"/>
      <c r="K202" s="18"/>
      <c r="L202" s="14"/>
      <c r="N202" s="14"/>
    </row>
    <row r="203" spans="1:14" x14ac:dyDescent="0.25">
      <c r="A203" s="4"/>
      <c r="B203" s="14"/>
      <c r="C203" s="17" t="str">
        <f t="shared" ref="C203:C266" si="3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25">
      <c r="A204" s="4"/>
      <c r="B204" s="14"/>
      <c r="C204" s="17" t="str">
        <f t="shared" si="3"/>
        <v/>
      </c>
      <c r="D204" s="14"/>
      <c r="G204" s="1"/>
      <c r="J204" s="18"/>
      <c r="K204" s="18"/>
      <c r="L204" s="14"/>
      <c r="N204" s="14"/>
    </row>
    <row r="205" spans="1:14" x14ac:dyDescent="0.25">
      <c r="A205" s="4"/>
      <c r="B205" s="14"/>
      <c r="C205" s="17" t="str">
        <f t="shared" si="3"/>
        <v/>
      </c>
      <c r="D205" s="14"/>
      <c r="G205" s="1"/>
      <c r="J205" s="18"/>
      <c r="K205" s="18"/>
      <c r="L205" s="14"/>
      <c r="N205" s="14"/>
    </row>
    <row r="206" spans="1:14" x14ac:dyDescent="0.25">
      <c r="A206" s="4"/>
      <c r="B206" s="14"/>
      <c r="C206" s="17" t="str">
        <f t="shared" si="3"/>
        <v/>
      </c>
      <c r="D206" s="14"/>
      <c r="G206" s="1"/>
      <c r="J206" s="18"/>
      <c r="K206" s="18"/>
      <c r="L206" s="14"/>
      <c r="N206" s="14"/>
    </row>
    <row r="207" spans="1:14" x14ac:dyDescent="0.25">
      <c r="A207" s="4"/>
      <c r="B207" s="14"/>
      <c r="C207" s="17" t="str">
        <f t="shared" si="3"/>
        <v/>
      </c>
      <c r="D207" s="14"/>
      <c r="G207" s="1"/>
      <c r="J207" s="18"/>
      <c r="K207" s="18"/>
      <c r="L207" s="14"/>
      <c r="N207" s="14"/>
    </row>
    <row r="208" spans="1:14" x14ac:dyDescent="0.25">
      <c r="A208" s="4"/>
      <c r="B208" s="14"/>
      <c r="C208" s="17" t="str">
        <f t="shared" si="3"/>
        <v/>
      </c>
      <c r="D208" s="14"/>
      <c r="G208" s="1"/>
      <c r="J208" s="18"/>
      <c r="K208" s="18"/>
      <c r="L208" s="14"/>
      <c r="N208" s="14"/>
    </row>
    <row r="209" spans="1:14" x14ac:dyDescent="0.25">
      <c r="A209" s="4"/>
      <c r="B209" s="14"/>
      <c r="C209" s="17" t="str">
        <f t="shared" si="3"/>
        <v/>
      </c>
      <c r="D209" s="14"/>
      <c r="G209" s="1"/>
      <c r="J209" s="18"/>
      <c r="K209" s="18"/>
      <c r="L209" s="14"/>
      <c r="N209" s="14"/>
    </row>
    <row r="210" spans="1:14" x14ac:dyDescent="0.25">
      <c r="A210" s="4"/>
      <c r="B210" s="14"/>
      <c r="C210" s="17" t="str">
        <f t="shared" si="3"/>
        <v/>
      </c>
      <c r="D210" s="14"/>
      <c r="G210" s="1"/>
      <c r="J210" s="18"/>
      <c r="K210" s="18"/>
      <c r="L210" s="14"/>
      <c r="N210" s="14"/>
    </row>
    <row r="211" spans="1:14" x14ac:dyDescent="0.25">
      <c r="A211" s="4"/>
      <c r="B211" s="14"/>
      <c r="C211" s="17" t="str">
        <f t="shared" si="3"/>
        <v/>
      </c>
      <c r="D211" s="14"/>
      <c r="G211" s="1"/>
      <c r="J211" s="18"/>
      <c r="K211" s="18"/>
      <c r="L211" s="14"/>
      <c r="N211" s="14"/>
    </row>
    <row r="212" spans="1:14" x14ac:dyDescent="0.25">
      <c r="A212" s="4"/>
      <c r="B212" s="14"/>
      <c r="C212" s="17" t="str">
        <f t="shared" si="3"/>
        <v/>
      </c>
      <c r="D212" s="14"/>
      <c r="G212" s="1"/>
      <c r="J212" s="18"/>
      <c r="K212" s="18"/>
      <c r="L212" s="14"/>
      <c r="N212" s="14"/>
    </row>
    <row r="213" spans="1:14" x14ac:dyDescent="0.25">
      <c r="A213" s="4"/>
      <c r="B213" s="14"/>
      <c r="C213" s="17" t="str">
        <f t="shared" si="3"/>
        <v/>
      </c>
      <c r="D213" s="14"/>
      <c r="G213" s="1"/>
      <c r="J213" s="18"/>
      <c r="K213" s="18"/>
      <c r="L213" s="14"/>
      <c r="N213" s="14"/>
    </row>
    <row r="214" spans="1:14" x14ac:dyDescent="0.25">
      <c r="A214" s="4"/>
      <c r="B214" s="14"/>
      <c r="C214" s="17" t="str">
        <f t="shared" si="3"/>
        <v/>
      </c>
      <c r="D214" s="14"/>
      <c r="G214" s="1"/>
      <c r="J214" s="18"/>
      <c r="K214" s="18"/>
      <c r="L214" s="14"/>
      <c r="N214" s="14"/>
    </row>
    <row r="215" spans="1:14" x14ac:dyDescent="0.25">
      <c r="A215" s="4"/>
      <c r="B215" s="14"/>
      <c r="C215" s="17" t="str">
        <f t="shared" si="3"/>
        <v/>
      </c>
      <c r="D215" s="14"/>
      <c r="G215" s="1"/>
      <c r="J215" s="18"/>
      <c r="K215" s="18"/>
      <c r="L215" s="14"/>
      <c r="N215" s="14"/>
    </row>
    <row r="216" spans="1:14" x14ac:dyDescent="0.25">
      <c r="A216" s="4"/>
      <c r="B216" s="14"/>
      <c r="C216" s="17" t="str">
        <f t="shared" si="3"/>
        <v/>
      </c>
      <c r="D216" s="14"/>
      <c r="G216" s="1"/>
      <c r="J216" s="18"/>
      <c r="K216" s="18"/>
      <c r="L216" s="14"/>
      <c r="N216" s="14"/>
    </row>
    <row r="217" spans="1:14" x14ac:dyDescent="0.25">
      <c r="A217" s="4"/>
      <c r="B217" s="14"/>
      <c r="C217" s="17" t="str">
        <f t="shared" si="3"/>
        <v/>
      </c>
      <c r="D217" s="14"/>
      <c r="G217" s="1"/>
      <c r="J217" s="18"/>
      <c r="K217" s="18"/>
      <c r="L217" s="14"/>
      <c r="N217" s="14"/>
    </row>
    <row r="218" spans="1:14" x14ac:dyDescent="0.25">
      <c r="A218" s="4"/>
      <c r="B218" s="14"/>
      <c r="C218" s="17" t="str">
        <f t="shared" si="3"/>
        <v/>
      </c>
      <c r="D218" s="14"/>
      <c r="G218" s="1"/>
      <c r="J218" s="18"/>
      <c r="K218" s="18"/>
      <c r="L218" s="14"/>
      <c r="N218" s="14"/>
    </row>
    <row r="219" spans="1:14" x14ac:dyDescent="0.25">
      <c r="A219" s="4"/>
      <c r="B219" s="14"/>
      <c r="C219" s="17" t="str">
        <f t="shared" si="3"/>
        <v/>
      </c>
      <c r="D219" s="14"/>
      <c r="G219" s="1"/>
      <c r="J219" s="18"/>
      <c r="K219" s="18"/>
      <c r="L219" s="14"/>
      <c r="N219" s="14"/>
    </row>
    <row r="220" spans="1:14" x14ac:dyDescent="0.25">
      <c r="A220" s="4"/>
      <c r="B220" s="14"/>
      <c r="C220" s="17" t="str">
        <f t="shared" si="3"/>
        <v/>
      </c>
      <c r="D220" s="14"/>
      <c r="G220" s="1"/>
      <c r="J220" s="18"/>
      <c r="K220" s="18"/>
      <c r="L220" s="14"/>
      <c r="N220" s="14"/>
    </row>
    <row r="221" spans="1:14" x14ac:dyDescent="0.25">
      <c r="A221" s="4"/>
      <c r="B221" s="14"/>
      <c r="C221" s="17" t="str">
        <f t="shared" si="3"/>
        <v/>
      </c>
      <c r="D221" s="14"/>
      <c r="G221" s="1"/>
      <c r="J221" s="18"/>
      <c r="K221" s="18"/>
      <c r="L221" s="14"/>
      <c r="N221" s="14"/>
    </row>
    <row r="222" spans="1:14" x14ac:dyDescent="0.25">
      <c r="A222" s="4"/>
      <c r="B222" s="14"/>
      <c r="C222" s="17" t="str">
        <f t="shared" si="3"/>
        <v/>
      </c>
      <c r="D222" s="14"/>
      <c r="G222" s="1"/>
      <c r="J222" s="18"/>
      <c r="K222" s="18"/>
      <c r="L222" s="14"/>
      <c r="N222" s="14"/>
    </row>
    <row r="223" spans="1:14" x14ac:dyDescent="0.25">
      <c r="A223" s="4"/>
      <c r="B223" s="14"/>
      <c r="C223" s="17" t="str">
        <f t="shared" si="3"/>
        <v/>
      </c>
      <c r="D223" s="14"/>
      <c r="G223" s="1"/>
      <c r="J223" s="18"/>
      <c r="K223" s="18"/>
      <c r="L223" s="14"/>
      <c r="N223" s="14"/>
    </row>
    <row r="224" spans="1:14" x14ac:dyDescent="0.25">
      <c r="A224" s="4"/>
      <c r="B224" s="14"/>
      <c r="C224" s="17" t="str">
        <f t="shared" si="3"/>
        <v/>
      </c>
      <c r="D224" s="14"/>
      <c r="G224" s="1"/>
      <c r="J224" s="18"/>
      <c r="K224" s="18"/>
      <c r="L224" s="14"/>
      <c r="N224" s="14"/>
    </row>
    <row r="225" spans="1:14" x14ac:dyDescent="0.25">
      <c r="A225" s="4"/>
      <c r="B225" s="14"/>
      <c r="C225" s="17" t="str">
        <f t="shared" si="3"/>
        <v/>
      </c>
      <c r="D225" s="14"/>
      <c r="G225" s="1"/>
      <c r="J225" s="18"/>
      <c r="K225" s="18"/>
      <c r="L225" s="14"/>
      <c r="N225" s="14"/>
    </row>
    <row r="226" spans="1:14" x14ac:dyDescent="0.25">
      <c r="A226" s="4"/>
      <c r="B226" s="14"/>
      <c r="C226" s="17" t="str">
        <f t="shared" si="3"/>
        <v/>
      </c>
      <c r="D226" s="14"/>
      <c r="G226" s="1"/>
      <c r="J226" s="18"/>
      <c r="K226" s="18"/>
      <c r="L226" s="14"/>
      <c r="N226" s="14"/>
    </row>
    <row r="227" spans="1:14" x14ac:dyDescent="0.25">
      <c r="A227" s="4"/>
      <c r="B227" s="14"/>
      <c r="C227" s="17" t="str">
        <f t="shared" si="3"/>
        <v/>
      </c>
      <c r="D227" s="14"/>
      <c r="G227" s="1"/>
      <c r="J227" s="18"/>
      <c r="K227" s="18"/>
      <c r="L227" s="14"/>
      <c r="N227" s="14"/>
    </row>
    <row r="228" spans="1:14" x14ac:dyDescent="0.25">
      <c r="A228" s="4"/>
      <c r="B228" s="14"/>
      <c r="C228" s="17" t="str">
        <f t="shared" si="3"/>
        <v/>
      </c>
      <c r="D228" s="14"/>
      <c r="J228" s="18"/>
      <c r="K228" s="18"/>
      <c r="L228" s="14"/>
      <c r="N228" s="14"/>
    </row>
    <row r="229" spans="1:14" x14ac:dyDescent="0.25">
      <c r="A229" s="4"/>
      <c r="B229" s="14"/>
      <c r="C229" s="17" t="str">
        <f t="shared" si="3"/>
        <v/>
      </c>
      <c r="D229" s="14"/>
      <c r="J229" s="18"/>
      <c r="K229" s="18"/>
      <c r="L229" s="14"/>
      <c r="N229" s="14"/>
    </row>
    <row r="230" spans="1:14" x14ac:dyDescent="0.25">
      <c r="A230" s="4"/>
      <c r="B230" s="14"/>
      <c r="C230" s="17" t="str">
        <f t="shared" si="3"/>
        <v/>
      </c>
      <c r="D230" s="14"/>
      <c r="J230" s="18"/>
      <c r="K230" s="18"/>
      <c r="L230" s="14"/>
      <c r="N230" s="14"/>
    </row>
    <row r="231" spans="1:14" x14ac:dyDescent="0.25">
      <c r="A231" s="4"/>
      <c r="B231" s="14"/>
      <c r="C231" s="17" t="str">
        <f t="shared" si="3"/>
        <v/>
      </c>
      <c r="D231" s="14"/>
      <c r="J231" s="18"/>
      <c r="K231" s="18"/>
      <c r="L231" s="14"/>
      <c r="N231" s="14"/>
    </row>
    <row r="232" spans="1:14" x14ac:dyDescent="0.25">
      <c r="A232" s="4"/>
      <c r="B232" s="14"/>
      <c r="C232" s="17" t="str">
        <f t="shared" si="3"/>
        <v/>
      </c>
      <c r="D232" s="14"/>
      <c r="J232" s="18"/>
      <c r="K232" s="18"/>
      <c r="L232" s="14"/>
      <c r="N232" s="14"/>
    </row>
    <row r="233" spans="1:14" x14ac:dyDescent="0.25">
      <c r="A233" s="4"/>
      <c r="B233" s="14"/>
      <c r="C233" s="17" t="str">
        <f t="shared" si="3"/>
        <v/>
      </c>
      <c r="D233" s="14"/>
      <c r="J233" s="18"/>
      <c r="K233" s="18"/>
      <c r="L233" s="14"/>
      <c r="N233" s="14"/>
    </row>
    <row r="234" spans="1:14" x14ac:dyDescent="0.25">
      <c r="A234" s="4"/>
      <c r="B234" s="14"/>
      <c r="C234" s="17" t="str">
        <f t="shared" si="3"/>
        <v/>
      </c>
      <c r="D234" s="14"/>
      <c r="J234" s="18"/>
      <c r="K234" s="18"/>
      <c r="L234" s="14"/>
      <c r="N234" s="14"/>
    </row>
    <row r="235" spans="1:14" x14ac:dyDescent="0.25">
      <c r="A235" s="4"/>
      <c r="B235" s="14"/>
      <c r="C235" s="17" t="str">
        <f t="shared" si="3"/>
        <v/>
      </c>
      <c r="D235" s="14"/>
      <c r="J235" s="18"/>
      <c r="K235" s="18"/>
      <c r="L235" s="14"/>
      <c r="N235" s="14"/>
    </row>
    <row r="236" spans="1:14" x14ac:dyDescent="0.25">
      <c r="A236" s="4"/>
      <c r="B236" s="14"/>
      <c r="C236" s="17" t="str">
        <f t="shared" si="3"/>
        <v/>
      </c>
      <c r="D236" s="14"/>
      <c r="J236" s="18"/>
      <c r="K236" s="18"/>
      <c r="L236" s="14"/>
      <c r="N236" s="14"/>
    </row>
    <row r="237" spans="1:14" x14ac:dyDescent="0.25">
      <c r="A237" s="4"/>
      <c r="B237" s="14"/>
      <c r="C237" s="17" t="str">
        <f t="shared" si="3"/>
        <v/>
      </c>
      <c r="D237" s="14"/>
      <c r="J237" s="18"/>
      <c r="K237" s="18"/>
      <c r="L237" s="14"/>
      <c r="N237" s="14"/>
    </row>
    <row r="238" spans="1:14" x14ac:dyDescent="0.25">
      <c r="A238" s="4"/>
      <c r="B238" s="14"/>
      <c r="C238" s="17" t="str">
        <f t="shared" si="3"/>
        <v/>
      </c>
      <c r="D238" s="14"/>
      <c r="J238" s="18"/>
      <c r="K238" s="18"/>
      <c r="L238" s="14"/>
      <c r="N238" s="14"/>
    </row>
    <row r="239" spans="1:14" x14ac:dyDescent="0.25">
      <c r="A239" s="4"/>
      <c r="B239" s="14"/>
      <c r="C239" s="17" t="str">
        <f t="shared" si="3"/>
        <v/>
      </c>
      <c r="D239" s="14"/>
      <c r="J239" s="18"/>
      <c r="K239" s="18"/>
      <c r="L239" s="14"/>
      <c r="N239" s="14"/>
    </row>
    <row r="240" spans="1:14" x14ac:dyDescent="0.25">
      <c r="A240" s="4"/>
      <c r="B240" s="14"/>
      <c r="C240" s="17" t="str">
        <f t="shared" si="3"/>
        <v/>
      </c>
      <c r="D240" s="14"/>
      <c r="J240" s="18"/>
      <c r="K240" s="18"/>
      <c r="L240" s="14"/>
      <c r="N240" s="14"/>
    </row>
    <row r="241" spans="1:14" x14ac:dyDescent="0.25">
      <c r="A241" s="4"/>
      <c r="B241" s="14"/>
      <c r="C241" s="17" t="str">
        <f t="shared" si="3"/>
        <v/>
      </c>
      <c r="D241" s="14"/>
      <c r="J241" s="18"/>
      <c r="K241" s="18"/>
      <c r="L241" s="14"/>
      <c r="N241" s="14"/>
    </row>
    <row r="242" spans="1:14" x14ac:dyDescent="0.25">
      <c r="A242" s="4"/>
      <c r="B242" s="14"/>
      <c r="C242" s="17" t="str">
        <f t="shared" si="3"/>
        <v/>
      </c>
      <c r="D242" s="14"/>
      <c r="J242" s="18"/>
      <c r="K242" s="18"/>
      <c r="L242" s="14"/>
      <c r="N242" s="14"/>
    </row>
    <row r="243" spans="1:14" x14ac:dyDescent="0.25">
      <c r="A243" s="4"/>
      <c r="B243" s="14"/>
      <c r="C243" s="17" t="str">
        <f t="shared" si="3"/>
        <v/>
      </c>
      <c r="D243" s="14"/>
      <c r="J243" s="18"/>
      <c r="K243" s="18"/>
      <c r="L243" s="14"/>
      <c r="N243" s="14"/>
    </row>
    <row r="244" spans="1:14" x14ac:dyDescent="0.25">
      <c r="A244" s="4"/>
      <c r="B244" s="14"/>
      <c r="C244" s="17" t="str">
        <f t="shared" si="3"/>
        <v/>
      </c>
      <c r="D244" s="14"/>
      <c r="J244" s="18"/>
      <c r="K244" s="18"/>
      <c r="L244" s="14"/>
      <c r="N244" s="14"/>
    </row>
    <row r="245" spans="1:14" x14ac:dyDescent="0.25">
      <c r="A245" s="4"/>
      <c r="B245" s="14"/>
      <c r="C245" s="17" t="str">
        <f t="shared" si="3"/>
        <v/>
      </c>
      <c r="D245" s="14"/>
      <c r="J245" s="18"/>
      <c r="K245" s="18"/>
      <c r="L245" s="14"/>
      <c r="N245" s="14"/>
    </row>
    <row r="246" spans="1:14" x14ac:dyDescent="0.25">
      <c r="A246" s="4"/>
      <c r="B246" s="14"/>
      <c r="C246" s="17" t="str">
        <f t="shared" si="3"/>
        <v/>
      </c>
      <c r="D246" s="14"/>
      <c r="J246" s="18"/>
      <c r="K246" s="18"/>
      <c r="L246" s="14"/>
      <c r="N246" s="14"/>
    </row>
    <row r="247" spans="1:14" x14ac:dyDescent="0.25">
      <c r="A247" s="4"/>
      <c r="B247" s="14"/>
      <c r="C247" s="17" t="str">
        <f t="shared" si="3"/>
        <v/>
      </c>
      <c r="D247" s="14"/>
      <c r="J247" s="18"/>
      <c r="K247" s="18"/>
      <c r="L247" s="14"/>
      <c r="N247" s="14"/>
    </row>
    <row r="248" spans="1:14" x14ac:dyDescent="0.25">
      <c r="A248" s="4"/>
      <c r="B248" s="14"/>
      <c r="C248" s="17" t="str">
        <f t="shared" si="3"/>
        <v/>
      </c>
      <c r="D248" s="14"/>
      <c r="J248" s="18"/>
      <c r="K248" s="18"/>
      <c r="L248" s="14"/>
      <c r="N248" s="14"/>
    </row>
    <row r="249" spans="1:14" x14ac:dyDescent="0.25">
      <c r="A249" s="4"/>
      <c r="B249" s="14"/>
      <c r="C249" s="17" t="str">
        <f t="shared" si="3"/>
        <v/>
      </c>
      <c r="D249" s="14"/>
      <c r="J249" s="18"/>
      <c r="K249" s="18"/>
      <c r="L249" s="14"/>
      <c r="N249" s="14"/>
    </row>
    <row r="250" spans="1:14" x14ac:dyDescent="0.25">
      <c r="A250" s="4"/>
      <c r="B250" s="14"/>
      <c r="C250" s="17" t="str">
        <f t="shared" si="3"/>
        <v/>
      </c>
      <c r="D250" s="14"/>
      <c r="J250" s="18"/>
      <c r="K250" s="18"/>
      <c r="L250" s="14"/>
      <c r="N250" s="14"/>
    </row>
    <row r="251" spans="1:14" x14ac:dyDescent="0.25">
      <c r="A251" s="4"/>
      <c r="B251" s="14"/>
      <c r="C251" s="17" t="str">
        <f t="shared" si="3"/>
        <v/>
      </c>
      <c r="D251" s="14"/>
      <c r="J251" s="18"/>
      <c r="K251" s="18"/>
      <c r="L251" s="14"/>
      <c r="N251" s="14"/>
    </row>
    <row r="252" spans="1:14" x14ac:dyDescent="0.25">
      <c r="A252" s="4"/>
      <c r="B252" s="14"/>
      <c r="C252" s="17" t="str">
        <f t="shared" si="3"/>
        <v/>
      </c>
      <c r="D252" s="14"/>
      <c r="J252" s="18"/>
      <c r="K252" s="18"/>
      <c r="L252" s="14"/>
      <c r="N252" s="14"/>
    </row>
    <row r="253" spans="1:14" x14ac:dyDescent="0.25">
      <c r="A253" s="4"/>
      <c r="B253" s="14"/>
      <c r="C253" s="17" t="str">
        <f t="shared" si="3"/>
        <v/>
      </c>
      <c r="D253" s="14"/>
      <c r="J253" s="18"/>
      <c r="K253" s="18"/>
      <c r="L253" s="14"/>
      <c r="N253" s="14"/>
    </row>
    <row r="254" spans="1:14" x14ac:dyDescent="0.25">
      <c r="A254" s="4"/>
      <c r="B254" s="14"/>
      <c r="C254" s="17" t="str">
        <f t="shared" si="3"/>
        <v/>
      </c>
      <c r="D254" s="14"/>
      <c r="J254" s="18"/>
      <c r="K254" s="18"/>
      <c r="L254" s="14"/>
      <c r="N254" s="14"/>
    </row>
    <row r="255" spans="1:14" x14ac:dyDescent="0.25">
      <c r="A255" s="4"/>
      <c r="B255" s="14"/>
      <c r="C255" s="17" t="str">
        <f t="shared" si="3"/>
        <v/>
      </c>
      <c r="D255" s="14"/>
      <c r="J255" s="18"/>
      <c r="K255" s="18"/>
      <c r="L255" s="14"/>
      <c r="N255" s="14"/>
    </row>
    <row r="256" spans="1:14" x14ac:dyDescent="0.25">
      <c r="A256" s="4"/>
      <c r="B256" s="14"/>
      <c r="C256" s="17" t="str">
        <f t="shared" si="3"/>
        <v/>
      </c>
      <c r="D256" s="14"/>
      <c r="J256" s="18"/>
      <c r="K256" s="18"/>
      <c r="L256" s="14"/>
      <c r="N256" s="14"/>
    </row>
    <row r="257" spans="1:14" x14ac:dyDescent="0.25">
      <c r="A257" s="4"/>
      <c r="B257" s="14"/>
      <c r="C257" s="17" t="str">
        <f t="shared" si="3"/>
        <v/>
      </c>
      <c r="D257" s="14"/>
      <c r="J257" s="18"/>
      <c r="K257" s="18"/>
      <c r="L257" s="14"/>
      <c r="N257" s="14"/>
    </row>
    <row r="258" spans="1:14" x14ac:dyDescent="0.25">
      <c r="A258" s="4"/>
      <c r="B258" s="14"/>
      <c r="C258" s="17" t="str">
        <f t="shared" si="3"/>
        <v/>
      </c>
      <c r="D258" s="14"/>
      <c r="J258" s="18"/>
      <c r="K258" s="18"/>
      <c r="L258" s="14"/>
      <c r="N258" s="14"/>
    </row>
    <row r="259" spans="1:14" x14ac:dyDescent="0.25">
      <c r="A259" s="4"/>
      <c r="B259" s="14"/>
      <c r="C259" s="17" t="str">
        <f t="shared" si="3"/>
        <v/>
      </c>
      <c r="D259" s="14"/>
      <c r="J259" s="18"/>
      <c r="K259" s="18"/>
      <c r="L259" s="14"/>
      <c r="N259" s="14"/>
    </row>
    <row r="260" spans="1:14" x14ac:dyDescent="0.25">
      <c r="A260" s="4"/>
      <c r="B260" s="14"/>
      <c r="C260" s="17" t="str">
        <f t="shared" si="3"/>
        <v/>
      </c>
      <c r="D260" s="14"/>
      <c r="J260" s="18"/>
      <c r="K260" s="18"/>
      <c r="L260" s="14"/>
      <c r="N260" s="14"/>
    </row>
    <row r="261" spans="1:14" x14ac:dyDescent="0.25">
      <c r="A261" s="4"/>
      <c r="B261" s="14"/>
      <c r="C261" s="17" t="str">
        <f t="shared" si="3"/>
        <v/>
      </c>
      <c r="D261" s="14"/>
      <c r="J261" s="18"/>
      <c r="K261" s="18"/>
      <c r="L261" s="14"/>
      <c r="N261" s="14"/>
    </row>
    <row r="262" spans="1:14" x14ac:dyDescent="0.25">
      <c r="A262" s="4"/>
      <c r="B262" s="14"/>
      <c r="C262" s="17" t="str">
        <f t="shared" si="3"/>
        <v/>
      </c>
      <c r="D262" s="14"/>
      <c r="J262" s="18"/>
      <c r="K262" s="18"/>
      <c r="L262" s="14"/>
      <c r="N262" s="14"/>
    </row>
    <row r="263" spans="1:14" x14ac:dyDescent="0.25">
      <c r="A263" s="4"/>
      <c r="B263" s="14"/>
      <c r="C263" s="17" t="str">
        <f t="shared" si="3"/>
        <v/>
      </c>
      <c r="D263" s="14"/>
      <c r="J263" s="18"/>
      <c r="K263" s="18"/>
      <c r="L263" s="14"/>
      <c r="N263" s="14"/>
    </row>
    <row r="264" spans="1:14" x14ac:dyDescent="0.25">
      <c r="A264" s="4"/>
      <c r="B264" s="14"/>
      <c r="C264" s="17" t="str">
        <f t="shared" si="3"/>
        <v/>
      </c>
      <c r="D264" s="14"/>
      <c r="J264" s="18"/>
      <c r="K264" s="18"/>
      <c r="L264" s="14"/>
      <c r="N264" s="14"/>
    </row>
    <row r="265" spans="1:14" x14ac:dyDescent="0.25">
      <c r="A265" s="4"/>
      <c r="B265" s="14"/>
      <c r="C265" s="17" t="str">
        <f t="shared" si="3"/>
        <v/>
      </c>
      <c r="D265" s="14"/>
      <c r="J265" s="18"/>
      <c r="K265" s="18"/>
      <c r="L265" s="14"/>
      <c r="N265" s="14"/>
    </row>
    <row r="266" spans="1:14" x14ac:dyDescent="0.25">
      <c r="A266" s="4"/>
      <c r="B266" s="14"/>
      <c r="C266" s="17" t="str">
        <f t="shared" si="3"/>
        <v/>
      </c>
      <c r="D266" s="14"/>
      <c r="J266" s="18"/>
      <c r="K266" s="18"/>
      <c r="L266" s="14"/>
      <c r="N266" s="14"/>
    </row>
    <row r="267" spans="1:14" x14ac:dyDescent="0.25">
      <c r="A267" s="4"/>
      <c r="B267" s="14"/>
      <c r="C267" s="17" t="str">
        <f t="shared" ref="C267:C330" si="4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25">
      <c r="A268" s="4"/>
      <c r="B268" s="14"/>
      <c r="C268" s="17" t="str">
        <f t="shared" si="4"/>
        <v/>
      </c>
      <c r="D268" s="14"/>
      <c r="J268" s="18"/>
      <c r="K268" s="18"/>
      <c r="L268" s="14"/>
      <c r="N268" s="14"/>
    </row>
    <row r="269" spans="1:14" x14ac:dyDescent="0.25">
      <c r="A269" s="4"/>
      <c r="B269" s="14"/>
      <c r="C269" s="17" t="str">
        <f t="shared" si="4"/>
        <v/>
      </c>
      <c r="D269" s="14"/>
      <c r="J269" s="18"/>
      <c r="K269" s="18"/>
      <c r="L269" s="14"/>
      <c r="N269" s="14"/>
    </row>
    <row r="270" spans="1:14" x14ac:dyDescent="0.25">
      <c r="A270" s="4"/>
      <c r="B270" s="14"/>
      <c r="C270" s="17" t="str">
        <f t="shared" si="4"/>
        <v/>
      </c>
      <c r="D270" s="14"/>
      <c r="J270" s="18"/>
      <c r="K270" s="18"/>
      <c r="L270" s="14"/>
      <c r="N270" s="14"/>
    </row>
    <row r="271" spans="1:14" x14ac:dyDescent="0.25">
      <c r="A271" s="4"/>
      <c r="B271" s="14"/>
      <c r="C271" s="17" t="str">
        <f t="shared" si="4"/>
        <v/>
      </c>
      <c r="D271" s="14"/>
      <c r="J271" s="18"/>
      <c r="K271" s="18"/>
      <c r="L271" s="14"/>
      <c r="N271" s="14"/>
    </row>
    <row r="272" spans="1:14" x14ac:dyDescent="0.25">
      <c r="A272" s="4"/>
      <c r="B272" s="14"/>
      <c r="C272" s="17" t="str">
        <f t="shared" si="4"/>
        <v/>
      </c>
      <c r="D272" s="14"/>
      <c r="J272" s="18"/>
      <c r="K272" s="18"/>
      <c r="L272" s="14"/>
      <c r="N272" s="14"/>
    </row>
    <row r="273" spans="1:14" x14ac:dyDescent="0.25">
      <c r="A273" s="4"/>
      <c r="B273" s="14"/>
      <c r="C273" s="17" t="str">
        <f t="shared" si="4"/>
        <v/>
      </c>
      <c r="D273" s="14"/>
      <c r="J273" s="18"/>
      <c r="K273" s="18"/>
      <c r="L273" s="14"/>
      <c r="N273" s="14"/>
    </row>
    <row r="274" spans="1:14" x14ac:dyDescent="0.25">
      <c r="A274" s="4"/>
      <c r="B274" s="14"/>
      <c r="C274" s="17" t="str">
        <f t="shared" si="4"/>
        <v/>
      </c>
      <c r="D274" s="14"/>
      <c r="J274" s="18"/>
      <c r="K274" s="18"/>
      <c r="L274" s="14"/>
      <c r="N274" s="14"/>
    </row>
    <row r="275" spans="1:14" x14ac:dyDescent="0.25">
      <c r="A275" s="4"/>
      <c r="B275" s="14"/>
      <c r="C275" s="17" t="str">
        <f t="shared" si="4"/>
        <v/>
      </c>
      <c r="D275" s="14"/>
      <c r="E275" s="18"/>
      <c r="F275" s="18"/>
      <c r="J275" s="18"/>
      <c r="K275" s="18"/>
      <c r="L275" s="14"/>
      <c r="N275" s="14"/>
    </row>
    <row r="276" spans="1:14" x14ac:dyDescent="0.25">
      <c r="A276" s="4"/>
      <c r="B276" s="14"/>
      <c r="C276" s="17" t="str">
        <f t="shared" si="4"/>
        <v/>
      </c>
      <c r="D276" s="14"/>
      <c r="J276" s="18"/>
      <c r="K276" s="18"/>
      <c r="L276" s="14"/>
      <c r="N276" s="14"/>
    </row>
    <row r="277" spans="1:14" x14ac:dyDescent="0.25">
      <c r="A277" s="4"/>
      <c r="B277" s="14"/>
      <c r="C277" s="17" t="str">
        <f t="shared" si="4"/>
        <v/>
      </c>
      <c r="D277" s="14"/>
      <c r="E277" s="18"/>
      <c r="F277" s="18"/>
      <c r="J277" s="18"/>
      <c r="K277" s="18"/>
      <c r="L277" s="14"/>
      <c r="N277" s="14"/>
    </row>
    <row r="278" spans="1:14" x14ac:dyDescent="0.25">
      <c r="A278" s="4"/>
      <c r="B278" s="14"/>
      <c r="C278" s="17" t="str">
        <f t="shared" si="4"/>
        <v/>
      </c>
      <c r="D278" s="14"/>
      <c r="J278" s="18"/>
      <c r="K278" s="18"/>
      <c r="L278" s="14"/>
      <c r="N278" s="14"/>
    </row>
    <row r="279" spans="1:14" x14ac:dyDescent="0.25">
      <c r="A279" s="4"/>
      <c r="B279" s="14"/>
      <c r="C279" s="17" t="str">
        <f t="shared" si="4"/>
        <v/>
      </c>
      <c r="D279" s="14"/>
      <c r="E279" s="18"/>
      <c r="F279" s="18"/>
      <c r="J279" s="18"/>
      <c r="K279" s="18"/>
      <c r="L279" s="14"/>
      <c r="N279" s="14"/>
    </row>
    <row r="280" spans="1:14" x14ac:dyDescent="0.25">
      <c r="A280" s="4"/>
      <c r="B280" s="14"/>
      <c r="C280" s="17" t="str">
        <f t="shared" si="4"/>
        <v/>
      </c>
      <c r="D280" s="14"/>
      <c r="J280" s="18"/>
      <c r="K280" s="18"/>
      <c r="L280" s="14"/>
      <c r="N280" s="14"/>
    </row>
    <row r="281" spans="1:14" x14ac:dyDescent="0.25">
      <c r="A281" s="4"/>
      <c r="B281" s="14"/>
      <c r="C281" s="17" t="str">
        <f t="shared" si="4"/>
        <v/>
      </c>
      <c r="D281" s="14"/>
      <c r="E281" s="18"/>
      <c r="F281" s="18"/>
      <c r="J281" s="18"/>
      <c r="K281" s="18"/>
      <c r="L281" s="14"/>
      <c r="N281" s="14"/>
    </row>
    <row r="282" spans="1:14" x14ac:dyDescent="0.25">
      <c r="A282" s="4"/>
      <c r="B282" s="14"/>
      <c r="C282" s="17" t="str">
        <f t="shared" si="4"/>
        <v/>
      </c>
      <c r="D282" s="14"/>
      <c r="J282" s="18"/>
      <c r="K282" s="18"/>
      <c r="L282" s="14"/>
      <c r="N282" s="14"/>
    </row>
    <row r="283" spans="1:14" x14ac:dyDescent="0.25">
      <c r="A283" s="4"/>
      <c r="B283" s="14"/>
      <c r="C283" s="17" t="str">
        <f t="shared" si="4"/>
        <v/>
      </c>
      <c r="D283" s="14"/>
      <c r="E283" s="18"/>
      <c r="F283" s="18"/>
      <c r="J283" s="18"/>
      <c r="K283" s="18"/>
      <c r="L283" s="14"/>
      <c r="N283" s="14"/>
    </row>
    <row r="284" spans="1:14" x14ac:dyDescent="0.25">
      <c r="A284" s="4"/>
      <c r="B284" s="14"/>
      <c r="C284" s="17" t="str">
        <f t="shared" si="4"/>
        <v/>
      </c>
      <c r="D284" s="14"/>
      <c r="J284" s="18"/>
      <c r="K284" s="18"/>
      <c r="L284" s="14"/>
      <c r="N284" s="14"/>
    </row>
    <row r="285" spans="1:14" x14ac:dyDescent="0.25">
      <c r="A285" s="4"/>
      <c r="B285" s="14"/>
      <c r="C285" s="17" t="str">
        <f t="shared" si="4"/>
        <v/>
      </c>
      <c r="D285" s="14"/>
      <c r="E285" s="18"/>
      <c r="F285" s="18"/>
      <c r="J285" s="18"/>
      <c r="K285" s="18"/>
      <c r="L285" s="14"/>
      <c r="N285" s="14"/>
    </row>
    <row r="286" spans="1:14" x14ac:dyDescent="0.25">
      <c r="A286" s="4"/>
      <c r="B286" s="14"/>
      <c r="C286" s="17" t="str">
        <f t="shared" si="4"/>
        <v/>
      </c>
      <c r="D286" s="14"/>
      <c r="J286" s="18"/>
      <c r="K286" s="18"/>
      <c r="L286" s="14"/>
      <c r="N286" s="14"/>
    </row>
    <row r="287" spans="1:14" x14ac:dyDescent="0.25">
      <c r="A287" s="4"/>
      <c r="B287" s="14"/>
      <c r="C287" s="17" t="str">
        <f t="shared" si="4"/>
        <v/>
      </c>
      <c r="D287" s="14"/>
      <c r="E287" s="18"/>
      <c r="F287" s="18"/>
      <c r="J287" s="18"/>
      <c r="K287" s="18"/>
      <c r="L287" s="14"/>
      <c r="N287" s="14"/>
    </row>
    <row r="288" spans="1:14" x14ac:dyDescent="0.25">
      <c r="A288" s="4"/>
      <c r="B288" s="14"/>
      <c r="C288" s="17" t="str">
        <f t="shared" si="4"/>
        <v/>
      </c>
      <c r="D288" s="14"/>
      <c r="J288" s="18"/>
      <c r="K288" s="18"/>
      <c r="L288" s="14"/>
      <c r="N288" s="14"/>
    </row>
    <row r="289" spans="1:14" x14ac:dyDescent="0.25">
      <c r="A289" s="4"/>
      <c r="B289" s="14"/>
      <c r="C289" s="17" t="str">
        <f t="shared" si="4"/>
        <v/>
      </c>
      <c r="D289" s="14"/>
      <c r="E289" s="18"/>
      <c r="F289" s="18"/>
      <c r="J289" s="18"/>
      <c r="K289" s="18"/>
      <c r="L289" s="14"/>
      <c r="N289" s="14"/>
    </row>
    <row r="290" spans="1:14" x14ac:dyDescent="0.25">
      <c r="A290" s="4"/>
      <c r="B290" s="14"/>
      <c r="C290" s="17" t="str">
        <f t="shared" si="4"/>
        <v/>
      </c>
      <c r="D290" s="14"/>
      <c r="J290" s="18"/>
      <c r="K290" s="18"/>
      <c r="L290" s="14"/>
      <c r="N290" s="14"/>
    </row>
    <row r="291" spans="1:14" x14ac:dyDescent="0.25">
      <c r="A291" s="4"/>
      <c r="B291" s="14"/>
      <c r="C291" s="17" t="str">
        <f t="shared" si="4"/>
        <v/>
      </c>
      <c r="D291" s="14"/>
      <c r="E291" s="18"/>
      <c r="F291" s="18"/>
      <c r="J291" s="18"/>
      <c r="K291" s="18"/>
      <c r="L291" s="14"/>
      <c r="N291" s="14"/>
    </row>
    <row r="292" spans="1:14" x14ac:dyDescent="0.25">
      <c r="A292" s="4"/>
      <c r="B292" s="14"/>
      <c r="C292" s="17" t="str">
        <f t="shared" si="4"/>
        <v/>
      </c>
      <c r="D292" s="14"/>
      <c r="J292" s="18"/>
      <c r="K292" s="18"/>
      <c r="L292" s="14"/>
      <c r="N292" s="14"/>
    </row>
    <row r="293" spans="1:14" x14ac:dyDescent="0.25">
      <c r="A293" s="4"/>
      <c r="B293" s="14"/>
      <c r="C293" s="17" t="str">
        <f t="shared" si="4"/>
        <v/>
      </c>
      <c r="D293" s="14"/>
      <c r="E293" s="18"/>
      <c r="F293" s="18"/>
      <c r="J293" s="18"/>
      <c r="K293" s="18"/>
      <c r="L293" s="14"/>
      <c r="N293" s="14"/>
    </row>
    <row r="294" spans="1:14" x14ac:dyDescent="0.25">
      <c r="A294" s="4"/>
      <c r="B294" s="14"/>
      <c r="C294" s="17" t="str">
        <f t="shared" si="4"/>
        <v/>
      </c>
      <c r="D294" s="14"/>
      <c r="J294" s="18"/>
      <c r="K294" s="18"/>
      <c r="L294" s="14"/>
      <c r="N294" s="14"/>
    </row>
    <row r="295" spans="1:14" x14ac:dyDescent="0.25">
      <c r="A295" s="4"/>
      <c r="B295" s="14"/>
      <c r="C295" s="17" t="str">
        <f t="shared" si="4"/>
        <v/>
      </c>
      <c r="D295" s="14"/>
      <c r="E295" s="18"/>
      <c r="F295" s="18"/>
      <c r="J295" s="18"/>
      <c r="K295" s="18"/>
      <c r="L295" s="14"/>
      <c r="N295" s="14"/>
    </row>
    <row r="296" spans="1:14" x14ac:dyDescent="0.25">
      <c r="A296" s="4"/>
      <c r="B296" s="14"/>
      <c r="C296" s="17" t="str">
        <f t="shared" si="4"/>
        <v/>
      </c>
      <c r="D296" s="14"/>
      <c r="J296" s="18"/>
      <c r="K296" s="18"/>
      <c r="L296" s="14"/>
      <c r="N296" s="14"/>
    </row>
    <row r="297" spans="1:14" x14ac:dyDescent="0.25">
      <c r="A297" s="4"/>
      <c r="B297" s="14"/>
      <c r="C297" s="17" t="str">
        <f t="shared" si="4"/>
        <v/>
      </c>
      <c r="D297" s="14"/>
      <c r="E297" s="18"/>
      <c r="F297" s="18"/>
      <c r="J297" s="18"/>
      <c r="K297" s="18"/>
      <c r="L297" s="14"/>
      <c r="N297" s="14"/>
    </row>
    <row r="298" spans="1:14" x14ac:dyDescent="0.25">
      <c r="A298" s="4"/>
      <c r="B298" s="14"/>
      <c r="C298" s="17" t="str">
        <f t="shared" si="4"/>
        <v/>
      </c>
      <c r="D298" s="14"/>
      <c r="J298" s="18"/>
      <c r="K298" s="18"/>
      <c r="L298" s="14"/>
      <c r="N298" s="14"/>
    </row>
    <row r="299" spans="1:14" x14ac:dyDescent="0.25">
      <c r="A299" s="4"/>
      <c r="B299" s="14"/>
      <c r="C299" s="17" t="str">
        <f t="shared" si="4"/>
        <v/>
      </c>
      <c r="D299" s="14"/>
      <c r="E299" s="18"/>
      <c r="F299" s="18"/>
      <c r="J299" s="18"/>
      <c r="K299" s="18"/>
      <c r="L299" s="14"/>
      <c r="N299" s="14"/>
    </row>
    <row r="300" spans="1:14" x14ac:dyDescent="0.25">
      <c r="A300" s="4"/>
      <c r="B300" s="14"/>
      <c r="C300" s="17" t="str">
        <f t="shared" si="4"/>
        <v/>
      </c>
      <c r="D300" s="14"/>
      <c r="J300" s="18"/>
      <c r="K300" s="18"/>
      <c r="L300" s="14"/>
      <c r="N300" s="14"/>
    </row>
    <row r="301" spans="1:14" x14ac:dyDescent="0.25">
      <c r="A301" s="4"/>
      <c r="B301" s="14"/>
      <c r="C301" s="17" t="str">
        <f t="shared" si="4"/>
        <v/>
      </c>
      <c r="D301" s="14"/>
      <c r="E301" s="18"/>
      <c r="F301" s="18"/>
      <c r="J301" s="18"/>
      <c r="K301" s="18"/>
      <c r="L301" s="14"/>
      <c r="N301" s="14"/>
    </row>
    <row r="302" spans="1:14" x14ac:dyDescent="0.25">
      <c r="A302" s="4"/>
      <c r="B302" s="14"/>
      <c r="C302" s="17" t="str">
        <f t="shared" si="4"/>
        <v/>
      </c>
      <c r="D302" s="14"/>
      <c r="J302" s="18"/>
      <c r="K302" s="18"/>
      <c r="L302" s="14"/>
      <c r="N302" s="14"/>
    </row>
    <row r="303" spans="1:14" x14ac:dyDescent="0.25">
      <c r="A303" s="4"/>
      <c r="B303" s="14"/>
      <c r="C303" s="17" t="str">
        <f t="shared" si="4"/>
        <v/>
      </c>
      <c r="D303" s="14"/>
      <c r="E303" s="18"/>
      <c r="F303" s="18"/>
      <c r="J303" s="18"/>
      <c r="K303" s="18"/>
      <c r="L303" s="14"/>
      <c r="N303" s="14"/>
    </row>
    <row r="304" spans="1:14" x14ac:dyDescent="0.25">
      <c r="A304" s="4"/>
      <c r="B304" s="14"/>
      <c r="C304" s="17" t="str">
        <f t="shared" si="4"/>
        <v/>
      </c>
      <c r="D304" s="14"/>
      <c r="J304" s="18"/>
      <c r="K304" s="18"/>
      <c r="L304" s="14"/>
      <c r="N304" s="14"/>
    </row>
    <row r="305" spans="1:14" x14ac:dyDescent="0.25">
      <c r="A305" s="4"/>
      <c r="B305" s="14"/>
      <c r="C305" s="17" t="str">
        <f t="shared" si="4"/>
        <v/>
      </c>
      <c r="D305" s="14"/>
      <c r="E305" s="18"/>
      <c r="F305" s="18"/>
      <c r="J305" s="18"/>
      <c r="K305" s="18"/>
      <c r="L305" s="14"/>
      <c r="N305" s="14"/>
    </row>
    <row r="306" spans="1:14" x14ac:dyDescent="0.25">
      <c r="A306" s="4"/>
      <c r="B306" s="14"/>
      <c r="C306" s="17" t="str">
        <f t="shared" si="4"/>
        <v/>
      </c>
      <c r="D306" s="14"/>
      <c r="J306" s="18"/>
      <c r="K306" s="18"/>
      <c r="L306" s="14"/>
      <c r="N306" s="14"/>
    </row>
    <row r="307" spans="1:14" x14ac:dyDescent="0.25">
      <c r="A307" s="4"/>
      <c r="B307" s="14"/>
      <c r="C307" s="17" t="str">
        <f t="shared" si="4"/>
        <v/>
      </c>
      <c r="D307" s="14"/>
      <c r="E307" s="18"/>
      <c r="F307" s="18"/>
      <c r="J307" s="18"/>
      <c r="K307" s="18"/>
      <c r="L307" s="14"/>
      <c r="N307" s="14"/>
    </row>
    <row r="308" spans="1:14" x14ac:dyDescent="0.25">
      <c r="A308" s="4"/>
      <c r="B308" s="14"/>
      <c r="C308" s="17" t="str">
        <f t="shared" si="4"/>
        <v/>
      </c>
      <c r="D308" s="14"/>
      <c r="J308" s="18"/>
      <c r="K308" s="18"/>
      <c r="L308" s="14"/>
      <c r="N308" s="14"/>
    </row>
    <row r="309" spans="1:14" x14ac:dyDescent="0.25">
      <c r="A309" s="4"/>
      <c r="B309" s="14"/>
      <c r="C309" s="17" t="str">
        <f t="shared" si="4"/>
        <v/>
      </c>
      <c r="D309" s="14"/>
      <c r="E309" s="18"/>
      <c r="F309" s="18"/>
      <c r="J309" s="18"/>
      <c r="K309" s="18"/>
      <c r="L309" s="14"/>
      <c r="N309" s="14"/>
    </row>
    <row r="310" spans="1:14" x14ac:dyDescent="0.25">
      <c r="A310" s="4"/>
      <c r="B310" s="14"/>
      <c r="C310" s="17" t="str">
        <f t="shared" si="4"/>
        <v/>
      </c>
      <c r="D310" s="14"/>
      <c r="J310" s="18"/>
      <c r="K310" s="18"/>
      <c r="L310" s="14"/>
      <c r="N310" s="14"/>
    </row>
    <row r="311" spans="1:14" x14ac:dyDescent="0.25">
      <c r="A311" s="4"/>
      <c r="B311" s="14"/>
      <c r="C311" s="17" t="str">
        <f t="shared" si="4"/>
        <v/>
      </c>
      <c r="D311" s="14"/>
      <c r="E311" s="18"/>
      <c r="F311" s="18"/>
      <c r="J311" s="18"/>
      <c r="K311" s="18"/>
      <c r="L311" s="14"/>
      <c r="N311" s="14"/>
    </row>
    <row r="312" spans="1:14" x14ac:dyDescent="0.25">
      <c r="A312" s="4"/>
      <c r="B312" s="14"/>
      <c r="C312" s="17" t="str">
        <f t="shared" si="4"/>
        <v/>
      </c>
      <c r="D312" s="14"/>
      <c r="J312" s="18"/>
      <c r="K312" s="18"/>
      <c r="L312" s="14"/>
      <c r="N312" s="14"/>
    </row>
    <row r="313" spans="1:14" x14ac:dyDescent="0.25">
      <c r="A313" s="4"/>
      <c r="B313" s="14"/>
      <c r="C313" s="17" t="str">
        <f t="shared" si="4"/>
        <v/>
      </c>
      <c r="D313" s="14"/>
      <c r="E313" s="18"/>
      <c r="F313" s="18"/>
      <c r="J313" s="18"/>
      <c r="K313" s="18"/>
      <c r="L313" s="14"/>
      <c r="N313" s="14"/>
    </row>
    <row r="314" spans="1:14" x14ac:dyDescent="0.25">
      <c r="A314" s="4"/>
      <c r="B314" s="14"/>
      <c r="C314" s="17" t="str">
        <f t="shared" si="4"/>
        <v/>
      </c>
      <c r="D314" s="14"/>
      <c r="J314" s="18"/>
      <c r="K314" s="18"/>
      <c r="L314" s="14"/>
      <c r="N314" s="14"/>
    </row>
    <row r="315" spans="1:14" x14ac:dyDescent="0.25">
      <c r="A315" s="4"/>
      <c r="B315" s="14"/>
      <c r="C315" s="17" t="str">
        <f t="shared" si="4"/>
        <v/>
      </c>
      <c r="D315" s="14"/>
      <c r="E315" s="18"/>
      <c r="F315" s="18"/>
      <c r="J315" s="18"/>
      <c r="K315" s="18"/>
      <c r="L315" s="14"/>
      <c r="N315" s="14"/>
    </row>
    <row r="316" spans="1:14" x14ac:dyDescent="0.25">
      <c r="A316" s="4"/>
      <c r="B316" s="14"/>
      <c r="C316" s="17" t="str">
        <f t="shared" si="4"/>
        <v/>
      </c>
      <c r="D316" s="14"/>
      <c r="J316" s="18"/>
      <c r="K316" s="18"/>
      <c r="L316" s="14"/>
      <c r="N316" s="14"/>
    </row>
    <row r="317" spans="1:14" x14ac:dyDescent="0.25">
      <c r="A317" s="4"/>
      <c r="B317" s="14"/>
      <c r="C317" s="17" t="str">
        <f t="shared" si="4"/>
        <v/>
      </c>
      <c r="D317" s="14"/>
      <c r="E317" s="18"/>
      <c r="F317" s="18"/>
      <c r="J317" s="18"/>
      <c r="K317" s="18"/>
      <c r="L317" s="14"/>
      <c r="N317" s="14"/>
    </row>
    <row r="318" spans="1:14" x14ac:dyDescent="0.25">
      <c r="A318" s="4"/>
      <c r="B318" s="14"/>
      <c r="C318" s="17" t="str">
        <f t="shared" si="4"/>
        <v/>
      </c>
      <c r="D318" s="14"/>
      <c r="J318" s="18"/>
      <c r="K318" s="18"/>
      <c r="L318" s="14"/>
      <c r="N318" s="14"/>
    </row>
    <row r="319" spans="1:14" x14ac:dyDescent="0.25">
      <c r="A319" s="4"/>
      <c r="B319" s="14"/>
      <c r="C319" s="17" t="str">
        <f t="shared" si="4"/>
        <v/>
      </c>
      <c r="D319" s="14"/>
      <c r="E319" s="18"/>
      <c r="F319" s="18"/>
      <c r="J319" s="18"/>
      <c r="K319" s="18"/>
      <c r="L319" s="14"/>
      <c r="N319" s="14"/>
    </row>
    <row r="320" spans="1:14" x14ac:dyDescent="0.25">
      <c r="A320" s="4"/>
      <c r="B320" s="14"/>
      <c r="C320" s="17" t="str">
        <f t="shared" si="4"/>
        <v/>
      </c>
      <c r="D320" s="14"/>
      <c r="J320" s="18"/>
      <c r="K320" s="18"/>
      <c r="L320" s="14"/>
      <c r="N320" s="14"/>
    </row>
    <row r="321" spans="1:14" x14ac:dyDescent="0.25">
      <c r="A321" s="4"/>
      <c r="B321" s="14"/>
      <c r="C321" s="17" t="str">
        <f t="shared" si="4"/>
        <v/>
      </c>
      <c r="D321" s="14"/>
      <c r="E321" s="18"/>
      <c r="F321" s="18"/>
      <c r="J321" s="18"/>
      <c r="K321" s="18"/>
      <c r="L321" s="14"/>
      <c r="N321" s="14"/>
    </row>
    <row r="322" spans="1:14" x14ac:dyDescent="0.25">
      <c r="A322" s="4"/>
      <c r="B322" s="14"/>
      <c r="C322" s="17" t="str">
        <f t="shared" si="4"/>
        <v/>
      </c>
      <c r="D322" s="14"/>
      <c r="J322" s="18"/>
      <c r="K322" s="18"/>
      <c r="L322" s="14"/>
      <c r="N322" s="14"/>
    </row>
    <row r="323" spans="1:14" x14ac:dyDescent="0.25">
      <c r="A323" s="4"/>
      <c r="B323" s="14"/>
      <c r="C323" s="17" t="str">
        <f t="shared" si="4"/>
        <v/>
      </c>
      <c r="D323" s="14"/>
      <c r="E323" s="18"/>
      <c r="F323" s="18"/>
      <c r="J323" s="18"/>
      <c r="K323" s="18"/>
      <c r="L323" s="14"/>
      <c r="N323" s="14"/>
    </row>
    <row r="324" spans="1:14" x14ac:dyDescent="0.25">
      <c r="A324" s="4"/>
      <c r="B324" s="14"/>
      <c r="C324" s="17" t="str">
        <f t="shared" si="4"/>
        <v/>
      </c>
      <c r="D324" s="14"/>
      <c r="J324" s="18"/>
      <c r="K324" s="18"/>
      <c r="L324" s="14"/>
      <c r="N324" s="14"/>
    </row>
    <row r="325" spans="1:14" x14ac:dyDescent="0.25">
      <c r="A325" s="4"/>
      <c r="B325" s="14"/>
      <c r="C325" s="17" t="str">
        <f t="shared" si="4"/>
        <v/>
      </c>
      <c r="D325" s="14"/>
      <c r="E325" s="18"/>
      <c r="F325" s="18"/>
      <c r="J325" s="18"/>
      <c r="K325" s="18"/>
      <c r="L325" s="14"/>
      <c r="N325" s="14"/>
    </row>
    <row r="326" spans="1:14" x14ac:dyDescent="0.25">
      <c r="A326" s="4"/>
      <c r="B326" s="14"/>
      <c r="C326" s="17" t="str">
        <f t="shared" si="4"/>
        <v/>
      </c>
      <c r="D326" s="14"/>
      <c r="J326" s="18"/>
      <c r="K326" s="18"/>
      <c r="L326" s="14"/>
      <c r="N326" s="14"/>
    </row>
    <row r="327" spans="1:14" x14ac:dyDescent="0.25">
      <c r="A327" s="4"/>
      <c r="B327" s="14"/>
      <c r="C327" s="17" t="str">
        <f t="shared" si="4"/>
        <v/>
      </c>
      <c r="D327" s="14"/>
      <c r="E327" s="18"/>
      <c r="F327" s="18"/>
      <c r="J327" s="18"/>
      <c r="K327" s="18"/>
      <c r="L327" s="14"/>
      <c r="N327" s="14"/>
    </row>
    <row r="328" spans="1:14" x14ac:dyDescent="0.25">
      <c r="A328" s="4"/>
      <c r="B328" s="14"/>
      <c r="C328" s="17" t="str">
        <f t="shared" si="4"/>
        <v/>
      </c>
      <c r="D328" s="14"/>
      <c r="J328" s="18"/>
      <c r="K328" s="18"/>
      <c r="L328" s="14"/>
      <c r="N328" s="14"/>
    </row>
    <row r="329" spans="1:14" x14ac:dyDescent="0.25">
      <c r="A329" s="4"/>
      <c r="B329" s="14"/>
      <c r="C329" s="17" t="str">
        <f t="shared" si="4"/>
        <v/>
      </c>
      <c r="D329" s="14"/>
      <c r="E329" s="18"/>
      <c r="F329" s="18"/>
      <c r="J329" s="18"/>
      <c r="K329" s="18"/>
      <c r="L329" s="14"/>
      <c r="N329" s="14"/>
    </row>
    <row r="330" spans="1:14" x14ac:dyDescent="0.25">
      <c r="A330" s="4"/>
      <c r="B330" s="14"/>
      <c r="C330" s="17" t="str">
        <f t="shared" si="4"/>
        <v/>
      </c>
      <c r="D330" s="14"/>
      <c r="J330" s="18"/>
      <c r="K330" s="18"/>
      <c r="L330" s="14"/>
      <c r="N330" s="14"/>
    </row>
    <row r="331" spans="1:14" x14ac:dyDescent="0.25">
      <c r="A331" s="4"/>
      <c r="B331" s="14"/>
      <c r="C331" s="17" t="str">
        <f t="shared" ref="C331:C394" si="5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25">
      <c r="A332" s="4"/>
      <c r="B332" s="14"/>
      <c r="C332" s="17" t="str">
        <f t="shared" si="5"/>
        <v/>
      </c>
      <c r="D332" s="14"/>
      <c r="J332" s="18"/>
      <c r="K332" s="18"/>
      <c r="L332" s="14"/>
      <c r="N332" s="14"/>
    </row>
    <row r="333" spans="1:14" x14ac:dyDescent="0.25">
      <c r="A333" s="4"/>
      <c r="B333" s="14"/>
      <c r="C333" s="17" t="str">
        <f t="shared" si="5"/>
        <v/>
      </c>
      <c r="D333" s="14"/>
      <c r="J333" s="18"/>
      <c r="K333" s="18"/>
      <c r="L333" s="14"/>
      <c r="N333" s="14"/>
    </row>
    <row r="334" spans="1:14" x14ac:dyDescent="0.25">
      <c r="A334" s="4"/>
      <c r="B334" s="14"/>
      <c r="C334" s="17" t="str">
        <f t="shared" si="5"/>
        <v/>
      </c>
      <c r="D334" s="14"/>
      <c r="J334" s="18"/>
      <c r="K334" s="18"/>
      <c r="L334" s="14"/>
      <c r="N334" s="14"/>
    </row>
    <row r="335" spans="1:14" x14ac:dyDescent="0.25">
      <c r="A335" s="4"/>
      <c r="B335" s="14"/>
      <c r="C335" s="17" t="str">
        <f t="shared" si="5"/>
        <v/>
      </c>
      <c r="D335" s="14"/>
      <c r="J335" s="18"/>
      <c r="K335" s="18"/>
      <c r="L335" s="14"/>
      <c r="N335" s="14"/>
    </row>
    <row r="336" spans="1:14" x14ac:dyDescent="0.25">
      <c r="A336" s="4"/>
      <c r="B336" s="14"/>
      <c r="C336" s="17" t="str">
        <f t="shared" si="5"/>
        <v/>
      </c>
      <c r="D336" s="14"/>
      <c r="J336" s="18"/>
      <c r="K336" s="18"/>
      <c r="L336" s="14"/>
      <c r="N336" s="14"/>
    </row>
    <row r="337" spans="1:14" x14ac:dyDescent="0.25">
      <c r="A337" s="4"/>
      <c r="B337" s="14"/>
      <c r="C337" s="17" t="str">
        <f t="shared" si="5"/>
        <v/>
      </c>
      <c r="D337" s="14"/>
      <c r="J337" s="18"/>
      <c r="K337" s="18"/>
      <c r="L337" s="14"/>
      <c r="N337" s="14"/>
    </row>
    <row r="338" spans="1:14" x14ac:dyDescent="0.25">
      <c r="A338" s="4"/>
      <c r="B338" s="14"/>
      <c r="C338" s="17" t="str">
        <f t="shared" si="5"/>
        <v/>
      </c>
      <c r="D338" s="14"/>
      <c r="J338" s="18"/>
      <c r="K338" s="18"/>
      <c r="L338" s="14"/>
      <c r="N338" s="14"/>
    </row>
    <row r="339" spans="1:14" x14ac:dyDescent="0.25">
      <c r="A339" s="4"/>
      <c r="B339" s="14"/>
      <c r="C339" s="17" t="str">
        <f t="shared" si="5"/>
        <v/>
      </c>
      <c r="D339" s="14"/>
      <c r="J339" s="18"/>
      <c r="K339" s="18"/>
      <c r="L339" s="14"/>
      <c r="N339" s="14"/>
    </row>
    <row r="340" spans="1:14" x14ac:dyDescent="0.25">
      <c r="A340" s="4"/>
      <c r="B340" s="14"/>
      <c r="C340" s="17" t="str">
        <f t="shared" si="5"/>
        <v/>
      </c>
      <c r="D340" s="14"/>
      <c r="J340" s="18"/>
      <c r="K340" s="18"/>
      <c r="L340" s="14"/>
      <c r="N340" s="14"/>
    </row>
    <row r="341" spans="1:14" x14ac:dyDescent="0.25">
      <c r="A341" s="4"/>
      <c r="B341" s="14"/>
      <c r="C341" s="17" t="str">
        <f t="shared" si="5"/>
        <v/>
      </c>
      <c r="D341" s="14"/>
      <c r="J341" s="18"/>
      <c r="K341" s="18"/>
      <c r="L341" s="14"/>
      <c r="N341" s="14"/>
    </row>
    <row r="342" spans="1:14" x14ac:dyDescent="0.25">
      <c r="A342" s="4"/>
      <c r="B342" s="14"/>
      <c r="C342" s="17" t="str">
        <f t="shared" si="5"/>
        <v/>
      </c>
      <c r="D342" s="14"/>
      <c r="J342" s="18"/>
      <c r="K342" s="18"/>
      <c r="L342" s="14"/>
      <c r="N342" s="14"/>
    </row>
    <row r="343" spans="1:14" x14ac:dyDescent="0.25">
      <c r="A343" s="4"/>
      <c r="B343" s="14"/>
      <c r="C343" s="17" t="str">
        <f t="shared" si="5"/>
        <v/>
      </c>
      <c r="D343" s="14"/>
      <c r="J343" s="18"/>
      <c r="K343" s="18"/>
      <c r="L343" s="14"/>
      <c r="N343" s="14"/>
    </row>
    <row r="344" spans="1:14" x14ac:dyDescent="0.25">
      <c r="A344" s="4"/>
      <c r="B344" s="14"/>
      <c r="C344" s="17" t="str">
        <f t="shared" si="5"/>
        <v/>
      </c>
      <c r="D344" s="14"/>
      <c r="J344" s="18"/>
      <c r="K344" s="18"/>
      <c r="L344" s="14"/>
      <c r="N344" s="14"/>
    </row>
    <row r="345" spans="1:14" x14ac:dyDescent="0.25">
      <c r="A345" s="4"/>
      <c r="B345" s="14"/>
      <c r="C345" s="17" t="str">
        <f t="shared" si="5"/>
        <v/>
      </c>
      <c r="D345" s="14"/>
      <c r="J345" s="18"/>
      <c r="K345" s="18"/>
      <c r="L345" s="14"/>
      <c r="N345" s="14"/>
    </row>
    <row r="346" spans="1:14" x14ac:dyDescent="0.25">
      <c r="A346" s="4"/>
      <c r="B346" s="14"/>
      <c r="C346" s="17" t="str">
        <f t="shared" si="5"/>
        <v/>
      </c>
      <c r="D346" s="14"/>
      <c r="J346" s="18"/>
      <c r="K346" s="18"/>
      <c r="L346" s="14"/>
      <c r="N346" s="14"/>
    </row>
    <row r="347" spans="1:14" x14ac:dyDescent="0.25">
      <c r="A347" s="4"/>
      <c r="B347" s="14"/>
      <c r="C347" s="17" t="str">
        <f t="shared" si="5"/>
        <v/>
      </c>
      <c r="D347" s="14"/>
      <c r="J347" s="18"/>
      <c r="K347" s="18"/>
      <c r="L347" s="14"/>
      <c r="N347" s="14"/>
    </row>
    <row r="348" spans="1:14" x14ac:dyDescent="0.25">
      <c r="A348" s="4"/>
      <c r="B348" s="14"/>
      <c r="C348" s="17" t="str">
        <f t="shared" si="5"/>
        <v/>
      </c>
      <c r="D348" s="14"/>
      <c r="J348" s="18"/>
      <c r="K348" s="18"/>
      <c r="L348" s="14"/>
      <c r="N348" s="14"/>
    </row>
    <row r="349" spans="1:14" x14ac:dyDescent="0.25">
      <c r="A349" s="4"/>
      <c r="B349" s="14"/>
      <c r="C349" s="17" t="str">
        <f t="shared" si="5"/>
        <v/>
      </c>
      <c r="D349" s="14"/>
      <c r="J349" s="18"/>
      <c r="K349" s="18"/>
      <c r="L349" s="14"/>
      <c r="N349" s="14"/>
    </row>
    <row r="350" spans="1:14" x14ac:dyDescent="0.25">
      <c r="A350" s="4"/>
      <c r="B350" s="14"/>
      <c r="C350" s="17" t="str">
        <f t="shared" si="5"/>
        <v/>
      </c>
      <c r="D350" s="14"/>
      <c r="J350" s="18"/>
      <c r="K350" s="18"/>
      <c r="L350" s="14"/>
      <c r="N350" s="14"/>
    </row>
    <row r="351" spans="1:14" x14ac:dyDescent="0.25">
      <c r="A351" s="4"/>
      <c r="B351" s="14"/>
      <c r="C351" s="17" t="str">
        <f t="shared" si="5"/>
        <v/>
      </c>
      <c r="D351" s="14"/>
      <c r="J351" s="18"/>
      <c r="K351" s="18"/>
      <c r="L351" s="14"/>
      <c r="N351" s="14"/>
    </row>
    <row r="352" spans="1:14" x14ac:dyDescent="0.25">
      <c r="A352" s="4"/>
      <c r="B352" s="14"/>
      <c r="C352" s="17" t="str">
        <f t="shared" si="5"/>
        <v/>
      </c>
      <c r="D352" s="14"/>
      <c r="J352" s="18"/>
      <c r="K352" s="18"/>
      <c r="L352" s="14"/>
      <c r="N352" s="14"/>
    </row>
    <row r="353" spans="1:14" x14ac:dyDescent="0.25">
      <c r="A353" s="4"/>
      <c r="B353" s="14"/>
      <c r="C353" s="17" t="str">
        <f t="shared" si="5"/>
        <v/>
      </c>
      <c r="D353" s="14"/>
      <c r="J353" s="18"/>
      <c r="K353" s="18"/>
      <c r="L353" s="14"/>
      <c r="N353" s="14"/>
    </row>
    <row r="354" spans="1:14" x14ac:dyDescent="0.25">
      <c r="A354" s="4"/>
      <c r="B354" s="14"/>
      <c r="C354" s="17" t="str">
        <f t="shared" si="5"/>
        <v/>
      </c>
      <c r="D354" s="14"/>
      <c r="J354" s="18"/>
      <c r="K354" s="18"/>
      <c r="L354" s="14"/>
      <c r="N354" s="14"/>
    </row>
    <row r="355" spans="1:14" x14ac:dyDescent="0.25">
      <c r="A355" s="4"/>
      <c r="B355" s="14"/>
      <c r="C355" s="17" t="str">
        <f t="shared" si="5"/>
        <v/>
      </c>
      <c r="D355" s="14"/>
      <c r="J355" s="18"/>
      <c r="K355" s="18"/>
      <c r="L355" s="14"/>
      <c r="N355" s="14"/>
    </row>
    <row r="356" spans="1:14" x14ac:dyDescent="0.25">
      <c r="A356" s="4"/>
      <c r="B356" s="14"/>
      <c r="C356" s="17" t="str">
        <f t="shared" si="5"/>
        <v/>
      </c>
      <c r="D356" s="14"/>
      <c r="J356" s="18"/>
      <c r="K356" s="18"/>
      <c r="L356" s="14"/>
      <c r="N356" s="14"/>
    </row>
    <row r="357" spans="1:14" x14ac:dyDescent="0.25">
      <c r="A357" s="4"/>
      <c r="B357" s="14"/>
      <c r="C357" s="17" t="str">
        <f t="shared" si="5"/>
        <v/>
      </c>
      <c r="D357" s="14"/>
      <c r="J357" s="18"/>
      <c r="K357" s="18"/>
      <c r="L357" s="14"/>
      <c r="N357" s="14"/>
    </row>
    <row r="358" spans="1:14" x14ac:dyDescent="0.25">
      <c r="A358" s="4"/>
      <c r="B358" s="14"/>
      <c r="C358" s="17" t="str">
        <f t="shared" si="5"/>
        <v/>
      </c>
      <c r="D358" s="14"/>
      <c r="J358" s="18"/>
      <c r="K358" s="18"/>
      <c r="L358" s="14"/>
      <c r="N358" s="14"/>
    </row>
    <row r="359" spans="1:14" x14ac:dyDescent="0.25">
      <c r="A359" s="4"/>
      <c r="B359" s="14"/>
      <c r="C359" s="17" t="str">
        <f t="shared" si="5"/>
        <v/>
      </c>
      <c r="D359" s="14"/>
      <c r="J359" s="18"/>
      <c r="K359" s="18"/>
      <c r="L359" s="14"/>
      <c r="N359" s="14"/>
    </row>
    <row r="360" spans="1:14" x14ac:dyDescent="0.25">
      <c r="A360" s="4"/>
      <c r="B360" s="14"/>
      <c r="C360" s="17" t="str">
        <f t="shared" si="5"/>
        <v/>
      </c>
      <c r="D360" s="14"/>
      <c r="J360" s="18"/>
      <c r="K360" s="18"/>
      <c r="L360" s="14"/>
      <c r="N360" s="14"/>
    </row>
    <row r="361" spans="1:14" x14ac:dyDescent="0.25">
      <c r="A361" s="4"/>
      <c r="B361" s="14"/>
      <c r="C361" s="17" t="str">
        <f t="shared" si="5"/>
        <v/>
      </c>
      <c r="D361" s="14"/>
      <c r="E361" s="18"/>
      <c r="F361" s="18"/>
      <c r="J361" s="18"/>
      <c r="K361" s="18"/>
      <c r="L361" s="14"/>
      <c r="N361" s="14"/>
    </row>
    <row r="362" spans="1:14" x14ac:dyDescent="0.25">
      <c r="A362" s="4"/>
      <c r="B362" s="14"/>
      <c r="C362" s="17" t="str">
        <f t="shared" si="5"/>
        <v/>
      </c>
      <c r="D362" s="14"/>
      <c r="J362" s="18"/>
      <c r="K362" s="18"/>
      <c r="L362" s="14"/>
      <c r="N362" s="14"/>
    </row>
    <row r="363" spans="1:14" x14ac:dyDescent="0.25">
      <c r="A363" s="4"/>
      <c r="B363" s="14"/>
      <c r="C363" s="17" t="str">
        <f t="shared" si="5"/>
        <v/>
      </c>
      <c r="D363" s="14"/>
      <c r="E363" s="18"/>
      <c r="F363" s="18"/>
      <c r="J363" s="18"/>
      <c r="K363" s="18"/>
      <c r="L363" s="14"/>
      <c r="N363" s="14"/>
    </row>
    <row r="364" spans="1:14" x14ac:dyDescent="0.25">
      <c r="A364" s="4"/>
      <c r="B364" s="14"/>
      <c r="C364" s="17" t="str">
        <f t="shared" si="5"/>
        <v/>
      </c>
      <c r="D364" s="14"/>
      <c r="J364" s="18"/>
      <c r="K364" s="18"/>
      <c r="L364" s="14"/>
      <c r="N364" s="14"/>
    </row>
    <row r="365" spans="1:14" x14ac:dyDescent="0.25">
      <c r="A365" s="4"/>
      <c r="B365" s="14"/>
      <c r="C365" s="17" t="str">
        <f t="shared" si="5"/>
        <v/>
      </c>
      <c r="D365" s="14"/>
      <c r="E365" s="18"/>
      <c r="F365" s="18"/>
      <c r="J365" s="18"/>
      <c r="K365" s="18"/>
      <c r="L365" s="14"/>
      <c r="N365" s="14"/>
    </row>
    <row r="366" spans="1:14" x14ac:dyDescent="0.25">
      <c r="A366" s="4"/>
      <c r="B366" s="14"/>
      <c r="C366" s="17" t="str">
        <f t="shared" si="5"/>
        <v/>
      </c>
      <c r="D366" s="14"/>
      <c r="J366" s="18"/>
      <c r="K366" s="18"/>
      <c r="L366" s="14"/>
      <c r="N366" s="14"/>
    </row>
    <row r="367" spans="1:14" x14ac:dyDescent="0.25">
      <c r="A367" s="4"/>
      <c r="B367" s="14"/>
      <c r="C367" s="17" t="str">
        <f t="shared" si="5"/>
        <v/>
      </c>
      <c r="D367" s="14"/>
      <c r="E367" s="18"/>
      <c r="F367" s="18"/>
      <c r="J367" s="18"/>
      <c r="K367" s="18"/>
      <c r="L367" s="14"/>
      <c r="N367" s="14"/>
    </row>
    <row r="368" spans="1:14" x14ac:dyDescent="0.25">
      <c r="A368" s="4"/>
      <c r="B368" s="14"/>
      <c r="C368" s="17" t="str">
        <f t="shared" si="5"/>
        <v/>
      </c>
      <c r="D368" s="14"/>
      <c r="J368" s="18"/>
      <c r="K368" s="18"/>
      <c r="L368" s="14"/>
      <c r="N368" s="14"/>
    </row>
    <row r="369" spans="1:14" x14ac:dyDescent="0.25">
      <c r="A369" s="4"/>
      <c r="B369" s="14"/>
      <c r="C369" s="17" t="str">
        <f t="shared" si="5"/>
        <v/>
      </c>
      <c r="D369" s="14"/>
      <c r="E369" s="18"/>
      <c r="F369" s="18"/>
      <c r="J369" s="18"/>
      <c r="K369" s="18"/>
      <c r="L369" s="14"/>
      <c r="N369" s="14"/>
    </row>
    <row r="370" spans="1:14" x14ac:dyDescent="0.25">
      <c r="A370" s="4"/>
      <c r="B370" s="14"/>
      <c r="C370" s="17" t="str">
        <f t="shared" si="5"/>
        <v/>
      </c>
      <c r="D370" s="14"/>
      <c r="J370" s="18"/>
      <c r="K370" s="18"/>
      <c r="L370" s="14"/>
      <c r="N370" s="14"/>
    </row>
    <row r="371" spans="1:14" x14ac:dyDescent="0.25">
      <c r="A371" s="4"/>
      <c r="B371" s="14"/>
      <c r="C371" s="17" t="str">
        <f t="shared" si="5"/>
        <v/>
      </c>
      <c r="D371" s="14"/>
      <c r="E371" s="18"/>
      <c r="F371" s="18"/>
      <c r="J371" s="18"/>
      <c r="K371" s="18"/>
      <c r="L371" s="14"/>
      <c r="N371" s="14"/>
    </row>
    <row r="372" spans="1:14" x14ac:dyDescent="0.25">
      <c r="A372" s="4"/>
      <c r="B372" s="14"/>
      <c r="C372" s="17" t="str">
        <f t="shared" si="5"/>
        <v/>
      </c>
      <c r="D372" s="14"/>
      <c r="J372" s="18"/>
      <c r="K372" s="18"/>
      <c r="L372" s="14"/>
      <c r="N372" s="14"/>
    </row>
    <row r="373" spans="1:14" x14ac:dyDescent="0.25">
      <c r="A373" s="4"/>
      <c r="B373" s="14"/>
      <c r="C373" s="17" t="str">
        <f t="shared" si="5"/>
        <v/>
      </c>
      <c r="D373" s="14"/>
      <c r="E373" s="18"/>
      <c r="F373" s="18"/>
      <c r="J373" s="18"/>
      <c r="K373" s="18"/>
      <c r="L373" s="14"/>
      <c r="N373" s="14"/>
    </row>
    <row r="374" spans="1:14" x14ac:dyDescent="0.25">
      <c r="A374" s="4"/>
      <c r="B374" s="14"/>
      <c r="C374" s="17" t="str">
        <f t="shared" si="5"/>
        <v/>
      </c>
      <c r="D374" s="14"/>
      <c r="J374" s="18"/>
      <c r="K374" s="18"/>
      <c r="L374" s="14"/>
      <c r="N374" s="14"/>
    </row>
    <row r="375" spans="1:14" x14ac:dyDescent="0.25">
      <c r="A375" s="4"/>
      <c r="B375" s="14"/>
      <c r="C375" s="17" t="str">
        <f t="shared" si="5"/>
        <v/>
      </c>
      <c r="D375" s="14"/>
      <c r="E375" s="18"/>
      <c r="F375" s="18"/>
      <c r="J375" s="18"/>
      <c r="K375" s="18"/>
      <c r="L375" s="14"/>
      <c r="N375" s="14"/>
    </row>
    <row r="376" spans="1:14" x14ac:dyDescent="0.25">
      <c r="A376" s="4"/>
      <c r="B376" s="14"/>
      <c r="C376" s="17" t="str">
        <f t="shared" si="5"/>
        <v/>
      </c>
      <c r="D376" s="14"/>
      <c r="J376" s="18"/>
      <c r="K376" s="18"/>
      <c r="L376" s="14"/>
      <c r="N376" s="14"/>
    </row>
    <row r="377" spans="1:14" x14ac:dyDescent="0.25">
      <c r="A377" s="4"/>
      <c r="B377" s="14"/>
      <c r="C377" s="17" t="str">
        <f t="shared" si="5"/>
        <v/>
      </c>
      <c r="D377" s="14"/>
      <c r="E377" s="18"/>
      <c r="F377" s="18"/>
      <c r="J377" s="18"/>
      <c r="K377" s="18"/>
      <c r="L377" s="14"/>
      <c r="N377" s="14"/>
    </row>
    <row r="378" spans="1:14" x14ac:dyDescent="0.25">
      <c r="A378" s="4"/>
      <c r="B378" s="14"/>
      <c r="C378" s="17" t="str">
        <f t="shared" si="5"/>
        <v/>
      </c>
      <c r="D378" s="14"/>
      <c r="J378" s="18"/>
      <c r="K378" s="18"/>
      <c r="L378" s="14"/>
      <c r="N378" s="14"/>
    </row>
    <row r="379" spans="1:14" x14ac:dyDescent="0.25">
      <c r="A379" s="4"/>
      <c r="B379" s="14"/>
      <c r="C379" s="17" t="str">
        <f t="shared" si="5"/>
        <v/>
      </c>
      <c r="D379" s="14"/>
      <c r="E379" s="18"/>
      <c r="F379" s="18"/>
      <c r="J379" s="18"/>
      <c r="K379" s="18"/>
      <c r="L379" s="14"/>
      <c r="N379" s="14"/>
    </row>
    <row r="380" spans="1:14" x14ac:dyDescent="0.25">
      <c r="A380" s="4"/>
      <c r="B380" s="14"/>
      <c r="C380" s="17" t="str">
        <f t="shared" si="5"/>
        <v/>
      </c>
      <c r="D380" s="14"/>
      <c r="J380" s="18"/>
      <c r="K380" s="18"/>
      <c r="L380" s="14"/>
      <c r="N380" s="14"/>
    </row>
    <row r="381" spans="1:14" x14ac:dyDescent="0.25">
      <c r="A381" s="4"/>
      <c r="B381" s="14"/>
      <c r="C381" s="17" t="str">
        <f t="shared" si="5"/>
        <v/>
      </c>
      <c r="D381" s="14"/>
      <c r="E381" s="18"/>
      <c r="F381" s="18"/>
      <c r="J381" s="18"/>
      <c r="K381" s="18"/>
      <c r="L381" s="14"/>
      <c r="N381" s="14"/>
    </row>
    <row r="382" spans="1:14" x14ac:dyDescent="0.25">
      <c r="A382" s="4"/>
      <c r="B382" s="14"/>
      <c r="C382" s="17" t="str">
        <f t="shared" si="5"/>
        <v/>
      </c>
      <c r="D382" s="14"/>
      <c r="J382" s="18"/>
      <c r="K382" s="18"/>
      <c r="L382" s="14"/>
      <c r="N382" s="14"/>
    </row>
    <row r="383" spans="1:14" x14ac:dyDescent="0.25">
      <c r="A383" s="4"/>
      <c r="B383" s="14"/>
      <c r="C383" s="17" t="str">
        <f t="shared" si="5"/>
        <v/>
      </c>
      <c r="D383" s="14"/>
      <c r="E383" s="18"/>
      <c r="F383" s="18"/>
      <c r="J383" s="18"/>
      <c r="K383" s="18"/>
      <c r="L383" s="14"/>
      <c r="N383" s="14"/>
    </row>
    <row r="384" spans="1:14" x14ac:dyDescent="0.25">
      <c r="A384" s="4"/>
      <c r="B384" s="14"/>
      <c r="C384" s="17" t="str">
        <f t="shared" si="5"/>
        <v/>
      </c>
      <c r="D384" s="14"/>
      <c r="J384" s="18"/>
      <c r="K384" s="18"/>
      <c r="L384" s="14"/>
      <c r="N384" s="14"/>
    </row>
    <row r="385" spans="1:14" x14ac:dyDescent="0.25">
      <c r="A385" s="4"/>
      <c r="B385" s="14"/>
      <c r="C385" s="17" t="str">
        <f t="shared" si="5"/>
        <v/>
      </c>
      <c r="D385" s="14"/>
      <c r="E385" s="18"/>
      <c r="F385" s="18"/>
      <c r="J385" s="18"/>
      <c r="K385" s="18"/>
      <c r="L385" s="14"/>
      <c r="N385" s="14"/>
    </row>
    <row r="386" spans="1:14" x14ac:dyDescent="0.25">
      <c r="A386" s="4"/>
      <c r="B386" s="14"/>
      <c r="C386" s="17" t="str">
        <f t="shared" si="5"/>
        <v/>
      </c>
      <c r="D386" s="14"/>
      <c r="J386" s="18"/>
      <c r="K386" s="18"/>
      <c r="L386" s="14"/>
      <c r="N386" s="14"/>
    </row>
    <row r="387" spans="1:14" x14ac:dyDescent="0.25">
      <c r="A387" s="4"/>
      <c r="B387" s="14"/>
      <c r="C387" s="17" t="str">
        <f t="shared" si="5"/>
        <v/>
      </c>
      <c r="D387" s="14"/>
      <c r="E387" s="18"/>
      <c r="F387" s="18"/>
      <c r="J387" s="18"/>
      <c r="K387" s="18"/>
      <c r="L387" s="14"/>
      <c r="N387" s="14"/>
    </row>
    <row r="388" spans="1:14" x14ac:dyDescent="0.25">
      <c r="A388" s="4"/>
      <c r="B388" s="14"/>
      <c r="C388" s="17" t="str">
        <f t="shared" si="5"/>
        <v/>
      </c>
      <c r="D388" s="14"/>
      <c r="J388" s="18"/>
      <c r="K388" s="18"/>
      <c r="L388" s="14"/>
      <c r="N388" s="14"/>
    </row>
    <row r="389" spans="1:14" x14ac:dyDescent="0.25">
      <c r="A389" s="4"/>
      <c r="B389" s="14"/>
      <c r="C389" s="17" t="str">
        <f t="shared" si="5"/>
        <v/>
      </c>
      <c r="D389" s="14"/>
      <c r="E389" s="18"/>
      <c r="F389" s="18"/>
      <c r="J389" s="18"/>
      <c r="K389" s="18"/>
      <c r="L389" s="14"/>
      <c r="N389" s="14"/>
    </row>
    <row r="390" spans="1:14" x14ac:dyDescent="0.25">
      <c r="A390" s="4"/>
      <c r="B390" s="14"/>
      <c r="C390" s="17" t="str">
        <f t="shared" si="5"/>
        <v/>
      </c>
      <c r="D390" s="14"/>
      <c r="J390" s="18"/>
      <c r="K390" s="18"/>
      <c r="L390" s="14"/>
      <c r="N390" s="14"/>
    </row>
    <row r="391" spans="1:14" x14ac:dyDescent="0.25">
      <c r="A391" s="4"/>
      <c r="B391" s="14"/>
      <c r="C391" s="17" t="str">
        <f t="shared" si="5"/>
        <v/>
      </c>
      <c r="D391" s="14"/>
      <c r="E391" s="18"/>
      <c r="F391" s="18"/>
      <c r="J391" s="18"/>
      <c r="K391" s="18"/>
      <c r="L391" s="14"/>
      <c r="N391" s="14"/>
    </row>
    <row r="392" spans="1:14" x14ac:dyDescent="0.25">
      <c r="A392" s="4"/>
      <c r="B392" s="14"/>
      <c r="C392" s="17" t="str">
        <f t="shared" si="5"/>
        <v/>
      </c>
      <c r="D392" s="14"/>
      <c r="J392" s="18"/>
      <c r="K392" s="18"/>
      <c r="L392" s="14"/>
      <c r="N392" s="14"/>
    </row>
    <row r="393" spans="1:14" x14ac:dyDescent="0.25">
      <c r="A393" s="4"/>
      <c r="B393" s="14"/>
      <c r="C393" s="17" t="str">
        <f t="shared" si="5"/>
        <v/>
      </c>
      <c r="D393" s="14"/>
      <c r="E393" s="18"/>
      <c r="F393" s="18"/>
      <c r="J393" s="18"/>
      <c r="K393" s="18"/>
      <c r="L393" s="14"/>
      <c r="N393" s="14"/>
    </row>
    <row r="394" spans="1:14" x14ac:dyDescent="0.25">
      <c r="A394" s="4"/>
      <c r="B394" s="14"/>
      <c r="C394" s="17" t="str">
        <f t="shared" si="5"/>
        <v/>
      </c>
      <c r="D394" s="14"/>
      <c r="J394" s="18"/>
      <c r="K394" s="18"/>
      <c r="L394" s="14"/>
      <c r="N394" s="14"/>
    </row>
    <row r="395" spans="1:14" x14ac:dyDescent="0.25">
      <c r="A395" s="4"/>
      <c r="B395" s="14"/>
      <c r="C395" s="17" t="str">
        <f t="shared" ref="C395:C408" si="6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25">
      <c r="A396" s="4"/>
      <c r="B396" s="14"/>
      <c r="C396" s="17" t="str">
        <f t="shared" si="6"/>
        <v/>
      </c>
      <c r="D396" s="14"/>
      <c r="J396" s="18"/>
      <c r="K396" s="18"/>
      <c r="L396" s="14"/>
      <c r="N396" s="14"/>
    </row>
    <row r="397" spans="1:14" x14ac:dyDescent="0.25">
      <c r="A397" s="4"/>
      <c r="B397" s="14"/>
      <c r="C397" s="17" t="str">
        <f t="shared" si="6"/>
        <v/>
      </c>
      <c r="D397" s="14"/>
      <c r="E397" s="18"/>
      <c r="F397" s="18"/>
      <c r="J397" s="18"/>
      <c r="K397" s="18"/>
      <c r="L397" s="14"/>
      <c r="N397" s="14"/>
    </row>
    <row r="398" spans="1:14" x14ac:dyDescent="0.25">
      <c r="A398" s="4"/>
      <c r="B398" s="14"/>
      <c r="C398" s="17" t="str">
        <f t="shared" si="6"/>
        <v/>
      </c>
      <c r="D398" s="14"/>
      <c r="J398" s="18"/>
      <c r="K398" s="18"/>
      <c r="L398" s="14"/>
      <c r="N398" s="14"/>
    </row>
    <row r="399" spans="1:14" x14ac:dyDescent="0.25">
      <c r="A399" s="4"/>
      <c r="B399" s="14"/>
      <c r="C399" s="17" t="str">
        <f t="shared" si="6"/>
        <v/>
      </c>
      <c r="D399" s="14"/>
      <c r="E399" s="18"/>
      <c r="F399" s="18"/>
      <c r="J399" s="18"/>
      <c r="K399" s="18"/>
      <c r="L399" s="14"/>
      <c r="N399" s="14"/>
    </row>
    <row r="400" spans="1:14" x14ac:dyDescent="0.25">
      <c r="A400" s="4"/>
      <c r="B400" s="14"/>
      <c r="C400" s="17" t="str">
        <f t="shared" si="6"/>
        <v/>
      </c>
      <c r="D400" s="14"/>
      <c r="J400" s="18"/>
      <c r="K400" s="18"/>
      <c r="L400" s="14"/>
      <c r="N400" s="14"/>
    </row>
    <row r="401" spans="1:14" x14ac:dyDescent="0.25">
      <c r="A401" s="4"/>
      <c r="B401" s="14"/>
      <c r="C401" s="17" t="str">
        <f t="shared" si="6"/>
        <v/>
      </c>
      <c r="D401" s="14"/>
      <c r="E401" s="18"/>
      <c r="F401" s="18"/>
      <c r="J401" s="18"/>
      <c r="K401" s="18"/>
      <c r="L401" s="14"/>
      <c r="N401" s="14"/>
    </row>
    <row r="402" spans="1:14" x14ac:dyDescent="0.25">
      <c r="A402" s="4"/>
      <c r="B402" s="14"/>
      <c r="C402" s="17" t="str">
        <f t="shared" si="6"/>
        <v/>
      </c>
      <c r="D402" s="14"/>
      <c r="J402" s="18"/>
      <c r="K402" s="18"/>
      <c r="L402" s="14"/>
      <c r="N402" s="14"/>
    </row>
    <row r="403" spans="1:14" x14ac:dyDescent="0.25">
      <c r="A403" s="4"/>
      <c r="B403" s="14"/>
      <c r="C403" s="17" t="str">
        <f t="shared" si="6"/>
        <v/>
      </c>
      <c r="D403" s="14"/>
      <c r="E403" s="18"/>
      <c r="F403" s="18"/>
      <c r="J403" s="18"/>
      <c r="K403" s="18"/>
      <c r="L403" s="14"/>
      <c r="N403" s="14"/>
    </row>
    <row r="404" spans="1:14" x14ac:dyDescent="0.25">
      <c r="A404" s="4"/>
      <c r="B404" s="14"/>
      <c r="C404" s="17" t="str">
        <f t="shared" si="6"/>
        <v/>
      </c>
      <c r="D404" s="14"/>
      <c r="J404" s="18"/>
      <c r="K404" s="18"/>
      <c r="L404" s="14"/>
      <c r="N404" s="14"/>
    </row>
    <row r="405" spans="1:14" x14ac:dyDescent="0.25">
      <c r="A405" s="4"/>
      <c r="B405" s="14"/>
      <c r="C405" s="17" t="str">
        <f t="shared" si="6"/>
        <v/>
      </c>
      <c r="D405" s="14"/>
      <c r="E405" s="18"/>
      <c r="F405" s="18"/>
      <c r="J405" s="18"/>
      <c r="K405" s="18"/>
      <c r="L405" s="14"/>
      <c r="N405" s="14"/>
    </row>
    <row r="406" spans="1:14" x14ac:dyDescent="0.25">
      <c r="A406" s="4"/>
      <c r="B406" s="14"/>
      <c r="C406" s="17" t="str">
        <f t="shared" si="6"/>
        <v/>
      </c>
      <c r="D406" s="14"/>
      <c r="J406" s="18"/>
      <c r="K406" s="18"/>
      <c r="L406" s="14"/>
      <c r="N406" s="14"/>
    </row>
    <row r="407" spans="1:14" x14ac:dyDescent="0.25">
      <c r="A407" s="4"/>
      <c r="B407" s="14"/>
      <c r="C407" s="17" t="str">
        <f t="shared" si="6"/>
        <v/>
      </c>
      <c r="D407" s="14"/>
      <c r="E407" s="18"/>
      <c r="F407" s="18"/>
      <c r="J407" s="18"/>
      <c r="K407" s="18"/>
      <c r="L407" s="14"/>
      <c r="N407" s="14"/>
    </row>
    <row r="408" spans="1:14" x14ac:dyDescent="0.25">
      <c r="A408" s="4"/>
      <c r="B408" s="14"/>
      <c r="C408" s="17" t="str">
        <f t="shared" si="6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Gracie Edgar</cp:lastModifiedBy>
  <dcterms:created xsi:type="dcterms:W3CDTF">2025-07-30T15:20:09Z</dcterms:created>
  <dcterms:modified xsi:type="dcterms:W3CDTF">2026-04-30T13:25:22Z</dcterms:modified>
</cp:coreProperties>
</file>