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alcdk-my.sharepoint.com/personal/nicole_neary_cdk_com/Documents/Desktop/Consulting/CMA/2026 03 23/"/>
    </mc:Choice>
  </mc:AlternateContent>
  <xr:revisionPtr revIDLastSave="8" documentId="8_{0F59BE5D-7828-41BD-8B12-47D245161A5F}" xr6:coauthVersionLast="47" xr6:coauthVersionMax="47" xr10:uidLastSave="{916ACEBA-723A-4614-BED3-8849FF482443}"/>
  <bookViews>
    <workbookView xWindow="-12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<sst xmlns="http://schemas.openxmlformats.org/spreadsheetml/2006/main" count="761" uniqueCount="311">
  <si>
    <t>788273</t>
  </si>
  <si>
    <t>788351</t>
  </si>
  <si>
    <t>788363</t>
  </si>
  <si>
    <t>MoreInfo</t>
  </si>
  <si>
    <t>788047</t>
  </si>
  <si>
    <t>788358</t>
  </si>
  <si>
    <t>788195</t>
  </si>
  <si>
    <t>788338</t>
  </si>
  <si>
    <t>787969</t>
  </si>
  <si>
    <t>Amount $:</t>
  </si>
  <si>
    <t>Control</t>
  </si>
  <si>
    <t>788031</t>
  </si>
  <si>
    <t>Detail</t>
  </si>
  <si>
    <t>788379</t>
  </si>
  <si>
    <t>788371</t>
  </si>
  <si>
    <t>788340</t>
  </si>
  <si>
    <t>788373</t>
  </si>
  <si>
    <t>788244</t>
  </si>
  <si>
    <t>788334</t>
  </si>
  <si>
    <t>Days</t>
  </si>
  <si>
    <t>788370</t>
  </si>
  <si>
    <t>788328</t>
  </si>
  <si>
    <t>788344</t>
  </si>
  <si>
    <t>788181</t>
  </si>
  <si>
    <t>788356</t>
  </si>
  <si>
    <t>788327</t>
  </si>
  <si>
    <t>787963</t>
  </si>
  <si>
    <t>788366</t>
  </si>
  <si>
    <t>BALFWD</t>
  </si>
  <si>
    <t>788330</t>
  </si>
  <si>
    <t>788343</t>
  </si>
  <si>
    <t>787953</t>
  </si>
  <si>
    <t>787851</t>
  </si>
  <si>
    <t>788302</t>
  </si>
  <si>
    <t>788341</t>
  </si>
  <si>
    <t>788354</t>
  </si>
  <si>
    <t>788348</t>
  </si>
  <si>
    <t>At-a-Glance</t>
  </si>
  <si>
    <t>788357</t>
  </si>
  <si>
    <t>Accounting Schedule Report 1 - CASH CLEARING - SUMMARY</t>
  </si>
  <si>
    <t>787955</t>
  </si>
  <si>
    <t>Amount $</t>
  </si>
  <si>
    <t>788347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</si>
  <si>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</si>
  <si>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</si>
  <si>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</si>
  <si>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</si>
  <si>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</si>
  <si>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</si>
  <si>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</si>
  <si>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</si>
  <si>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</si>
  <si>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</si>
  <si>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</si>
  <si>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</si>
  <si>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</si>
  <si>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</si>
  <si>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</si>
  <si>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</si>
  <si>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</si>
  <si>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</si>
  <si>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</si>
  <si>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</si>
  <si>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</si>
  <si>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</si>
  <si>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</si>
  <si>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</si>
  <si>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</si>
  <si>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</si>
  <si>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</si>
  <si>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</si>
  <si>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</si>
  <si>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</si>
  <si>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</si>
  <si>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</si>
  <si>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</si>
  <si>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</si>
  <si>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</si>
  <si>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</si>
  <si>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Company: 23   CMA'S CDJR OF MART</t>
  </si>
  <si>
    <t>Account: 551011 CASH SALES CLEARING</t>
  </si>
  <si>
    <t>CloseOutReport List</t>
  </si>
  <si>
    <t>Document ID</t>
  </si>
  <si>
    <t>Customer ID</t>
  </si>
  <si>
    <t>Customer Name</t>
  </si>
  <si>
    <t>Transaction Type</t>
  </si>
  <si>
    <t>Payment Mode</t>
  </si>
  <si>
    <t>Date &amp; Time</t>
  </si>
  <si>
    <t>TransactionId</t>
  </si>
  <si>
    <t>User</t>
  </si>
  <si>
    <t>Dealership</t>
  </si>
  <si>
    <t>Department</t>
  </si>
  <si>
    <t>BRITNEY DAWN PLAUGHER</t>
  </si>
  <si>
    <t>Sale</t>
  </si>
  <si>
    <t>Card</t>
  </si>
  <si>
    <t>03-24-26 11:36 AM</t>
  </si>
  <si>
    <t>Claudia Solito</t>
  </si>
  <si>
    <t>HONDA OF WINCHESTER</t>
  </si>
  <si>
    <t>Sales</t>
  </si>
  <si>
    <t>CHRISTOPHER ROBERT GUERIN</t>
  </si>
  <si>
    <t>03-24-26 04:01 PM</t>
  </si>
  <si>
    <t>Smallwood Smallwood</t>
  </si>
  <si>
    <t>Keyed-in</t>
  </si>
  <si>
    <t>03-24-26 10:28 AM</t>
  </si>
  <si>
    <t>p1_txn_69c29f83c83233d97e99a67</t>
  </si>
  <si>
    <t>Leeann Crowley</t>
  </si>
  <si>
    <t>Parts</t>
  </si>
  <si>
    <t>AMERICAN HONDA MOTOR CO</t>
  </si>
  <si>
    <t>03-24-26 08:22 AM</t>
  </si>
  <si>
    <t>CASH SALE</t>
  </si>
  <si>
    <t>03-24-26 09:09 AM</t>
  </si>
  <si>
    <t>03-24-26 10:42 AM</t>
  </si>
  <si>
    <t>p1_txn_69c2a2d950e1066d47bb517</t>
  </si>
  <si>
    <t>03-24-26 11:33 AM</t>
  </si>
  <si>
    <t>03-24-26 11:49 AM</t>
  </si>
  <si>
    <t>p1_txn_69c2b26db886b5630855eed</t>
  </si>
  <si>
    <t>03-24-26 11:54 AM</t>
  </si>
  <si>
    <t>FOX</t>
  </si>
  <si>
    <t>03-24-26 01:50 PM</t>
  </si>
  <si>
    <t>EMPLOYEE CASH</t>
  </si>
  <si>
    <t>03-24-26 02:11 PM</t>
  </si>
  <si>
    <t>IAN LOCKWOOD</t>
  </si>
  <si>
    <t>03-24-26 09:24 AM</t>
  </si>
  <si>
    <t>Service</t>
  </si>
  <si>
    <t>ERIN MARIE IMPELLIZZERI</t>
  </si>
  <si>
    <t>03-24-26 03:42 PM</t>
  </si>
  <si>
    <t>Cheryl Edgar</t>
  </si>
  <si>
    <t>AMY WHITE</t>
  </si>
  <si>
    <t>03-24-26 01:32 PM</t>
  </si>
  <si>
    <t>03-24-26 12:26 PM</t>
  </si>
  <si>
    <t>p1_txn_69c2bb3fd06f3a0ae06ef32</t>
  </si>
  <si>
    <t>CHARLIE WEISS</t>
  </si>
  <si>
    <t>03-24-26 07:33 AM</t>
  </si>
  <si>
    <t>DONALD CASAVECCHIA</t>
  </si>
  <si>
    <t>03-24-26 08:48 AM</t>
  </si>
  <si>
    <t>KAYRA BEATON</t>
  </si>
  <si>
    <t>03-24-26 10:49 AM</t>
  </si>
  <si>
    <t>EMMALEE SHIRLEY</t>
  </si>
  <si>
    <t>03-24-26 11:05 AM</t>
  </si>
  <si>
    <t>RANDY LEE SHECKELS</t>
  </si>
  <si>
    <t>03-24-26 10:46 AM</t>
  </si>
  <si>
    <t>SYED RAZA RIZVI</t>
  </si>
  <si>
    <t>03-24-26 09:54 AM</t>
  </si>
  <si>
    <t>CHARLES B RUSSELL FMLY TRST</t>
  </si>
  <si>
    <t>03-24-26 09:34 AM</t>
  </si>
  <si>
    <t>RONALD DWIGHT WHITING</t>
  </si>
  <si>
    <t>03-24-26 09:55 AM</t>
  </si>
  <si>
    <t>WENDELL C ENSMINGER</t>
  </si>
  <si>
    <t>03-24-26 10:10 AM</t>
  </si>
  <si>
    <t>ROSEMARY SITES</t>
  </si>
  <si>
    <t>03-24-26 10:13 AM</t>
  </si>
  <si>
    <t>JIM SCHEIP</t>
  </si>
  <si>
    <t>03-24-26 02:31 PM</t>
  </si>
  <si>
    <t>p1_txn_69c2d86177058793862e790</t>
  </si>
  <si>
    <t>BRENDA JEANETTE SPANN</t>
  </si>
  <si>
    <t>03-24-26 10:23 AM</t>
  </si>
  <si>
    <t>DONNA LEE BAKER</t>
  </si>
  <si>
    <t>03-24-26 10:39 AM</t>
  </si>
  <si>
    <t>LINDA BURKETT LEAKE</t>
  </si>
  <si>
    <t>03-24-26 11:26 AM</t>
  </si>
  <si>
    <t>HEATHER COGGSDALE</t>
  </si>
  <si>
    <t>Remote Pay</t>
  </si>
  <si>
    <t>03-24-26 04:49 PM</t>
  </si>
  <si>
    <t>p1_txn_69c2f8c7506d120079c9919</t>
  </si>
  <si>
    <t>Ryan Conner</t>
  </si>
  <si>
    <t>03-24-26 03:24 PM</t>
  </si>
  <si>
    <t>CARL NYDEN LAUER</t>
  </si>
  <si>
    <t>03-24-26 02:54 PM</t>
  </si>
  <si>
    <t>JOSEPH APODACA</t>
  </si>
  <si>
    <t>03-24-26 11:47 AM</t>
  </si>
  <si>
    <t>03-24-26 03:21 PM</t>
  </si>
  <si>
    <t>JUDITH WALLACE</t>
  </si>
  <si>
    <t>03-24-26 12:30 PM</t>
  </si>
  <si>
    <t>CLAUDE L HOOKER JR</t>
  </si>
  <si>
    <t>03-24-26 12:53 PM</t>
  </si>
  <si>
    <t>BRADLEY RAY POLK</t>
  </si>
  <si>
    <t>03-24-26 12:22 PM</t>
  </si>
  <si>
    <t>CHRISTOPHER RANDOLPH FORDNEY</t>
  </si>
  <si>
    <t>03-24-26 12:52 PM</t>
  </si>
  <si>
    <t>JENNIFER DOANE</t>
  </si>
  <si>
    <t>03-24-26 02:12 PM</t>
  </si>
  <si>
    <t>CLAUDE HENRY HENGST III</t>
  </si>
  <si>
    <t>03-24-26 02:46 PM</t>
  </si>
  <si>
    <t>CAROLYN J SMITH</t>
  </si>
  <si>
    <t>03-24-26 02:22 PM</t>
  </si>
  <si>
    <t>JOHN UFFELMANN</t>
  </si>
  <si>
    <t>03-24-26 01:42 PM</t>
  </si>
  <si>
    <t>VICKY LYNN HOPKINS</t>
  </si>
  <si>
    <t>03-24-26 02:39 PM</t>
  </si>
  <si>
    <t>JENNIFER C MCGILLOWAY</t>
  </si>
  <si>
    <t>03-24-26 04:17 PM</t>
  </si>
  <si>
    <t>KIMBERLY ANN HARLAN</t>
  </si>
  <si>
    <t>03-24-26 02:36 PM</t>
  </si>
  <si>
    <t>CHRISTINE SOARES</t>
  </si>
  <si>
    <t>03-24-26 05:09 PM</t>
  </si>
  <si>
    <t>RICARDO DAVID MEJIA-GOMEZ</t>
  </si>
  <si>
    <t>03-24-26 04:56 PM</t>
  </si>
  <si>
    <t>JEANNE HANDREN</t>
  </si>
  <si>
    <t>03-24-26 04:48 PM</t>
  </si>
  <si>
    <t>AARON DEAVERS</t>
  </si>
  <si>
    <t>03-24-26 05:37 PM</t>
  </si>
  <si>
    <t>SHEILA F PAINTER</t>
  </si>
  <si>
    <t>03-24-26 04:34 PM</t>
  </si>
  <si>
    <t>PATRICIA BETTIS</t>
  </si>
  <si>
    <t>03-24-26 04:36 PM</t>
  </si>
  <si>
    <t>ANGEL TORRES</t>
  </si>
  <si>
    <t>03-24-26 05:02 PM</t>
  </si>
  <si>
    <t>HAIDY YARITZA FLORES PAREDES</t>
  </si>
  <si>
    <t>03-24-26 05:23 PM</t>
  </si>
  <si>
    <t>EMILY ANN LAMB</t>
  </si>
  <si>
    <t>03-24-26 05:34 PM</t>
  </si>
  <si>
    <t>ANJANA KOIRALA THOMPSON</t>
  </si>
  <si>
    <t>03-24-26 05:26 PM</t>
  </si>
  <si>
    <t>TARA LEE WHITE</t>
  </si>
  <si>
    <t>03-24-26 06:03 PM</t>
  </si>
  <si>
    <t>EDWIN V TORREZ TABORGA</t>
  </si>
  <si>
    <t>Cash</t>
  </si>
  <si>
    <t>03-24-26 12:58 PM</t>
  </si>
  <si>
    <t>03-24-26 12:09 PM</t>
  </si>
  <si>
    <t>MATTHEW DAVID LAMB</t>
  </si>
  <si>
    <t>03-24-26 04:13 PM</t>
  </si>
  <si>
    <t>CHU VIET PHAM</t>
  </si>
  <si>
    <t>03-24-26 08:46 AM</t>
  </si>
  <si>
    <t>ESTER LOPEZ</t>
  </si>
  <si>
    <t>03-24-26 11:20 AM</t>
  </si>
  <si>
    <t>DOUGLAS WILLIAM BOWEN</t>
  </si>
  <si>
    <t>03-24-26 02:14 PM</t>
  </si>
  <si>
    <t>Check</t>
  </si>
  <si>
    <t>03-24-26 10:56 AM</t>
  </si>
  <si>
    <t>03-24-26 10:58 AM</t>
  </si>
  <si>
    <t>03-24-26 11:43 AM</t>
  </si>
  <si>
    <t>03-24-26 02:17 PM</t>
  </si>
  <si>
    <t>Summary Of Transactions</t>
  </si>
  <si>
    <t>On CC Stmnt</t>
  </si>
  <si>
    <t>PARTS POLICY</t>
  </si>
  <si>
    <t>SERVICE POLICY</t>
  </si>
  <si>
    <t>Y</t>
  </si>
  <si>
    <t>CA0324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</si>
  <si>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</si>
  <si>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</si>
  <si>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</si>
  <si>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</si>
  <si>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</si>
  <si>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</si>
  <si>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</si>
  <si>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</si>
  <si>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</si>
  <si>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</si>
  <si>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</si>
  <si>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</si>
  <si>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</si>
  <si>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</si>
  <si>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</si>
  <si>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</si>
  <si>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</si>
  <si>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</si>
  <si>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</si>
  <si>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</si>
  <si>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</si>
  <si>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</si>
  <si>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</si>
  <si>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</si>
  <si>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</si>
  <si>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4.  Open the exported file, copy columns A through F, and paste into cell A1 of the Schedule&amp;Rec sheet.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</si>
  <si>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</si>
  <si>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</si>
  <si>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</si>
  <si>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</si>
  <si>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</si>
  <si>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</si>
  <si>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</si>
  <si>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</si>
  <si>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</si>
  <si>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</si>
  <si>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</si>
  <si>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</si>
  <si>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</si>
  <si>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</si>
  <si>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</si>
  <si>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</si>
  <si>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</si>
  <si>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</si>
  <si>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</si>
  <si>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</si>
  <si>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</si>
  <si>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</si>
  <si>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</si>
  <si>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</si>
  <si>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</si>
  <si>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</si>
  <si>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</si>
  <si>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</si>
  <si>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</si>
  <si>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</si>
  <si>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</si>
  <si>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</si>
  <si>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</si>
  <si>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</si>
  <si>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</si>
  <si>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</si>
  <si>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</si>
  <si>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</si>
  <si>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</si>
  <si>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3.  In Excel, select cells starting from C10 down on the PowerPost sheet. OR</t>
  </si>
  <si>
    <t>▶  Click the black  "POST"  button on the PowerPost sheet.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</si>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</sst>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2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7" xfId="0" applyFont="1" applyFill="1" applyBorder="1"/>
    <xf numFmtId="2" fontId="12" fillId="6" borderId="7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4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 vertical="top"/>
    </xf>
    <xf numFmtId="0" fontId="0" fillId="8" borderId="12" xfId="0" applyFill="1" applyBorder="1"/>
    <xf numFmtId="0" fontId="0" fillId="8" borderId="0" xfId="0" applyFill="1"/>
    <xf numFmtId="0" fontId="0" fillId="4" borderId="13" xfId="0" applyFill="1" applyBorder="1"/>
    <xf numFmtId="0" fontId="0" fillId="8" borderId="9" xfId="0" applyFill="1" applyBorder="1"/>
    <xf numFmtId="0" fontId="0" fillId="8" borderId="2" xfId="0" applyFill="1" applyBorder="1"/>
    <xf numFmtId="0" fontId="6" fillId="0" borderId="8" xfId="0" applyFont="1" applyBorder="1" applyAlignment="1">
      <alignment horizontal="center"/>
    </xf>
    <xf numFmtId="0" fontId="0" fillId="8" borderId="10" xfId="0" applyFill="1" applyBorder="1"/>
    <xf numFmtId="0" fontId="0" fillId="8" borderId="11" xfId="0" applyFill="1" applyBorder="1"/>
    <xf numFmtId="0" fontId="1" fillId="3" borderId="7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2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7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7" xfId="0" applyNumberFormat="1" applyFont="1" applyBorder="1"/>
    <xf numFmtId="167" fontId="6" fillId="0" borderId="18" xfId="0" applyNumberFormat="1" applyFont="1" applyBorder="1"/>
    <xf numFmtId="0" fontId="14" fillId="0" borderId="2" xfId="0" applyFont="1" applyBorder="1"/>
    <xf numFmtId="0" fontId="15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164" fontId="1" fillId="0" borderId="1" xfId="0" applyNumberFormat="1" applyFont="1" applyBorder="1" applyAlignment="1" applyProtection="1">
      <alignment horizontal="right" vertical="top"/>
      <protection locked="0"/>
    </xf>
    <xf numFmtId="0" fontId="1" fillId="3" borderId="3" xfId="0" applyFont="1" applyFill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164" fontId="1" fillId="0" borderId="3" xfId="0" applyNumberFormat="1" applyFont="1" applyBorder="1" applyAlignment="1" applyProtection="1">
      <alignment horizontal="righ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164" fontId="1" fillId="2" borderId="3" xfId="0" applyNumberFormat="1" applyFont="1" applyFill="1" applyBorder="1" applyAlignment="1" applyProtection="1">
      <alignment horizontal="right" vertical="top"/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7" fontId="0" fillId="0" borderId="10" xfId="0" applyNumberFormat="1" applyBorder="1" applyProtection="1">
      <protection locked="0"/>
    </xf>
    <xf numFmtId="167" fontId="0" fillId="0" borderId="11" xfId="0" applyNumberFormat="1" applyBorder="1" applyProtection="1">
      <protection locked="0"/>
    </xf>
    <xf numFmtId="166" fontId="0" fillId="9" borderId="16" xfId="0" applyNumberFormat="1" applyFill="1" applyBorder="1" applyAlignment="1" applyProtection="1">
      <alignment horizontal="center"/>
      <protection locked="0"/>
    </xf>
    <xf numFmtId="167" fontId="0" fillId="0" borderId="12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9" xfId="0" applyBorder="1" applyProtection="1">
      <protection locked="0"/>
    </xf>
    <xf numFmtId="0" fontId="1" fillId="3" borderId="19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9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7" fillId="5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" xfId="0" applyFont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/>
    <xf numFmtId="0" fontId="0" fillId="0" borderId="9" xfId="0" applyBorder="1" applyProtection="1">
      <protection locked="0"/>
    </xf>
    <xf numFmtId="0" fontId="0" fillId="8" borderId="0" xfId="0" applyFill="1" applyBorder="1"/>
  </cellXfs>
  <cellStyles count="1">
    <cellStyle name="Normal" xfId="0" builtinId="0"/>
  </cellStyles>
  <dxfs count="34"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828675</xdr:colOff>
      <xdr:row>2</xdr:row>
      <xdr:rowOff>85725</xdr:rowOff>
    </xdr:from>
    <xdr:to>
      <xdr:col>9</xdr:col>
      <xdr:colOff>1809750</xdr:colOff>
      <xdr:row>4</xdr:row>
      <xdr:rowOff>95250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D3F0B8-7A4A-4602-9D91-4C850F15D517}"/>
            </a:ext>
          </a:extLst>
        </xdr:cNvPr>
        <xdr:cNvSpPr/>
      </xdr:nvSpPr>
      <xdr:spPr>
        <a:xfrm>
          <a:off x="8315325" y="4762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6" tableBorderDxfId="25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4"/>
    <tableColumn id="2" xr3:uid="{86260D87-DBD3-4756-B711-B40BED2225AF}" name="Amount" dataDxfId="23"/>
    <tableColumn id="3" xr3:uid="{1FF4F82B-5C60-49A3-9E76-E489101BFBC5}" name="For JE" dataDxfId="1">
      <calculatedColumnFormula>IF(N14&lt;&gt;"","511011","")</calculatedColumnFormula>
    </tableColumn>
    <tableColumn id="4" xr3:uid="{5A422D18-8DBB-40D8-86CC-ED777B442BE5}" name="For JE2" dataDxfId="22">
      <calculatedColumnFormula>-NotOnSch[[#This Row],[Amount]]</calculatedColumnFormula>
    </tableColumn>
    <tableColumn id="5" xr3:uid="{F10A9678-0FA4-4E8F-BCB1-688B03695446}" name="For JE3" dataDxfId="21">
      <calculatedColumnFormula>IF(N14&lt;&gt;"",N14,"")</calculatedColumnFormula>
    </tableColumn>
    <tableColumn id="6" xr3:uid="{6E7FCCE5-928A-459A-A865-719624A02951}" name="Notes" dataDxfId="20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19" dataDxfId="18" tableBorderDxfId="17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6"/>
    <tableColumn id="2" xr3:uid="{365CD64A-9492-4767-B8B7-EC58237DF6F3}" name="Amount" dataDxfId="15"/>
    <tableColumn id="3" xr3:uid="{25F2B0F4-67E4-4D7F-84BF-D07BB719633A}" name="For JE" dataDxfId="14">
      <calculatedColumnFormula>IF(DepositTotals[[#This Row],[Amount]]="", "", CHOOSE(MATCH(DepositTotals[[#This Row],[Type]], {"CASH","CREDIT","CHECK","SERVICE POLICY","PARTS POLICY"}, 0), "511007", "511001", "511001", "517750", "517650"))</calculatedColumnFormula>
    </tableColumn>
    <tableColumn id="4" xr3:uid="{27211CB2-A5F1-421A-AEAA-0B2CBB5FC40F}" name="For JE2" dataDxfId="13">
      <calculatedColumnFormula>O4</calculatedColumnFormula>
    </tableColumn>
    <tableColumn id="5" xr3:uid="{E55D70E1-6D9E-4F3C-BA02-5C78236FDCAC}" name="For JE3" dataDxfId="12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1"/>
    <tableColumn id="7" xr3:uid="{A4E3BE34-C0B0-47D2-9684-7E57BCD99026}" name="For JE5" dataDxfId="10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9" tableBorderDxfId="8">
  <autoFilter ref="N38:T60" xr:uid="{FC20FF63-4973-4E13-B6BA-A5B62FCC0A8E}"/>
  <tableColumns count="7">
    <tableColumn id="1" xr3:uid="{5524D697-0A19-4CC7-9088-CA71120220B3}" name="RO/Invoice#" dataDxfId="7"/>
    <tableColumn id="2" xr3:uid="{ACD1DDE7-6A7E-4C4F-812B-AAE289C5B76A}" name="Amount" dataDxfId="6"/>
    <tableColumn id="3" xr3:uid="{08FA6404-2683-4752-A802-73214D9C73E8}" name="For JE" dataDxfId="0">
      <calculatedColumnFormula>IF(N39&lt;&gt;"","511011","")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71" t="s">
        <v>238</v>
      </c>
    </row>
    <row r="2" spans="1:1" x14ac:dyDescent="0.25">
      <c r="A2" s="72" t="s">
        <v>239</v>
      </c>
    </row>
    <row r="3" spans="1:1" s="42" customFormat="1" ht="15" customHeight="1" x14ac:dyDescent="0.25">
      <c r="A3"/>
    </row>
    <row r="4" spans="1:1" ht="15" customHeight="1" x14ac:dyDescent="0.25">
      <c r="A4" s="73" t="s">
        <v>240</v>
      </c>
    </row>
    <row r="5" spans="1:1" ht="12.75" customHeight="1" x14ac:dyDescent="0.25">
      <c r="A5" s="73" t="s">
        <v>241</v>
      </c>
    </row>
    <row r="7" spans="1:1" x14ac:dyDescent="0.25">
      <c r="A7" s="74" t="s">
        <v>242</v>
      </c>
    </row>
    <row r="9" spans="1:1" ht="17.25" x14ac:dyDescent="0.25">
      <c r="A9" s="75" t="s">
        <v>243</v>
      </c>
    </row>
    <row r="10" spans="1:1" x14ac:dyDescent="0.25">
      <c r="A10" s="76" t="s">
        <v>244</v>
      </c>
    </row>
    <row r="11" spans="1:1" x14ac:dyDescent="0.25">
      <c r="A11" s="76" t="s">
        <v>245</v>
      </c>
    </row>
    <row r="12" spans="1:1" x14ac:dyDescent="0.25">
      <c r="A12" s="77" t="s">
        <v>246</v>
      </c>
    </row>
    <row r="13" spans="1:1" x14ac:dyDescent="0.25">
      <c r="A13" s="76" t="s">
        <v>247</v>
      </c>
    </row>
    <row r="15" spans="1:1" ht="17.25" x14ac:dyDescent="0.25">
      <c r="A15" s="75" t="s">
        <v>248</v>
      </c>
    </row>
    <row r="16" spans="1:1" x14ac:dyDescent="0.25">
      <c r="A16" s="76" t="s">
        <v>249</v>
      </c>
    </row>
    <row r="17" spans="1:1" x14ac:dyDescent="0.25">
      <c r="A17" s="76" t="s">
        <v>250</v>
      </c>
    </row>
    <row r="18" spans="1:1" x14ac:dyDescent="0.25">
      <c r="A18" s="76" t="s">
        <v>251</v>
      </c>
    </row>
    <row r="19" spans="1:1" x14ac:dyDescent="0.25">
      <c r="A19" s="76" t="s">
        <v>252</v>
      </c>
    </row>
    <row r="20" spans="1:1" x14ac:dyDescent="0.25">
      <c r="A20" s="76" t="s">
        <v>253</v>
      </c>
    </row>
    <row r="22" spans="1:1" ht="17.25" x14ac:dyDescent="0.25">
      <c r="A22" s="75" t="s">
        <v>254</v>
      </c>
    </row>
    <row r="23" spans="1:1" x14ac:dyDescent="0.25">
      <c r="A23" s="78" t="s">
        <v>255</v>
      </c>
    </row>
    <row r="25" spans="1:1" x14ac:dyDescent="0.25">
      <c r="A25" s="79" t="s">
        <v>256</v>
      </c>
    </row>
    <row r="27" spans="1:1" x14ac:dyDescent="0.25">
      <c r="A27" s="78" t="s">
        <v>257</v>
      </c>
    </row>
    <row r="28" spans="1:1" x14ac:dyDescent="0.25">
      <c r="A28" s="76" t="s">
        <v>258</v>
      </c>
    </row>
    <row r="29" spans="1:1" x14ac:dyDescent="0.25">
      <c r="A29" s="76" t="s">
        <v>259</v>
      </c>
    </row>
    <row r="30" spans="1:1" x14ac:dyDescent="0.25">
      <c r="A30" s="76" t="s">
        <v>260</v>
      </c>
    </row>
    <row r="31" spans="1:1" x14ac:dyDescent="0.25">
      <c r="A31" s="76" t="s">
        <v>261</v>
      </c>
    </row>
    <row r="32" spans="1:1" x14ac:dyDescent="0.25">
      <c r="A32" s="76" t="s">
        <v>262</v>
      </c>
    </row>
    <row r="33" spans="1:1" x14ac:dyDescent="0.25">
      <c r="A33" s="76" t="s">
        <v>263</v>
      </c>
    </row>
    <row r="35" spans="1:1" ht="17.25" x14ac:dyDescent="0.25">
      <c r="A35" s="75" t="s">
        <v>264</v>
      </c>
    </row>
    <row r="36" spans="1:1" x14ac:dyDescent="0.25">
      <c r="A36" s="76" t="s">
        <v>265</v>
      </c>
    </row>
    <row r="37" spans="1:1" x14ac:dyDescent="0.25">
      <c r="A37" s="76" t="s">
        <v>266</v>
      </c>
    </row>
    <row r="38" spans="1:1" x14ac:dyDescent="0.25">
      <c r="A38" s="76" t="s">
        <v>267</v>
      </c>
    </row>
    <row r="39" spans="1:1" x14ac:dyDescent="0.25">
      <c r="A39" s="77" t="s">
        <v>268</v>
      </c>
    </row>
    <row r="40" spans="1:1" x14ac:dyDescent="0.25">
      <c r="A40" s="76" t="s">
        <v>269</v>
      </c>
    </row>
    <row r="42" spans="1:1" ht="17.25" x14ac:dyDescent="0.25">
      <c r="A42" s="75" t="s">
        <v>270</v>
      </c>
    </row>
    <row r="43" spans="1:1" x14ac:dyDescent="0.25">
      <c r="A43" s="78" t="s">
        <v>271</v>
      </c>
    </row>
    <row r="45" spans="1:1" x14ac:dyDescent="0.25">
      <c r="A45" s="80" t="s">
        <v>272</v>
      </c>
    </row>
    <row r="47" spans="1:1" ht="30" x14ac:dyDescent="0.25">
      <c r="A47" s="76" t="s">
        <v>273</v>
      </c>
    </row>
    <row r="49" spans="1:1" ht="17.25" x14ac:dyDescent="0.25">
      <c r="A49" s="75" t="s">
        <v>274</v>
      </c>
    </row>
    <row r="50" spans="1:1" x14ac:dyDescent="0.25">
      <c r="A50" s="78" t="s">
        <v>275</v>
      </c>
    </row>
    <row r="52" spans="1:1" x14ac:dyDescent="0.25">
      <c r="A52" s="76" t="s">
        <v>276</v>
      </c>
    </row>
    <row r="53" spans="1:1" x14ac:dyDescent="0.25">
      <c r="A53" s="76" t="s">
        <v>277</v>
      </c>
    </row>
    <row r="54" spans="1:1" x14ac:dyDescent="0.25">
      <c r="A54" s="76" t="s">
        <v>278</v>
      </c>
    </row>
    <row r="56" spans="1:1" ht="30" x14ac:dyDescent="0.25">
      <c r="A56" s="78" t="s">
        <v>279</v>
      </c>
    </row>
    <row r="57" spans="1:1" x14ac:dyDescent="0.25">
      <c r="A57" s="76" t="s">
        <v>280</v>
      </c>
    </row>
    <row r="58" spans="1:1" x14ac:dyDescent="0.25">
      <c r="A58" s="76" t="s">
        <v>281</v>
      </c>
    </row>
    <row r="60" spans="1:1" ht="17.25" x14ac:dyDescent="0.25">
      <c r="A60" s="75" t="s">
        <v>282</v>
      </c>
    </row>
    <row r="61" spans="1:1" x14ac:dyDescent="0.25">
      <c r="A61" s="76" t="s">
        <v>283</v>
      </c>
    </row>
    <row r="63" spans="1:1" x14ac:dyDescent="0.25">
      <c r="A63" s="76" t="s">
        <v>284</v>
      </c>
    </row>
    <row r="64" spans="1:1" x14ac:dyDescent="0.25">
      <c r="A64" s="76" t="s">
        <v>285</v>
      </c>
    </row>
    <row r="65" spans="1:1" x14ac:dyDescent="0.25">
      <c r="A65" s="76" t="s">
        <v>286</v>
      </c>
    </row>
    <row r="66" spans="1:1" x14ac:dyDescent="0.25">
      <c r="A66" s="76" t="s">
        <v>287</v>
      </c>
    </row>
    <row r="67" spans="1:1" x14ac:dyDescent="0.25">
      <c r="A67" s="76" t="s">
        <v>288</v>
      </c>
    </row>
    <row r="68" spans="1:1" x14ac:dyDescent="0.25">
      <c r="A68" s="76" t="s">
        <v>289</v>
      </c>
    </row>
    <row r="69" spans="1:1" x14ac:dyDescent="0.25">
      <c r="A69" s="76" t="s">
        <v>290</v>
      </c>
    </row>
    <row r="71" spans="1:1" ht="17.25" x14ac:dyDescent="0.25">
      <c r="A71" s="75" t="s">
        <v>291</v>
      </c>
    </row>
    <row r="72" spans="1:1" x14ac:dyDescent="0.25">
      <c r="A72" s="76" t="s">
        <v>292</v>
      </c>
    </row>
    <row r="73" spans="1:1" x14ac:dyDescent="0.25">
      <c r="A73" s="78" t="s">
        <v>293</v>
      </c>
    </row>
    <row r="74" spans="1:1" x14ac:dyDescent="0.25">
      <c r="A74" s="76" t="s">
        <v>294</v>
      </c>
    </row>
    <row r="76" spans="1:1" ht="17.25" x14ac:dyDescent="0.25">
      <c r="A76" s="75" t="s">
        <v>295</v>
      </c>
    </row>
    <row r="78" spans="1:1" x14ac:dyDescent="0.25">
      <c r="A78" s="81" t="s">
        <v>296</v>
      </c>
    </row>
    <row r="80" spans="1:1" x14ac:dyDescent="0.25">
      <c r="A80" s="76" t="s">
        <v>297</v>
      </c>
    </row>
    <row r="81" spans="1:1" x14ac:dyDescent="0.25">
      <c r="A81" s="76" t="s">
        <v>298</v>
      </c>
    </row>
    <row r="82" spans="1:1" x14ac:dyDescent="0.25">
      <c r="A82" s="76" t="s">
        <v>299</v>
      </c>
    </row>
    <row r="84" spans="1:1" ht="17.25" x14ac:dyDescent="0.25">
      <c r="A84" s="75" t="s">
        <v>300</v>
      </c>
    </row>
    <row r="85" spans="1:1" x14ac:dyDescent="0.25">
      <c r="A85" s="76" t="s">
        <v>301</v>
      </c>
    </row>
    <row r="86" spans="1:1" x14ac:dyDescent="0.25">
      <c r="A86" s="76" t="s">
        <v>302</v>
      </c>
    </row>
    <row r="87" spans="1:1" x14ac:dyDescent="0.25">
      <c r="A87" s="76" t="s">
        <v>303</v>
      </c>
    </row>
    <row r="88" spans="1:1" x14ac:dyDescent="0.25">
      <c r="A88" s="76"/>
    </row>
    <row r="89" spans="1:1" x14ac:dyDescent="0.25">
      <c r="A89" s="79" t="s">
        <v>304</v>
      </c>
    </row>
    <row r="90" spans="1:1" x14ac:dyDescent="0.25">
      <c r="A90" s="76"/>
    </row>
    <row r="91" spans="1:1" x14ac:dyDescent="0.25">
      <c r="A91" s="76" t="s">
        <v>305</v>
      </c>
    </row>
    <row r="92" spans="1:1" x14ac:dyDescent="0.25">
      <c r="A92" s="82" t="s">
        <v>306</v>
      </c>
    </row>
    <row r="93" spans="1:1" x14ac:dyDescent="0.25">
      <c r="A93" s="76" t="s">
        <v>307</v>
      </c>
    </row>
    <row r="95" spans="1:1" ht="17.25" x14ac:dyDescent="0.25">
      <c r="A95" s="75" t="s">
        <v>308</v>
      </c>
    </row>
    <row r="96" spans="1:1" x14ac:dyDescent="0.25">
      <c r="A96" s="76" t="s">
        <v>309</v>
      </c>
    </row>
    <row r="99" spans="1:1" x14ac:dyDescent="0.25">
      <c r="A99" s="83" t="s">
        <v>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I15" sqref="I15"/>
    </sheetView>
  </sheetViews>
  <sheetFormatPr defaultColWidth="9.140625" defaultRowHeight="15" x14ac:dyDescent="0.25"/>
  <cols>
    <col min="1" max="2" width="17.42578125" style="44" customWidth="1"/>
    <col min="3" max="3" width="15.7109375" style="44" customWidth="1"/>
    <col min="4" max="5" width="2.5703125" style="44" customWidth="1"/>
    <col min="6" max="6" width="13" style="44" customWidth="1"/>
    <col min="7" max="7" width="13" style="67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43" t="s">
        <v>79</v>
      </c>
    </row>
    <row r="2" spans="1:20" x14ac:dyDescent="0.25">
      <c r="L2" s="28" t="s">
        <v>59</v>
      </c>
      <c r="N2" s="88" t="s">
        <v>64</v>
      </c>
      <c r="O2" s="89"/>
      <c r="P2" s="89"/>
      <c r="Q2" s="89"/>
      <c r="R2" s="89"/>
      <c r="S2" s="89"/>
      <c r="T2" s="90"/>
    </row>
    <row r="3" spans="1:20" x14ac:dyDescent="0.25">
      <c r="B3" s="43" t="s">
        <v>39</v>
      </c>
      <c r="K3" s="37" t="s">
        <v>76</v>
      </c>
      <c r="L3" s="61">
        <v>46105</v>
      </c>
      <c r="N3" s="31" t="s">
        <v>65</v>
      </c>
      <c r="O3" s="31" t="s">
        <v>47</v>
      </c>
      <c r="P3" s="32" t="s">
        <v>45</v>
      </c>
      <c r="Q3" s="32" t="s">
        <v>68</v>
      </c>
      <c r="R3" s="32" t="s">
        <v>69</v>
      </c>
      <c r="S3" s="32" t="s">
        <v>70</v>
      </c>
      <c r="T3" s="32" t="s">
        <v>71</v>
      </c>
    </row>
    <row r="4" spans="1:20" x14ac:dyDescent="0.25">
      <c r="N4" s="58" t="s">
        <v>63</v>
      </c>
      <c r="O4" s="59">
        <v>25000</v>
      </c>
      <c r="P4" s="26" t="str">
        <f>IF(DepositTotals[[#This Row],[Amount]]="", "", CHOOSE(MATCH(DepositTotals[[#This Row],[Type]], {"CASH","CREDIT","CHECK","SERVICE POLICY","PARTS POLICY"}, 0), "511007", "511001", "511001", "517750", "517650"))</f>
        <v>511007</v>
      </c>
      <c r="Q4" s="33">
        <f t="shared" ref="Q4:Q10" si="0">O4</f>
        <v>25000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>CA0324</v>
      </c>
      <c r="S4" s="23"/>
      <c r="T4" s="23" t="str">
        <f t="shared" ref="T4:T10" si="1">IF(O4&lt;&gt;"",N4,"")</f>
        <v>CASH</v>
      </c>
    </row>
    <row r="5" spans="1:20" x14ac:dyDescent="0.25">
      <c r="B5" s="43" t="s">
        <v>80</v>
      </c>
      <c r="N5" s="44" t="s">
        <v>66</v>
      </c>
      <c r="O5" s="60"/>
      <c r="P5" s="27" t="str">
        <f>IF(DepositTotals[[#This Row],[Amount]]="", "", CHOOSE(MATCH(DepositTotals[[#This Row],[Type]], {"CASH","CREDIT","CHECK","SERVICE POLICY","PARTS POLICY"}, 0), "511007", "511001", "511001", "517750", "517650"))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74</v>
      </c>
      <c r="L6" s="38">
        <f>SUM(DepositTotals[Amount])</f>
        <v>25000</v>
      </c>
      <c r="N6" s="44" t="s">
        <v>67</v>
      </c>
      <c r="O6" s="60"/>
      <c r="P6" s="27" t="str">
        <f>IF(DepositTotals[[#This Row],[Amount]]="", "", CHOOSE(MATCH(DepositTotals[[#This Row],[Type]], {"CASH","CREDIT","CHECK","SERVICE POLICY","PARTS POLICY"}, 0), "511007", "511001", "511001", "517750", "517650"))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45" t="s">
        <v>43</v>
      </c>
      <c r="K7" s="35" t="s">
        <v>73</v>
      </c>
      <c r="L7" s="39">
        <f>-SUM(J14:J493,Q39:Q60,Q14:Q35)</f>
        <v>28580.460000000006</v>
      </c>
      <c r="N7" s="44" t="s">
        <v>234</v>
      </c>
      <c r="O7" s="60"/>
      <c r="P7" s="27" t="str">
        <f>IF(DepositTotals[[#This Row],[Amount]]="", "", CHOOSE(MATCH(DepositTotals[[#This Row],[Type]], {"CASH","CREDIT","CHECK","SERVICE POLICY","PARTS POLICY"}, 0), "511007", "511001", "511001", "517750", "517650"))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72</v>
      </c>
      <c r="L8" s="40">
        <f>L6-L7</f>
        <v>-3580.4600000000064</v>
      </c>
      <c r="N8" s="44" t="s">
        <v>235</v>
      </c>
      <c r="O8" s="60"/>
      <c r="P8" s="27" t="str">
        <f>IF(DepositTotals[[#This Row],[Amount]]="", "", CHOOSE(MATCH(DepositTotals[[#This Row],[Type]], {"CASH","CREDIT","CHECK","SERVICE POLICY","PARTS POLICY"}, 0), "511007", "511001", "511001", "517750", "517650"))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91" t="s">
        <v>37</v>
      </c>
      <c r="N9" s="44"/>
      <c r="O9" s="60"/>
      <c r="P9" s="27" t="str">
        <f>IF(DepositTotals[[#This Row],[Amount]]="", "", CHOOSE(MATCH(DepositTotals[[#This Row],[Type]], {"CASH","CREDIT","CHECK","SERVICE POLICY","PARTS POLICY"}, 0), "511007", "511001", "511001", "517750", "517650"))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46" t="s">
        <v>9</v>
      </c>
      <c r="H10" s="41" t="s">
        <v>78</v>
      </c>
      <c r="N10" s="44"/>
      <c r="O10" s="60"/>
      <c r="P10" s="27" t="str">
        <f>IF(DepositTotals[[#This Row],[Amount]]="", "", CHOOSE(MATCH(DepositTotals[[#This Row],[Type]], {"CASH","CREDIT","CHECK","SERVICE POLICY","PARTS POLICY"}, 0), "511007", "511001", "511001", "517750", "517650"))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47">
        <v>2518.98</v>
      </c>
    </row>
    <row r="12" spans="1:20" x14ac:dyDescent="0.25">
      <c r="H12" s="69" t="s">
        <v>77</v>
      </c>
      <c r="N12" s="88" t="s">
        <v>62</v>
      </c>
      <c r="O12" s="89"/>
      <c r="P12" s="89"/>
      <c r="Q12" s="89"/>
      <c r="R12" s="89"/>
      <c r="S12" s="90"/>
    </row>
    <row r="13" spans="1:20" ht="15.75" customHeight="1" x14ac:dyDescent="0.25">
      <c r="C13" s="46" t="s">
        <v>10</v>
      </c>
      <c r="D13" s="46" t="s">
        <v>3</v>
      </c>
      <c r="E13" s="46" t="s">
        <v>19</v>
      </c>
      <c r="F13" s="48" t="s">
        <v>41</v>
      </c>
      <c r="G13" s="68" t="s">
        <v>233</v>
      </c>
      <c r="H13" s="25" t="s">
        <v>44</v>
      </c>
      <c r="I13" s="21" t="s">
        <v>45</v>
      </c>
      <c r="J13" s="21" t="s">
        <v>45</v>
      </c>
      <c r="K13" s="21" t="s">
        <v>45</v>
      </c>
      <c r="L13" s="22" t="s">
        <v>61</v>
      </c>
      <c r="N13" s="31" t="s">
        <v>46</v>
      </c>
      <c r="O13" s="31" t="s">
        <v>47</v>
      </c>
      <c r="P13" s="32" t="s">
        <v>45</v>
      </c>
      <c r="Q13" s="32" t="s">
        <v>68</v>
      </c>
      <c r="R13" s="32" t="s">
        <v>69</v>
      </c>
      <c r="S13" s="31" t="s">
        <v>61</v>
      </c>
    </row>
    <row r="14" spans="1:20" x14ac:dyDescent="0.25">
      <c r="C14" s="52">
        <v>213835</v>
      </c>
      <c r="D14" s="49" t="s">
        <v>12</v>
      </c>
      <c r="E14" s="50">
        <v>1</v>
      </c>
      <c r="F14" s="51">
        <v>-89.75</v>
      </c>
      <c r="G14" s="70">
        <f>IFERROR(SUMPRODUCT((TEXT(CC!$C$3:$C$1000,"0")=TEXT(C14,"0"))*IFERROR(CC!$E$3:$E$1000+0,0)),0)</f>
      </c>
      <c r="H14" s="94"/>
      <c r="I14" s="95" t="str">
        <f>IF(J14&lt;&gt;0,"511011","")</f>
        <v>511011</v>
      </c>
      <c r="J14" s="34" cm="1">
        <f t="array" ref="J14">IFERROR(-_xlfn.IFS(OR(H14="y",H14="Y"),F14,AND(H14&lt;&gt;0,ISNUMBER(H14)),H14,G14&lt;&gt;0,G14),0)</f>
        <v>-8000</v>
      </c>
      <c r="K14" s="29">
        <f t="shared" ref="K14:K45" si="2">IF(J14&lt;&gt;0,C14,"")</f>
        <v>213835</v>
      </c>
      <c r="L14" s="55">
        <f>IF(C14&lt;&gt;"",_xlfn.XLOOKUP(TEXT(C14,"0"),TEXT(CC!$C$3:$C$1000,"0"),CC!$G$3:$G$1000,""),"")</f>
      </c>
      <c r="N14" s="58">
        <v>204078</v>
      </c>
      <c r="O14" s="59">
        <v>500</v>
      </c>
      <c r="P14" s="26" t="str">
        <f t="shared" ref="P14:P35" si="3">IF(N14&lt;&gt;"","511011","")</f>
        <v>511011</v>
      </c>
      <c r="Q14" s="33">
        <f>-NotOnSch[[#This Row],[Amount]]</f>
        <v>-500</v>
      </c>
      <c r="R14" s="29">
        <f t="shared" ref="R14:R35" si="4">IF(N14&lt;&gt;"",N14,"")</f>
        <v>204078</v>
      </c>
      <c r="S14" s="58">
        <f>IF(N14&lt;&gt;"",_xlfn.XLOOKUP(TEXT(N14,"0"),TEXT(CC!$C$3:$C$1000,"0"),CC!$G$3:$G$1000,""),"")</f>
      </c>
    </row>
    <row r="15" spans="1:20" x14ac:dyDescent="0.25">
      <c r="C15" s="49">
        <v>213838</v>
      </c>
      <c r="D15" s="52" t="s">
        <v>12</v>
      </c>
      <c r="E15" s="53">
        <v>1</v>
      </c>
      <c r="F15" s="54">
        <v>84.33</v>
      </c>
      <c r="G15" s="70">
        <f>IFERROR(SUMPRODUCT((TEXT(CC!$C$3:$C$1000,"0")=TEXT(C15,"0"))*IFERROR(CC!$E$3:$E$1000+0,0)),0)</f>
      </c>
      <c r="H15" s="56"/>
      <c r="I15" s="95" t="str">
        <f t="shared" ref="I15:I78" si="5">IF(J15&lt;&gt;0,"511011","")</f>
        <v>511011</v>
      </c>
      <c r="J15" s="34" cm="1">
        <f t="array" ref="J15">IFERROR(-_xlfn.IFS(OR(H15="y",H15="Y"),F15,AND(H15&lt;&gt;0,ISNUMBER(H15)),H15,G15&lt;&gt;0,G15),0)</f>
        <v>-500</v>
      </c>
      <c r="K15" s="30">
        <f t="shared" si="2"/>
        <v>213838</v>
      </c>
      <c r="L15" s="57">
        <f>IF(C15&lt;&gt;"",_xlfn.XLOOKUP(TEXT(C15,"0"),TEXT(CC!$C$3:$C$1000,"0"),CC!$G$3:$G$1000,""),"")</f>
      </c>
      <c r="N15" s="44">
        <v>347157</v>
      </c>
      <c r="O15" s="60">
        <v>8.3699999999999992</v>
      </c>
      <c r="P15" s="27" t="str">
        <f t="shared" si="3"/>
        <v>511011</v>
      </c>
      <c r="Q15" s="34">
        <f>-NotOnSch[[#This Row],[Amount]]</f>
        <v>-8.3699999999999992</v>
      </c>
      <c r="R15" s="30">
        <f t="shared" si="4"/>
        <v>347157</v>
      </c>
      <c r="S15" s="44">
        <f>IF(N15&lt;&gt;"",_xlfn.XLOOKUP(TEXT(N15,"0"),TEXT(CC!$C$3:$C$1000,"0"),CC!$G$3:$G$1000,""),"")</f>
      </c>
    </row>
    <row r="16" spans="1:20" x14ac:dyDescent="0.25">
      <c r="C16" s="52">
        <v>346894</v>
      </c>
      <c r="D16" s="49" t="s">
        <v>12</v>
      </c>
      <c r="E16" s="50">
        <v>1</v>
      </c>
      <c r="F16" s="51">
        <v>962.3</v>
      </c>
      <c r="G16" s="70">
        <f>IFERROR(SUMPRODUCT((TEXT(CC!$C$3:$C$1000,"0")=TEXT(C16,"0"))*IFERROR(CC!$E$3:$E$1000+0,0)),0)</f>
      </c>
      <c r="H16" s="56"/>
      <c r="I16" s="95" t="str">
        <f t="shared" si="5"/>
        <v>511011</v>
      </c>
      <c r="J16" s="34" cm="1">
        <f t="array" ref="J16">IFERROR(-_xlfn.IFS(OR(H16="y",H16="Y"),F16,AND(H16&lt;&gt;0,ISNUMBER(H16)),H16,G16&lt;&gt;0,G16),0)</f>
        <v>-116.61</v>
      </c>
      <c r="K16" s="30">
        <f t="shared" si="2"/>
        <v>346894</v>
      </c>
      <c r="L16" s="57">
        <f>IF(C16&lt;&gt;"",_xlfn.XLOOKUP(TEXT(C16,"0"),TEXT(CC!$C$3:$C$1000,"0"),CC!$G$3:$G$1000,""),"")</f>
      </c>
      <c r="N16" s="44">
        <v>809452</v>
      </c>
      <c r="O16" s="60">
        <v>119.99</v>
      </c>
      <c r="P16" s="27" t="str">
        <f t="shared" si="3"/>
        <v>511011</v>
      </c>
      <c r="Q16" s="34">
        <f>-NotOnSch[[#This Row],[Amount]]</f>
        <v>-119.99</v>
      </c>
      <c r="R16" s="30">
        <f t="shared" si="4"/>
        <v>809452</v>
      </c>
      <c r="S16" s="44">
        <f>IF(N16&lt;&gt;"",_xlfn.XLOOKUP(TEXT(N16,"0"),TEXT(CC!$C$3:$C$1000,"0"),CC!$G$3:$G$1000,""),"")</f>
      </c>
    </row>
    <row r="17" spans="3:19" x14ac:dyDescent="0.25">
      <c r="C17" s="49">
        <v>347139</v>
      </c>
      <c r="D17" s="49" t="s">
        <v>12</v>
      </c>
      <c r="E17" s="50">
        <v>1</v>
      </c>
      <c r="F17" s="51">
        <v>403.8</v>
      </c>
      <c r="G17" s="70">
        <f>IFERROR(SUMPRODUCT((TEXT(CC!$C$3:$C$1000,"0")=TEXT(C17,"0"))*IFERROR(CC!$E$3:$E$1000+0,0)),0)</f>
      </c>
      <c r="H17" s="56"/>
      <c r="I17" s="95" t="str">
        <f t="shared" si="5"/>
        <v>511011</v>
      </c>
      <c r="J17" s="34" cm="1">
        <f t="array" ref="J17">IFERROR(-_xlfn.IFS(OR(H17="y",H17="Y"),F17,AND(H17&lt;&gt;0,ISNUMBER(H17)),H17,G17&lt;&gt;0,G17),0)</f>
        <v>-59.35</v>
      </c>
      <c r="K17" s="30">
        <f t="shared" si="2"/>
        <v>347139</v>
      </c>
      <c r="L17" s="57">
        <f>IF(C17&lt;&gt;"",_xlfn.XLOOKUP(TEXT(C17,"0"),TEXT(CC!$C$3:$C$1000,"0"),CC!$G$3:$G$1000,""),"")</f>
      </c>
      <c r="N17" s="44">
        <v>809805</v>
      </c>
      <c r="O17" s="60">
        <v>20</v>
      </c>
      <c r="P17" s="27" t="str">
        <f t="shared" si="3"/>
        <v>511011</v>
      </c>
      <c r="Q17" s="34">
        <f>-NotOnSch[[#This Row],[Amount]]</f>
        <v>-20</v>
      </c>
      <c r="R17" s="30">
        <f t="shared" si="4"/>
        <v>809805</v>
      </c>
      <c r="S17" s="44">
        <f>IF(N17&lt;&gt;"",_xlfn.XLOOKUP(TEXT(N17,"0"),TEXT(CC!$C$3:$C$1000,"0"),CC!$G$3:$G$1000,""),"")</f>
      </c>
    </row>
    <row r="18" spans="3:19" x14ac:dyDescent="0.25">
      <c r="C18" s="52">
        <v>347140</v>
      </c>
      <c r="D18" s="52" t="s">
        <v>12</v>
      </c>
      <c r="E18" s="53">
        <v>1</v>
      </c>
      <c r="F18" s="54">
        <v>49.4</v>
      </c>
      <c r="G18" s="70">
        <f>IFERROR(SUMPRODUCT((TEXT(CC!$C$3:$C$1000,"0")=TEXT(C18,"0"))*IFERROR(CC!$E$3:$E$1000+0,0)),0)</f>
      </c>
      <c r="H18" s="56"/>
      <c r="I18" s="95" t="str">
        <f t="shared" si="5"/>
        <v>511011</v>
      </c>
      <c r="J18" s="34" cm="1">
        <f t="array" ref="J18">IFERROR(-_xlfn.IFS(OR(H18="y",H18="Y"),F18,AND(H18&lt;&gt;0,ISNUMBER(H18)),H18,G18&lt;&gt;0,G18),0)</f>
        <v>-42.6</v>
      </c>
      <c r="K18" s="30">
        <f t="shared" si="2"/>
        <v>347140</v>
      </c>
      <c r="L18" s="57">
        <f>IF(C18&lt;&gt;"",_xlfn.XLOOKUP(TEXT(C18,"0"),TEXT(CC!$C$3:$C$1000,"0"),CC!$G$3:$G$1000,""),"")</f>
      </c>
      <c r="N18" s="44">
        <v>809827</v>
      </c>
      <c r="O18" s="60">
        <v>80.67</v>
      </c>
      <c r="P18" s="27" t="str">
        <f t="shared" si="3"/>
        <v>511011</v>
      </c>
      <c r="Q18" s="34">
        <f>-NotOnSch[[#This Row],[Amount]]</f>
        <v>-80.67</v>
      </c>
      <c r="R18" s="30">
        <f t="shared" si="4"/>
        <v>809827</v>
      </c>
      <c r="S18" s="44">
        <f>IF(N18&lt;&gt;"",_xlfn.XLOOKUP(TEXT(N18,"0"),TEXT(CC!$C$3:$C$1000,"0"),CC!$G$3:$G$1000,""),"")</f>
      </c>
    </row>
    <row r="19" spans="3:19" x14ac:dyDescent="0.25">
      <c r="C19" s="49">
        <v>347148</v>
      </c>
      <c r="D19" s="49" t="s">
        <v>12</v>
      </c>
      <c r="E19" s="50">
        <v>1</v>
      </c>
      <c r="F19" s="51">
        <v>65.02</v>
      </c>
      <c r="G19" s="70">
        <f>IFERROR(SUMPRODUCT((TEXT(CC!$C$3:$C$1000,"0")=TEXT(C19,"0"))*IFERROR(CC!$E$3:$E$1000+0,0)),0)</f>
      </c>
      <c r="H19" s="56"/>
      <c r="I19" s="95" t="str">
        <f t="shared" si="5"/>
        <v>511011</v>
      </c>
      <c r="J19" s="34" cm="1">
        <f t="array" ref="J19">IFERROR(-_xlfn.IFS(OR(H19="y",H19="Y"),F19,AND(H19&lt;&gt;0,ISNUMBER(H19)),H19,G19&lt;&gt;0,G19),0)</f>
        <v>-533.34</v>
      </c>
      <c r="K19" s="30">
        <f t="shared" si="2"/>
        <v>347148</v>
      </c>
      <c r="L19" s="57">
        <f>IF(C19&lt;&gt;"",_xlfn.XLOOKUP(TEXT(C19,"0"),TEXT(CC!$C$3:$C$1000,"0"),CC!$G$3:$G$1000,""),"")</f>
      </c>
      <c r="N19" s="44">
        <v>809849</v>
      </c>
      <c r="O19" s="60">
        <v>20</v>
      </c>
      <c r="P19" s="27" t="str">
        <f t="shared" si="3"/>
        <v>511011</v>
      </c>
      <c r="Q19" s="34">
        <f>-NotOnSch[[#This Row],[Amount]]</f>
        <v>-20</v>
      </c>
      <c r="R19" s="30">
        <f t="shared" si="4"/>
        <v>809849</v>
      </c>
      <c r="S19" s="44">
        <f>IF(N19&lt;&gt;"",_xlfn.XLOOKUP(TEXT(N19,"0"),TEXT(CC!$C$3:$C$1000,"0"),CC!$G$3:$G$1000,""),"")</f>
      </c>
    </row>
    <row r="20" spans="3:19" x14ac:dyDescent="0.25">
      <c r="C20" s="52">
        <v>347151</v>
      </c>
      <c r="D20" s="49" t="s">
        <v>12</v>
      </c>
      <c r="E20" s="50">
        <v>1</v>
      </c>
      <c r="F20" s="51">
        <v>68.180000000000007</v>
      </c>
      <c r="G20" s="70">
        <f>IFERROR(SUMPRODUCT((TEXT(CC!$C$3:$C$1000,"0")=TEXT(C20,"0"))*IFERROR(CC!$E$3:$E$1000+0,0)),0)</f>
      </c>
      <c r="H20" s="56"/>
      <c r="I20" s="95" t="str">
        <f t="shared" si="5"/>
        <v>511011</v>
      </c>
      <c r="J20" s="34" cm="1">
        <f t="array" ref="J20">IFERROR(-_xlfn.IFS(OR(H20="y",H20="Y"),F20,AND(H20&lt;&gt;0,ISNUMBER(H20)),H20,G20&lt;&gt;0,G20),0)</f>
        <v>-28.97</v>
      </c>
      <c r="K20" s="30">
        <f t="shared" si="2"/>
        <v>347151</v>
      </c>
      <c r="L20" s="57">
        <f>IF(C20&lt;&gt;"",_xlfn.XLOOKUP(TEXT(C20,"0"),TEXT(CC!$C$3:$C$1000,"0"),CC!$G$3:$G$1000,""),"")</f>
      </c>
      <c r="N20" s="44">
        <v>347089</v>
      </c>
      <c r="O20" s="60">
        <v>630.42999999999995</v>
      </c>
      <c r="P20" s="27" t="str">
        <f t="shared" si="3"/>
        <v>511011</v>
      </c>
      <c r="Q20" s="34">
        <f>-NotOnSch[[#This Row],[Amount]]</f>
        <v>-630.42999999999995</v>
      </c>
      <c r="R20" s="30">
        <f t="shared" si="4"/>
        <v>347089</v>
      </c>
      <c r="S20" s="44">
        <f>IF(N20&lt;&gt;"",_xlfn.XLOOKUP(TEXT(N20,"0"),TEXT(CC!$C$3:$C$1000,"0"),CC!$G$3:$G$1000,""),"")</f>
      </c>
    </row>
    <row r="21" spans="3:19" x14ac:dyDescent="0.25">
      <c r="C21" s="49">
        <v>347154</v>
      </c>
      <c r="D21" s="52" t="s">
        <v>12</v>
      </c>
      <c r="E21" s="53">
        <v>1</v>
      </c>
      <c r="F21" s="54">
        <v>12.18</v>
      </c>
      <c r="G21" s="70">
        <f>IFERROR(SUMPRODUCT((TEXT(CC!$C$3:$C$1000,"0")=TEXT(C21,"0"))*IFERROR(CC!$E$3:$E$1000+0,0)),0)</f>
      </c>
      <c r="H21" s="56"/>
      <c r="I21" s="95" t="str">
        <f t="shared" si="5"/>
        <v>511011</v>
      </c>
      <c r="J21" s="34" cm="1">
        <f t="array" ref="J21">IFERROR(-_xlfn.IFS(OR(H21="y",H21="Y"),F21,AND(H21&lt;&gt;0,ISNUMBER(H21)),H21,G21&lt;&gt;0,G21),0)</f>
        <v>-228.51</v>
      </c>
      <c r="K21" s="30">
        <f t="shared" si="2"/>
        <v>347154</v>
      </c>
      <c r="L21" s="57">
        <f>IF(C21&lt;&gt;"",_xlfn.XLOOKUP(TEXT(C21,"0"),TEXT(CC!$C$3:$C$1000,"0"),CC!$G$3:$G$1000,""),"")</f>
      </c>
      <c r="N21" s="44">
        <v>347091</v>
      </c>
      <c r="O21" s="60">
        <v>18.22</v>
      </c>
      <c r="P21" s="27" t="str">
        <f t="shared" si="3"/>
        <v>511011</v>
      </c>
      <c r="Q21" s="34">
        <f>-NotOnSch[[#This Row],[Amount]]</f>
        <v>-18.22</v>
      </c>
      <c r="R21" s="30">
        <f t="shared" si="4"/>
        <v>347091</v>
      </c>
      <c r="S21" s="44">
        <f>IF(N21&lt;&gt;"",_xlfn.XLOOKUP(TEXT(N21,"0"),TEXT(CC!$C$3:$C$1000,"0"),CC!$G$3:$G$1000,""),"")</f>
      </c>
    </row>
    <row r="22" spans="3:19" x14ac:dyDescent="0.25">
      <c r="C22" s="52">
        <v>347155</v>
      </c>
      <c r="D22" s="49" t="s">
        <v>12</v>
      </c>
      <c r="E22" s="50">
        <v>1</v>
      </c>
      <c r="F22" s="51">
        <v>971.03</v>
      </c>
      <c r="G22" s="70">
        <f>IFERROR(SUMPRODUCT((TEXT(CC!$C$3:$C$1000,"0")=TEXT(C22,"0"))*IFERROR(CC!$E$3:$E$1000+0,0)),0)</f>
      </c>
      <c r="H22" s="56"/>
      <c r="I22" s="95" t="str">
        <f t="shared" si="5"/>
        <v>511011</v>
      </c>
      <c r="J22" s="34" cm="1">
        <f t="array" ref="J22">IFERROR(-_xlfn.IFS(OR(H22="y",H22="Y"),F22,AND(H22&lt;&gt;0,ISNUMBER(H22)),H22,G22&lt;&gt;0,G22),0)</f>
        <v>-117.93</v>
      </c>
      <c r="K22" s="30">
        <f t="shared" si="2"/>
        <v>347155</v>
      </c>
      <c r="L22" s="57">
        <f>IF(C22&lt;&gt;"",_xlfn.XLOOKUP(TEXT(C22,"0"),TEXT(CC!$C$3:$C$1000,"0"),CC!$G$3:$G$1000,""),"")</f>
      </c>
      <c r="N22" s="44">
        <v>347127</v>
      </c>
      <c r="O22" s="60">
        <v>1365.79</v>
      </c>
      <c r="P22" s="27" t="str">
        <f t="shared" si="3"/>
        <v>511011</v>
      </c>
      <c r="Q22" s="34">
        <f>-NotOnSch[[#This Row],[Amount]]</f>
        <v>-1365.79</v>
      </c>
      <c r="R22" s="30">
        <f t="shared" si="4"/>
        <v>347127</v>
      </c>
      <c r="S22" s="44">
        <f>IF(N22&lt;&gt;"",_xlfn.XLOOKUP(TEXT(N22,"0"),TEXT(CC!$C$3:$C$1000,"0"),CC!$G$3:$G$1000,""),"")</f>
      </c>
    </row>
    <row r="23" spans="3:19" x14ac:dyDescent="0.25">
      <c r="C23" s="49">
        <v>347161</v>
      </c>
      <c r="D23" s="52" t="s">
        <v>12</v>
      </c>
      <c r="E23" s="53">
        <v>1</v>
      </c>
      <c r="F23" s="54">
        <v>137.83000000000001</v>
      </c>
      <c r="G23" s="70">
        <f>IFERROR(SUMPRODUCT((TEXT(CC!$C$3:$C$1000,"0")=TEXT(C23,"0"))*IFERROR(CC!$E$3:$E$1000+0,0)),0)</f>
      </c>
      <c r="H23" s="56"/>
      <c r="I23" s="95" t="str">
        <f t="shared" si="5"/>
        <v>511011</v>
      </c>
      <c r="J23" s="34" cm="1">
        <f t="array" ref="J23">IFERROR(-_xlfn.IFS(OR(H23="y",H23="Y"),F23,AND(H23&lt;&gt;0,ISNUMBER(H23)),H23,G23&lt;&gt;0,G23),0)</f>
        <v>-18.84</v>
      </c>
      <c r="K23" s="30">
        <f t="shared" si="2"/>
        <v>347161</v>
      </c>
      <c r="L23" s="57">
        <f>IF(C23&lt;&gt;"",_xlfn.XLOOKUP(TEXT(C23,"0"),TEXT(CC!$C$3:$C$1000,"0"),CC!$G$3:$G$1000,""),"")</f>
      </c>
      <c r="N23" s="44">
        <v>347153</v>
      </c>
      <c r="O23" s="60">
        <v>46.63</v>
      </c>
      <c r="P23" s="27" t="str">
        <f t="shared" si="3"/>
        <v>511011</v>
      </c>
      <c r="Q23" s="34">
        <f>-NotOnSch[[#This Row],[Amount]]</f>
        <v>-46.63</v>
      </c>
      <c r="R23" s="30">
        <f t="shared" si="4"/>
        <v>347153</v>
      </c>
      <c r="S23" s="44">
        <f>IF(N23&lt;&gt;"",_xlfn.XLOOKUP(TEXT(N23,"0"),TEXT(CC!$C$3:$C$1000,"0"),CC!$G$3:$G$1000,""),"")</f>
      </c>
    </row>
    <row r="24" spans="3:19" x14ac:dyDescent="0.25">
      <c r="C24" s="52">
        <v>347162</v>
      </c>
      <c r="D24" s="49" t="s">
        <v>12</v>
      </c>
      <c r="E24" s="50">
        <v>1</v>
      </c>
      <c r="F24" s="51">
        <v>24.52</v>
      </c>
      <c r="G24" s="70">
        <f>IFERROR(SUMPRODUCT((TEXT(CC!$C$3:$C$1000,"0")=TEXT(C24,"0"))*IFERROR(CC!$E$3:$E$1000+0,0)),0)</f>
      </c>
      <c r="H24" s="56"/>
      <c r="I24" s="95" t="str">
        <f t="shared" si="5"/>
        <v>511011</v>
      </c>
      <c r="J24" s="34" cm="1">
        <f t="array" ref="J24">IFERROR(-_xlfn.IFS(OR(H24="y",H24="Y"),F24,AND(H24&lt;&gt;0,ISNUMBER(H24)),H24,G24&lt;&gt;0,G24),0)</f>
        <v>-26.75</v>
      </c>
      <c r="K24" s="30">
        <f t="shared" si="2"/>
        <v>347162</v>
      </c>
      <c r="L24" s="57">
        <f>IF(C24&lt;&gt;"",_xlfn.XLOOKUP(TEXT(C24,"0"),TEXT(CC!$C$3:$C$1000,"0"),CC!$G$3:$G$1000,""),"")</f>
      </c>
      <c r="N24" s="44">
        <v>347156</v>
      </c>
      <c r="O24" s="60">
        <v>35.22</v>
      </c>
      <c r="P24" s="27" t="str">
        <f t="shared" si="3"/>
        <v>511011</v>
      </c>
      <c r="Q24" s="34">
        <f>-NotOnSch[[#This Row],[Amount]]</f>
        <v>-35.22</v>
      </c>
      <c r="R24" s="30">
        <f t="shared" si="4"/>
        <v>347156</v>
      </c>
      <c r="S24" s="44">
        <f>IF(N24&lt;&gt;"",_xlfn.XLOOKUP(TEXT(N24,"0"),TEXT(CC!$C$3:$C$1000,"0"),CC!$G$3:$G$1000,""),"")</f>
      </c>
    </row>
    <row r="25" spans="3:19" x14ac:dyDescent="0.25">
      <c r="C25" s="49">
        <v>809485</v>
      </c>
      <c r="D25" s="49" t="s">
        <v>12</v>
      </c>
      <c r="E25" s="50">
        <v>1</v>
      </c>
      <c r="F25" s="51">
        <v>595.54999999999995</v>
      </c>
      <c r="G25" s="70">
        <f>IFERROR(SUMPRODUCT((TEXT(CC!$C$3:$C$1000,"0")=TEXT(C25,"0"))*IFERROR(CC!$E$3:$E$1000+0,0)),0)</f>
      </c>
      <c r="H25" s="56"/>
      <c r="I25" s="95" t="str">
        <f t="shared" si="5"/>
        <v>511011</v>
      </c>
      <c r="J25" s="34" cm="1">
        <f t="array" ref="J25">IFERROR(-_xlfn.IFS(OR(H25="y",H25="Y"),F25,AND(H25&lt;&gt;0,ISNUMBER(H25)),H25,G25&lt;&gt;0,G25),0)</f>
        <v>-469.25</v>
      </c>
      <c r="K25" s="30">
        <f t="shared" si="2"/>
        <v>809485</v>
      </c>
      <c r="L25" s="57">
        <f>IF(C25&lt;&gt;"",_xlfn.XLOOKUP(TEXT(C25,"0"),TEXT(CC!$C$3:$C$1000,"0"),CC!$G$3:$G$1000,""),"")</f>
      </c>
      <c r="N25" s="44"/>
      <c r="O25" s="60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4" t="str">
        <f>IF(N25&lt;&gt;"",_xlfn.XLOOKUP(TEXT(N25,"0"),TEXT(CC!$C$3:$C$1000,"0"),CC!$G$3:$G$1000,""),"")</f>
        <v/>
      </c>
    </row>
    <row r="26" spans="3:19" x14ac:dyDescent="0.25">
      <c r="C26" s="52">
        <v>809614</v>
      </c>
      <c r="D26" s="52" t="s">
        <v>12</v>
      </c>
      <c r="E26" s="53">
        <v>1</v>
      </c>
      <c r="F26" s="54">
        <v>1337.63</v>
      </c>
      <c r="G26" s="70">
        <f>IFERROR(SUMPRODUCT((TEXT(CC!$C$3:$C$1000,"0")=TEXT(C26,"0"))*IFERROR(CC!$E$3:$E$1000+0,0)),0)</f>
      </c>
      <c r="H26" s="56"/>
      <c r="I26" s="95" t="str">
        <f t="shared" si="5"/>
        <v>511011</v>
      </c>
      <c r="J26" s="34" cm="1">
        <f t="array" ref="J26">IFERROR(-_xlfn.IFS(OR(H26="y",H26="Y"),F26,AND(H26&lt;&gt;0,ISNUMBER(H26)),H26,G26&lt;&gt;0,G26),0)</f>
        <v>-1827.8</v>
      </c>
      <c r="K26" s="30">
        <f t="shared" si="2"/>
        <v>809614</v>
      </c>
      <c r="L26" s="57">
        <f>IF(C26&lt;&gt;"",_xlfn.XLOOKUP(TEXT(C26,"0"),TEXT(CC!$C$3:$C$1000,"0"),CC!$G$3:$G$1000,""),"")</f>
      </c>
      <c r="N26" s="44"/>
      <c r="O26" s="60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4" t="str">
        <f>IF(N26&lt;&gt;"",_xlfn.XLOOKUP(TEXT(N26,"0"),TEXT(CC!$C$3:$C$1000,"0"),CC!$G$3:$G$1000,""),"")</f>
        <v/>
      </c>
    </row>
    <row r="27" spans="3:19" x14ac:dyDescent="0.25">
      <c r="C27" s="49">
        <v>809619</v>
      </c>
      <c r="D27" s="52" t="s">
        <v>12</v>
      </c>
      <c r="E27" s="53">
        <v>1</v>
      </c>
      <c r="F27" s="54">
        <v>107.57</v>
      </c>
      <c r="G27" s="70">
        <f>IFERROR(SUMPRODUCT((TEXT(CC!$C$3:$C$1000,"0")=TEXT(C27,"0"))*IFERROR(CC!$E$3:$E$1000+0,0)),0)</f>
      </c>
      <c r="H27" s="56"/>
      <c r="I27" s="95" t="str">
        <f t="shared" si="5"/>
        <v>511011</v>
      </c>
      <c r="J27" s="34" cm="1">
        <f t="array" ref="J27">IFERROR(-_xlfn.IFS(OR(H27="y",H27="Y"),F27,AND(H27&lt;&gt;0,ISNUMBER(H27)),H27,G27&lt;&gt;0,G27),0)</f>
        <v>-806.25</v>
      </c>
      <c r="K27" s="30">
        <f t="shared" si="2"/>
        <v>809619</v>
      </c>
      <c r="L27" s="57">
        <f>IF(C27&lt;&gt;"",_xlfn.XLOOKUP(TEXT(C27,"0"),TEXT(CC!$C$3:$C$1000,"0"),CC!$G$3:$G$1000,""),"")</f>
      </c>
      <c r="N27" s="44"/>
      <c r="O27" s="60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4" t="str">
        <f>IF(N27&lt;&gt;"",_xlfn.XLOOKUP(TEXT(N27,"0"),TEXT(CC!$C$3:$C$1000,"0"),CC!$G$3:$G$1000,""),"")</f>
        <v/>
      </c>
    </row>
    <row r="28" spans="3:19" x14ac:dyDescent="0.25">
      <c r="C28" s="52">
        <v>809777</v>
      </c>
      <c r="D28" s="49" t="s">
        <v>12</v>
      </c>
      <c r="E28" s="50">
        <v>1</v>
      </c>
      <c r="F28" s="51">
        <v>29.96</v>
      </c>
      <c r="G28" s="70">
        <f>IFERROR(SUMPRODUCT((TEXT(CC!$C$3:$C$1000,"0")=TEXT(C28,"0"))*IFERROR(CC!$E$3:$E$1000+0,0)),0)</f>
      </c>
      <c r="H28" s="56"/>
      <c r="I28" s="95" t="str">
        <f t="shared" si="5"/>
        <v>511011</v>
      </c>
      <c r="J28" s="34" cm="1">
        <f t="array" ref="J28">IFERROR(-_xlfn.IFS(OR(H28="y",H28="Y"),F28,AND(H28&lt;&gt;0,ISNUMBER(H28)),H28,G28&lt;&gt;0,G28),0)</f>
        <v>-83</v>
      </c>
      <c r="K28" s="30">
        <f t="shared" si="2"/>
        <v>809777</v>
      </c>
      <c r="L28" s="57">
        <f>IF(C28&lt;&gt;"",_xlfn.XLOOKUP(TEXT(C28,"0"),TEXT(CC!$C$3:$C$1000,"0"),CC!$G$3:$G$1000,""),"")</f>
      </c>
      <c r="N28" s="44"/>
      <c r="O28" s="60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4" t="str">
        <f>IF(N28&lt;&gt;"",_xlfn.XLOOKUP(TEXT(N28,"0"),TEXT(CC!$C$3:$C$1000,"0"),CC!$G$3:$G$1000,""),"")</f>
        <v/>
      </c>
    </row>
    <row r="29" spans="3:19" x14ac:dyDescent="0.25">
      <c r="C29" s="49">
        <v>809800</v>
      </c>
      <c r="D29" s="52" t="s">
        <v>12</v>
      </c>
      <c r="E29" s="53">
        <v>1</v>
      </c>
      <c r="F29" s="54">
        <v>45.94</v>
      </c>
      <c r="G29" s="70">
        <f>IFERROR(SUMPRODUCT((TEXT(CC!$C$3:$C$1000,"0")=TEXT(C29,"0"))*IFERROR(CC!$E$3:$E$1000+0,0)),0)</f>
      </c>
      <c r="H29" s="56"/>
      <c r="I29" s="95" t="str">
        <f t="shared" si="5"/>
        <v>511011</v>
      </c>
      <c r="J29" s="34" cm="1">
        <f t="array" ref="J29">IFERROR(-_xlfn.IFS(OR(H29="y",H29="Y"),F29,AND(H29&lt;&gt;0,ISNUMBER(H29)),H29,G29&lt;&gt;0,G29),0)</f>
        <v>-20</v>
      </c>
      <c r="K29" s="30">
        <f t="shared" si="2"/>
        <v>809800</v>
      </c>
      <c r="L29" s="57">
        <f>IF(C29&lt;&gt;"",_xlfn.XLOOKUP(TEXT(C29,"0"),TEXT(CC!$C$3:$C$1000,"0"),CC!$G$3:$G$1000,""),"")</f>
      </c>
      <c r="N29" s="44"/>
      <c r="O29" s="60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4" t="str">
        <f>IF(N29&lt;&gt;"",_xlfn.XLOOKUP(TEXT(N29,"0"),TEXT(CC!$C$3:$C$1000,"0"),CC!$G$3:$G$1000,""),"")</f>
        <v/>
      </c>
    </row>
    <row r="30" spans="3:19" x14ac:dyDescent="0.25">
      <c r="C30" s="52">
        <v>809801</v>
      </c>
      <c r="D30" s="49" t="s">
        <v>12</v>
      </c>
      <c r="E30" s="50">
        <v>1</v>
      </c>
      <c r="F30" s="51">
        <v>11.2</v>
      </c>
      <c r="G30" s="70">
        <f>IFERROR(SUMPRODUCT((TEXT(CC!$C$3:$C$1000,"0")=TEXT(C30,"0"))*IFERROR(CC!$E$3:$E$1000+0,0)),0)</f>
      </c>
      <c r="H30" s="56"/>
      <c r="I30" s="95" t="str">
        <f t="shared" si="5"/>
        <v>511011</v>
      </c>
      <c r="J30" s="34" cm="1">
        <f t="array" ref="J30">IFERROR(-_xlfn.IFS(OR(H30="y",H30="Y"),F30,AND(H30&lt;&gt;0,ISNUMBER(H30)),H30,G30&lt;&gt;0,G30),0)</f>
        <v>-233.24</v>
      </c>
      <c r="K30" s="30">
        <f t="shared" si="2"/>
        <v>809801</v>
      </c>
      <c r="L30" s="57">
        <f>IF(C30&lt;&gt;"",_xlfn.XLOOKUP(TEXT(C30,"0"),TEXT(CC!$C$3:$C$1000,"0"),CC!$G$3:$G$1000,""),"")</f>
      </c>
      <c r="N30" s="44"/>
      <c r="O30" s="60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4" t="str">
        <f>IF(N30&lt;&gt;"",_xlfn.XLOOKUP(TEXT(N30,"0"),TEXT(CC!$C$3:$C$1000,"0"),CC!$G$3:$G$1000,""),"")</f>
        <v/>
      </c>
    </row>
    <row r="31" spans="3:19" x14ac:dyDescent="0.25">
      <c r="C31" s="49">
        <v>809804</v>
      </c>
      <c r="D31" s="52" t="s">
        <v>12</v>
      </c>
      <c r="E31" s="53">
        <v>1</v>
      </c>
      <c r="F31" s="54">
        <v>694.63</v>
      </c>
      <c r="G31" s="70">
        <f>IFERROR(SUMPRODUCT((TEXT(CC!$C$3:$C$1000,"0")=TEXT(C31,"0"))*IFERROR(CC!$E$3:$E$1000+0,0)),0)</f>
      </c>
      <c r="H31" s="56"/>
      <c r="I31" s="95" t="str">
        <f t="shared" si="5"/>
        <v>511011</v>
      </c>
      <c r="J31" s="34" cm="1">
        <f t="array" ref="J31">IFERROR(-_xlfn.IFS(OR(H31="y",H31="Y"),F31,AND(H31&lt;&gt;0,ISNUMBER(H31)),H31,G31&lt;&gt;0,G31),0)</f>
        <v>-104.46</v>
      </c>
      <c r="K31" s="30">
        <f t="shared" si="2"/>
        <v>809804</v>
      </c>
      <c r="L31" s="57">
        <f>IF(C31&lt;&gt;"",_xlfn.XLOOKUP(TEXT(C31,"0"),TEXT(CC!$C$3:$C$1000,"0"),CC!$G$3:$G$1000,""),"")</f>
      </c>
      <c r="N31" s="44"/>
      <c r="O31" s="60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4" t="str">
        <f>IF(N31&lt;&gt;"",_xlfn.XLOOKUP(TEXT(N31,"0"),TEXT(CC!$C$3:$C$1000,"0"),CC!$G$3:$G$1000,""),"")</f>
        <v/>
      </c>
    </row>
    <row r="32" spans="3:19" x14ac:dyDescent="0.25">
      <c r="C32" s="49">
        <v>809806</v>
      </c>
      <c r="D32" s="52" t="s">
        <v>12</v>
      </c>
      <c r="E32" s="53">
        <v>1</v>
      </c>
      <c r="F32" s="54">
        <v>125.48</v>
      </c>
      <c r="G32" s="70">
        <f>IFERROR(SUMPRODUCT((TEXT(CC!$C$3:$C$1000,"0")=TEXT(C32,"0"))*IFERROR(CC!$E$3:$E$1000+0,0)),0)</f>
      </c>
      <c r="H32" s="56"/>
      <c r="I32" s="95" t="str">
        <f t="shared" si="5"/>
        <v>511011</v>
      </c>
      <c r="J32" s="34" cm="1">
        <f t="array" ref="J32">IFERROR(-_xlfn.IFS(OR(H32="y",H32="Y"),F32,AND(H32&lt;&gt;0,ISNUMBER(H32)),H32,G32&lt;&gt;0,G32),0)</f>
        <v>-589.34</v>
      </c>
      <c r="K32" s="30">
        <f t="shared" si="2"/>
        <v>809806</v>
      </c>
      <c r="L32" s="57">
        <f>IF(C32&lt;&gt;"",_xlfn.XLOOKUP(TEXT(C32,"0"),TEXT(CC!$C$3:$C$1000,"0"),CC!$G$3:$G$1000,""),"")</f>
      </c>
      <c r="N32" s="44"/>
      <c r="O32" s="60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4" t="str">
        <f>IF(N32&lt;&gt;"",_xlfn.XLOOKUP(TEXT(N32,"0"),TEXT(CC!$C$3:$C$1000,"0"),CC!$G$3:$G$1000,""),"")</f>
        <v/>
      </c>
    </row>
    <row r="33" spans="3:20" x14ac:dyDescent="0.25">
      <c r="C33" s="52">
        <v>809808</v>
      </c>
      <c r="D33" s="49" t="s">
        <v>12</v>
      </c>
      <c r="E33" s="50">
        <v>1</v>
      </c>
      <c r="F33" s="51">
        <v>9.6</v>
      </c>
      <c r="G33" s="70">
        <f>IFERROR(SUMPRODUCT((TEXT(CC!$C$3:$C$1000,"0")=TEXT(C33,"0"))*IFERROR(CC!$E$3:$E$1000+0,0)),0)</f>
      </c>
      <c r="H33" s="56"/>
      <c r="I33" s="95" t="str">
        <f t="shared" si="5"/>
        <v>511011</v>
      </c>
      <c r="J33" s="34" cm="1">
        <f t="array" ref="J33">IFERROR(-_xlfn.IFS(OR(H33="y",H33="Y"),F33,AND(H33&lt;&gt;0,ISNUMBER(H33)),H33,G33&lt;&gt;0,G33),0)</f>
        <v>-346.83</v>
      </c>
      <c r="K33" s="30">
        <f t="shared" si="2"/>
        <v>809808</v>
      </c>
      <c r="L33" s="57">
        <f>IF(C33&lt;&gt;"",_xlfn.XLOOKUP(TEXT(C33,"0"),TEXT(CC!$C$3:$C$1000,"0"),CC!$G$3:$G$1000,""),"")</f>
      </c>
      <c r="N33" s="44"/>
      <c r="O33" s="60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4" t="str">
        <f>IF(N33&lt;&gt;"",_xlfn.XLOOKUP(TEXT(N33,"0"),TEXT(CC!$C$3:$C$1000,"0"),CC!$G$3:$G$1000,""),"")</f>
        <v/>
      </c>
    </row>
    <row r="34" spans="3:20" x14ac:dyDescent="0.25">
      <c r="C34" s="49">
        <v>809809</v>
      </c>
      <c r="D34" s="52" t="s">
        <v>12</v>
      </c>
      <c r="E34" s="53">
        <v>1</v>
      </c>
      <c r="F34" s="54">
        <v>398.22</v>
      </c>
      <c r="G34" s="70">
        <f>IFERROR(SUMPRODUCT((TEXT(CC!$C$3:$C$1000,"0")=TEXT(C34,"0"))*IFERROR(CC!$E$3:$E$1000+0,0)),0)</f>
      </c>
      <c r="H34" s="56"/>
      <c r="I34" s="95" t="str">
        <f t="shared" si="5"/>
        <v>511011</v>
      </c>
      <c r="J34" s="34" cm="1">
        <f t="array" ref="J34">IFERROR(-_xlfn.IFS(OR(H34="y",H34="Y"),F34,AND(H34&lt;&gt;0,ISNUMBER(H34)),H34,G34&lt;&gt;0,G34),0)</f>
        <v>-319.04000000000002</v>
      </c>
      <c r="K34" s="30">
        <f t="shared" si="2"/>
        <v>809809</v>
      </c>
      <c r="L34" s="57">
        <f>IF(C34&lt;&gt;"",_xlfn.XLOOKUP(TEXT(C34,"0"),TEXT(CC!$C$3:$C$1000,"0"),CC!$G$3:$G$1000,""),"")</f>
      </c>
      <c r="N34" s="44"/>
      <c r="O34" s="60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4" t="str">
        <f>IF(N34&lt;&gt;"",_xlfn.XLOOKUP(TEXT(N34,"0"),TEXT(CC!$C$3:$C$1000,"0"),CC!$G$3:$G$1000,""),"")</f>
        <v/>
      </c>
    </row>
    <row r="35" spans="3:20" x14ac:dyDescent="0.25">
      <c r="C35" s="52">
        <v>809810</v>
      </c>
      <c r="D35" s="52" t="s">
        <v>12</v>
      </c>
      <c r="E35" s="53">
        <v>1</v>
      </c>
      <c r="F35" s="54">
        <v>209.02</v>
      </c>
      <c r="G35" s="70">
        <f>IFERROR(SUMPRODUCT((TEXT(CC!$C$3:$C$1000,"0")=TEXT(C35,"0"))*IFERROR(CC!$E$3:$E$1000+0,0)),0)</f>
      </c>
      <c r="H35" s="56"/>
      <c r="I35" s="95" t="str">
        <f t="shared" si="5"/>
        <v>511011</v>
      </c>
      <c r="J35" s="34" cm="1">
        <f t="array" ref="J35">IFERROR(-_xlfn.IFS(OR(H35="y",H35="Y"),F35,AND(H35&lt;&gt;0,ISNUMBER(H35)),H35,G35&lt;&gt;0,G35),0)</f>
        <v>-277.07</v>
      </c>
      <c r="K35" s="30">
        <f t="shared" si="2"/>
        <v>809810</v>
      </c>
      <c r="L35" s="57">
        <f>IF(C35&lt;&gt;"",_xlfn.XLOOKUP(TEXT(C35,"0"),TEXT(CC!$C$3:$C$1000,"0"),CC!$G$3:$G$1000,""),"")</f>
      </c>
      <c r="N35" s="44"/>
      <c r="O35" s="60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4" t="str">
        <f>IF(N35&lt;&gt;"",_xlfn.XLOOKUP(TEXT(N35,"0"),TEXT(CC!$C$3:$C$1000,"0"),CC!$G$3:$G$1000,""),"")</f>
        <v/>
      </c>
    </row>
    <row r="36" spans="3:20" x14ac:dyDescent="0.25">
      <c r="C36" s="49">
        <v>809814</v>
      </c>
      <c r="D36" s="49" t="s">
        <v>12</v>
      </c>
      <c r="E36" s="50">
        <v>1</v>
      </c>
      <c r="F36" s="51">
        <v>1410.57</v>
      </c>
      <c r="G36" s="70">
        <f>IFERROR(SUMPRODUCT((TEXT(CC!$C$3:$C$1000,"0")=TEXT(C36,"0"))*IFERROR(CC!$E$3:$E$1000+0,0)),0)</f>
      </c>
      <c r="H36" s="56"/>
      <c r="I36" s="95" t="str">
        <f t="shared" si="5"/>
        <v>511011</v>
      </c>
      <c r="J36" s="34" cm="1">
        <f t="array" ref="J36">IFERROR(-_xlfn.IFS(OR(H36="y",H36="Y"),F36,AND(H36&lt;&gt;0,ISNUMBER(H36)),H36,G36&lt;&gt;0,G36),0)</f>
        <v>-102.71</v>
      </c>
      <c r="K36" s="30">
        <f t="shared" si="2"/>
        <v>809814</v>
      </c>
      <c r="L36" s="57">
        <f>IF(C36&lt;&gt;"",_xlfn.XLOOKUP(TEXT(C36,"0"),TEXT(CC!$C$3:$C$1000,"0"),CC!$G$3:$G$1000,""),"")</f>
      </c>
    </row>
    <row r="37" spans="3:20" x14ac:dyDescent="0.25">
      <c r="C37" s="52">
        <v>809815</v>
      </c>
      <c r="D37" s="52" t="s">
        <v>12</v>
      </c>
      <c r="E37" s="53">
        <v>1</v>
      </c>
      <c r="F37" s="54">
        <v>458.36</v>
      </c>
      <c r="G37" s="70">
        <f>IFERROR(SUMPRODUCT((TEXT(CC!$C$3:$C$1000,"0")=TEXT(C37,"0"))*IFERROR(CC!$E$3:$E$1000+0,0)),0)</f>
      </c>
      <c r="H37" s="56"/>
      <c r="I37" s="95" t="str">
        <f t="shared" si="5"/>
        <v>511011</v>
      </c>
      <c r="J37" s="34" cm="1">
        <f t="array" ref="J37">IFERROR(-_xlfn.IFS(OR(H37="y",H37="Y"),F37,AND(H37&lt;&gt;0,ISNUMBER(H37)),H37,G37&lt;&gt;0,G37),0)</f>
        <v>-93.29</v>
      </c>
      <c r="K37" s="30">
        <f t="shared" si="2"/>
        <v>809815</v>
      </c>
      <c r="L37" s="57">
        <f>IF(C37&lt;&gt;"",_xlfn.XLOOKUP(TEXT(C37,"0"),TEXT(CC!$C$3:$C$1000,"0"),CC!$G$3:$G$1000,""),"")</f>
      </c>
      <c r="N37" s="88" t="s">
        <v>60</v>
      </c>
      <c r="O37" s="89"/>
      <c r="P37" s="89"/>
      <c r="Q37" s="89"/>
      <c r="R37" s="89"/>
      <c r="S37" s="89"/>
      <c r="T37" s="90"/>
    </row>
    <row r="38" spans="3:20" x14ac:dyDescent="0.25">
      <c r="C38" s="49">
        <v>809818</v>
      </c>
      <c r="D38" s="49" t="s">
        <v>12</v>
      </c>
      <c r="E38" s="50">
        <v>1</v>
      </c>
      <c r="F38" s="51">
        <v>94.44</v>
      </c>
      <c r="G38" s="70">
        <f>IFERROR(SUMPRODUCT((TEXT(CC!$C$3:$C$1000,"0")=TEXT(C38,"0"))*IFERROR(CC!$E$3:$E$1000+0,0)),0)</f>
      </c>
      <c r="H38" s="56"/>
      <c r="I38" s="95" t="str">
        <f t="shared" si="5"/>
        <v>511011</v>
      </c>
      <c r="J38" s="34" cm="1">
        <f t="array" ref="J38">IFERROR(-_xlfn.IFS(OR(H38="y",H38="Y"),F38,AND(H38&lt;&gt;0,ISNUMBER(H38)),H38,G38&lt;&gt;0,G38),0)</f>
        <v>-20</v>
      </c>
      <c r="K38" s="30">
        <f t="shared" si="2"/>
        <v>809818</v>
      </c>
      <c r="L38" s="57">
        <f>IF(C38&lt;&gt;"",_xlfn.XLOOKUP(TEXT(C38,"0"),TEXT(CC!$C$3:$C$1000,"0"),CC!$G$3:$G$1000,""),"")</f>
      </c>
      <c r="N38" s="31" t="s">
        <v>46</v>
      </c>
      <c r="O38" s="31" t="s">
        <v>47</v>
      </c>
      <c r="P38" s="32" t="s">
        <v>45</v>
      </c>
      <c r="Q38" s="32" t="s">
        <v>68</v>
      </c>
      <c r="R38" s="32" t="s">
        <v>69</v>
      </c>
      <c r="S38" s="32" t="s">
        <v>70</v>
      </c>
      <c r="T38" s="36" t="s">
        <v>75</v>
      </c>
    </row>
    <row r="39" spans="3:20" x14ac:dyDescent="0.25">
      <c r="C39" s="52">
        <v>809819</v>
      </c>
      <c r="D39" s="52" t="s">
        <v>12</v>
      </c>
      <c r="E39" s="53">
        <v>1</v>
      </c>
      <c r="F39" s="54">
        <v>-403.8</v>
      </c>
      <c r="G39" s="70">
        <f>IFERROR(SUMPRODUCT((TEXT(CC!$C$3:$C$1000,"0")=TEXT(C39,"0"))*IFERROR(CC!$E$3:$E$1000+0,0)),0)</f>
      </c>
      <c r="H39" s="56"/>
      <c r="I39" s="95" t="str">
        <f t="shared" si="5"/>
        <v>511011</v>
      </c>
      <c r="J39" s="34" cm="1">
        <f t="array" ref="J39">IFERROR(-_xlfn.IFS(OR(H39="y",H39="Y"),F39,AND(H39&lt;&gt;0,ISNUMBER(H39)),H39,G39&lt;&gt;0,G39),0)</f>
        <v>-1384.86</v>
      </c>
      <c r="K39" s="30">
        <f t="shared" si="2"/>
        <v>809819</v>
      </c>
      <c r="L39" s="57">
        <f>IF(C39&lt;&gt;"",_xlfn.XLOOKUP(TEXT(C39,"0"),TEXT(CC!$C$3:$C$1000,"0"),CC!$G$3:$G$1000,""),"")</f>
      </c>
      <c r="N39" s="58"/>
      <c r="O39" s="62"/>
      <c r="P39" s="26" t="str">
        <f t="shared" ref="P39:P60" si="6">IF(N39&lt;&gt;"","511011","")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58"/>
    </row>
    <row r="40" spans="3:20" x14ac:dyDescent="0.25">
      <c r="C40" s="49">
        <v>809820</v>
      </c>
      <c r="D40" s="49" t="s">
        <v>12</v>
      </c>
      <c r="E40" s="50">
        <v>1</v>
      </c>
      <c r="F40" s="51">
        <v>58.66</v>
      </c>
      <c r="G40" s="70">
        <f>IFERROR(SUMPRODUCT((TEXT(CC!$C$3:$C$1000,"0")=TEXT(C40,"0"))*IFERROR(CC!$E$3:$E$1000+0,0)),0)</f>
      </c>
      <c r="H40" s="56"/>
      <c r="I40" s="95" t="str">
        <f t="shared" si="5"/>
        <v>511011</v>
      </c>
      <c r="J40" s="34" cm="1">
        <f t="array" ref="J40">IFERROR(-_xlfn.IFS(OR(H40="y",H40="Y"),F40,AND(H40&lt;&gt;0,ISNUMBER(H40)),H40,G40&lt;&gt;0,G40),0)</f>
        <v>-108.97</v>
      </c>
      <c r="K40" s="30">
        <f t="shared" si="2"/>
        <v>809820</v>
      </c>
      <c r="L40" s="57">
        <f>IF(C40&lt;&gt;"",_xlfn.XLOOKUP(TEXT(C40,"0"),TEXT(CC!$C$3:$C$1000,"0"),CC!$G$3:$G$1000,""),"")</f>
      </c>
      <c r="N40" s="44"/>
      <c r="O40" s="63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4"/>
    </row>
    <row r="41" spans="3:20" x14ac:dyDescent="0.25">
      <c r="C41" s="52">
        <v>809821</v>
      </c>
      <c r="D41" s="52" t="s">
        <v>12</v>
      </c>
      <c r="E41" s="53">
        <v>1</v>
      </c>
      <c r="F41" s="54">
        <v>54.82</v>
      </c>
      <c r="G41" s="70">
        <f>IFERROR(SUMPRODUCT((TEXT(CC!$C$3:$C$1000,"0")=TEXT(C41,"0"))*IFERROR(CC!$E$3:$E$1000+0,0)),0)</f>
      </c>
      <c r="H41" s="56"/>
      <c r="I41" s="95" t="str">
        <f t="shared" si="5"/>
        <v>511011</v>
      </c>
      <c r="J41" s="34" cm="1">
        <f t="array" ref="J41">IFERROR(-_xlfn.IFS(OR(H41="y",H41="Y"),F41,AND(H41&lt;&gt;0,ISNUMBER(H41)),H41,G41&lt;&gt;0,G41),0)</f>
        <v>-139.94999999999999</v>
      </c>
      <c r="K41" s="30">
        <f t="shared" si="2"/>
        <v>809821</v>
      </c>
      <c r="L41" s="57">
        <f>IF(C41&lt;&gt;"",_xlfn.XLOOKUP(TEXT(C41,"0"),TEXT(CC!$C$3:$C$1000,"0"),CC!$G$3:$G$1000,""),"")</f>
      </c>
      <c r="N41" s="44"/>
      <c r="O41" s="63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4"/>
    </row>
    <row r="42" spans="3:20" x14ac:dyDescent="0.25">
      <c r="C42" s="49">
        <v>809822</v>
      </c>
      <c r="D42" s="49" t="s">
        <v>12</v>
      </c>
      <c r="E42" s="50">
        <v>1</v>
      </c>
      <c r="F42" s="51">
        <v>-58.66</v>
      </c>
      <c r="G42" s="70">
        <f>IFERROR(SUMPRODUCT((TEXT(CC!$C$3:$C$1000,"0")=TEXT(C42,"0"))*IFERROR(CC!$E$3:$E$1000+0,0)),0)</f>
      </c>
      <c r="H42" s="56"/>
      <c r="I42" s="95" t="str">
        <f t="shared" si="5"/>
        <v>511011</v>
      </c>
      <c r="J42" s="34" cm="1">
        <f t="array" ref="J42">IFERROR(-_xlfn.IFS(OR(H42="y",H42="Y"),F42,AND(H42&lt;&gt;0,ISNUMBER(H42)),H42,G42&lt;&gt;0,G42),0)</f>
        <v>-216.27</v>
      </c>
      <c r="K42" s="30">
        <f t="shared" si="2"/>
        <v>809822</v>
      </c>
      <c r="L42" s="57">
        <f>IF(C42&lt;&gt;"",_xlfn.XLOOKUP(TEXT(C42,"0"),TEXT(CC!$C$3:$C$1000,"0"),CC!$G$3:$G$1000,""),"")</f>
      </c>
      <c r="N42" s="44"/>
      <c r="O42" s="63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4"/>
    </row>
    <row r="43" spans="3:20" x14ac:dyDescent="0.25">
      <c r="C43" s="52">
        <v>809825</v>
      </c>
      <c r="D43" s="52" t="s">
        <v>12</v>
      </c>
      <c r="E43" s="53">
        <v>1</v>
      </c>
      <c r="F43" s="54">
        <v>-65.180000000000007</v>
      </c>
      <c r="G43" s="70">
        <f>IFERROR(SUMPRODUCT((TEXT(CC!$C$3:$C$1000,"0")=TEXT(C43,"0"))*IFERROR(CC!$E$3:$E$1000+0,0)),0)</f>
      </c>
      <c r="H43" s="56"/>
      <c r="I43" s="95" t="str">
        <f t="shared" si="5"/>
        <v>511011</v>
      </c>
      <c r="J43" s="34" cm="1">
        <f t="array" ref="J43">IFERROR(-_xlfn.IFS(OR(H43="y",H43="Y"),F43,AND(H43&lt;&gt;0,ISNUMBER(H43)),H43,G43&lt;&gt;0,G43),0)</f>
        <v>-841.4</v>
      </c>
      <c r="K43" s="30">
        <f t="shared" si="2"/>
        <v>809825</v>
      </c>
      <c r="L43" s="57">
        <f>IF(C43&lt;&gt;"",_xlfn.XLOOKUP(TEXT(C43,"0"),TEXT(CC!$C$3:$C$1000,"0"),CC!$G$3:$G$1000,""),"")</f>
      </c>
      <c r="N43" s="44"/>
      <c r="O43" s="63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4"/>
    </row>
    <row r="44" spans="3:20" x14ac:dyDescent="0.25">
      <c r="C44" s="49">
        <v>809828</v>
      </c>
      <c r="D44" s="49" t="s">
        <v>12</v>
      </c>
      <c r="E44" s="50">
        <v>1</v>
      </c>
      <c r="F44" s="51">
        <v>28.28</v>
      </c>
      <c r="G44" s="70">
        <f>IFERROR(SUMPRODUCT((TEXT(CC!$C$3:$C$1000,"0")=TEXT(C44,"0"))*IFERROR(CC!$E$3:$E$1000+0,0)),0)</f>
      </c>
      <c r="H44" s="56"/>
      <c r="I44" s="95" t="str">
        <f t="shared" si="5"/>
        <v>511011</v>
      </c>
      <c r="J44" s="34" cm="1">
        <f t="array" ref="J44">IFERROR(-_xlfn.IFS(OR(H44="y",H44="Y"),F44,AND(H44&lt;&gt;0,ISNUMBER(H44)),H44,G44&lt;&gt;0,G44),0)</f>
        <v>-20</v>
      </c>
      <c r="K44" s="30">
        <f t="shared" si="2"/>
        <v>809828</v>
      </c>
      <c r="L44" s="57">
        <f>IF(C44&lt;&gt;"",_xlfn.XLOOKUP(TEXT(C44,"0"),TEXT(CC!$C$3:$C$1000,"0"),CC!$G$3:$G$1000,""),"")</f>
      </c>
      <c r="N44" s="44"/>
      <c r="O44" s="63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4"/>
    </row>
    <row r="45" spans="3:20" x14ac:dyDescent="0.25">
      <c r="C45" s="52">
        <v>809829</v>
      </c>
      <c r="D45" s="52" t="s">
        <v>12</v>
      </c>
      <c r="E45" s="53">
        <v>1</v>
      </c>
      <c r="F45" s="54">
        <v>737.36</v>
      </c>
      <c r="G45" s="70">
        <f>IFERROR(SUMPRODUCT((TEXT(CC!$C$3:$C$1000,"0")=TEXT(C45,"0"))*IFERROR(CC!$E$3:$E$1000+0,0)),0)</f>
      </c>
      <c r="H45" s="56"/>
      <c r="I45" s="95" t="str">
        <f t="shared" si="5"/>
        <v>511011</v>
      </c>
      <c r="J45" s="34" cm="1">
        <f t="array" ref="J45">IFERROR(-_xlfn.IFS(OR(H45="y",H45="Y"),F45,AND(H45&lt;&gt;0,ISNUMBER(H45)),H45,G45&lt;&gt;0,G45),0)</f>
        <v>-453.78</v>
      </c>
      <c r="K45" s="30">
        <f t="shared" si="2"/>
        <v>809829</v>
      </c>
      <c r="L45" s="57">
        <f>IF(C45&lt;&gt;"",_xlfn.XLOOKUP(TEXT(C45,"0"),TEXT(CC!$C$3:$C$1000,"0"),CC!$G$3:$G$1000,""),"")</f>
      </c>
      <c r="N45" s="44"/>
      <c r="O45" s="63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4"/>
    </row>
    <row r="46" spans="3:20" x14ac:dyDescent="0.25">
      <c r="C46" s="49">
        <v>809830</v>
      </c>
      <c r="D46" s="49" t="s">
        <v>12</v>
      </c>
      <c r="E46" s="50">
        <v>1</v>
      </c>
      <c r="F46" s="51">
        <v>-75.58</v>
      </c>
      <c r="G46" s="70">
        <f>IFERROR(SUMPRODUCT((TEXT(CC!$C$3:$C$1000,"0")=TEXT(C46,"0"))*IFERROR(CC!$E$3:$E$1000+0,0)),0)</f>
      </c>
      <c r="H46" s="56"/>
      <c r="I46" s="95" t="str">
        <f t="shared" si="5"/>
        <v>511011</v>
      </c>
      <c r="J46" s="34" cm="1">
        <f t="array" ref="J46">IFERROR(-_xlfn.IFS(OR(H46="y",H46="Y"),F46,AND(H46&lt;&gt;0,ISNUMBER(H46)),H46,G46&lt;&gt;0,G46),0)</f>
        <v>-178.1</v>
      </c>
      <c r="K46" s="30">
        <f t="shared" ref="K46:K77" si="10">IF(J46&lt;&gt;0,C46,"")</f>
        <v>809830</v>
      </c>
      <c r="L46" s="57">
        <f>IF(C46&lt;&gt;"",_xlfn.XLOOKUP(TEXT(C46,"0"),TEXT(CC!$C$3:$C$1000,"0"),CC!$G$3:$G$1000,""),"")</f>
      </c>
      <c r="N46" s="44"/>
      <c r="O46" s="63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4"/>
    </row>
    <row r="47" spans="3:20" x14ac:dyDescent="0.25">
      <c r="C47" s="49">
        <v>809831</v>
      </c>
      <c r="D47" s="49" t="s">
        <v>12</v>
      </c>
      <c r="E47" s="50">
        <v>1</v>
      </c>
      <c r="F47" s="51">
        <v>41.07</v>
      </c>
      <c r="G47" s="70">
        <f>IFERROR(SUMPRODUCT((TEXT(CC!$C$3:$C$1000,"0")=TEXT(C47,"0"))*IFERROR(CC!$E$3:$E$1000+0,0)),0)</f>
      </c>
      <c r="H47" s="56"/>
      <c r="I47" s="95" t="str">
        <f t="shared" si="5"/>
        <v>511011</v>
      </c>
      <c r="J47" s="34" cm="1">
        <f t="array" ref="J47">IFERROR(-_xlfn.IFS(OR(H47="y",H47="Y"),F47,AND(H47&lt;&gt;0,ISNUMBER(H47)),H47,G47&lt;&gt;0,G47),0)</f>
        <v>-20</v>
      </c>
      <c r="K47" s="30">
        <f t="shared" si="10"/>
        <v>809831</v>
      </c>
      <c r="L47" s="57">
        <f>IF(C47&lt;&gt;"",_xlfn.XLOOKUP(TEXT(C47,"0"),TEXT(CC!$C$3:$C$1000,"0"),CC!$G$3:$G$1000,""),"")</f>
      </c>
      <c r="N47" s="44"/>
      <c r="O47" s="63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4"/>
    </row>
    <row r="48" spans="3:20" x14ac:dyDescent="0.25">
      <c r="C48" s="52">
        <v>809832</v>
      </c>
      <c r="D48" s="52" t="s">
        <v>12</v>
      </c>
      <c r="E48" s="53">
        <v>1</v>
      </c>
      <c r="F48" s="54">
        <v>4.68</v>
      </c>
      <c r="G48" s="70">
        <f>IFERROR(SUMPRODUCT((TEXT(CC!$C$3:$C$1000,"0")=TEXT(C48,"0"))*IFERROR(CC!$E$3:$E$1000+0,0)),0)</f>
      </c>
      <c r="H48" s="56"/>
      <c r="I48" s="95" t="str">
        <f t="shared" si="5"/>
        <v>511011</v>
      </c>
      <c r="J48" s="34" cm="1">
        <f t="array" ref="J48">IFERROR(-_xlfn.IFS(OR(H48="y",H48="Y"),F48,AND(H48&lt;&gt;0,ISNUMBER(H48)),H48,G48&lt;&gt;0,G48),0)</f>
        <v>-115.57</v>
      </c>
      <c r="K48" s="30">
        <f t="shared" si="10"/>
        <v>809832</v>
      </c>
      <c r="L48" s="57">
        <f>IF(C48&lt;&gt;"",_xlfn.XLOOKUP(TEXT(C48,"0"),TEXT(CC!$C$3:$C$1000,"0"),CC!$G$3:$G$1000,""),"")</f>
      </c>
      <c r="N48" s="44"/>
      <c r="O48" s="63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4"/>
    </row>
    <row r="49" spans="3:20" x14ac:dyDescent="0.25">
      <c r="C49" s="49">
        <v>809833</v>
      </c>
      <c r="D49" s="49" t="s">
        <v>12</v>
      </c>
      <c r="E49" s="50">
        <v>1</v>
      </c>
      <c r="F49" s="51">
        <v>157.24</v>
      </c>
      <c r="G49" s="70">
        <f>IFERROR(SUMPRODUCT((TEXT(CC!$C$3:$C$1000,"0")=TEXT(C49,"0"))*IFERROR(CC!$E$3:$E$1000+0,0)),0)</f>
      </c>
      <c r="H49" s="56"/>
      <c r="I49" s="95" t="str">
        <f t="shared" si="5"/>
        <v>511011</v>
      </c>
      <c r="J49" s="34" cm="1">
        <f t="array" ref="J49">IFERROR(-_xlfn.IFS(OR(H49="y",H49="Y"),F49,AND(H49&lt;&gt;0,ISNUMBER(H49)),H49,G49&lt;&gt;0,G49),0)</f>
        <v>-348.32</v>
      </c>
      <c r="K49" s="30">
        <f t="shared" si="10"/>
        <v>809833</v>
      </c>
      <c r="L49" s="57">
        <f>IF(C49&lt;&gt;"",_xlfn.XLOOKUP(TEXT(C49,"0"),TEXT(CC!$C$3:$C$1000,"0"),CC!$G$3:$G$1000,""),"")</f>
      </c>
      <c r="N49" s="44"/>
      <c r="O49" s="63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4"/>
    </row>
    <row r="50" spans="3:20" x14ac:dyDescent="0.25">
      <c r="C50" s="52">
        <v>809835</v>
      </c>
      <c r="D50" s="52" t="s">
        <v>12</v>
      </c>
      <c r="E50" s="53">
        <v>1</v>
      </c>
      <c r="F50" s="54">
        <v>-4.68</v>
      </c>
      <c r="G50" s="70">
        <f>IFERROR(SUMPRODUCT((TEXT(CC!$C$3:$C$1000,"0")=TEXT(C50,"0"))*IFERROR(CC!$E$3:$E$1000+0,0)),0)</f>
      </c>
      <c r="H50" s="56"/>
      <c r="I50" s="95" t="str">
        <f t="shared" si="5"/>
        <v>511011</v>
      </c>
      <c r="J50" s="34" cm="1">
        <f t="array" ref="J50">IFERROR(-_xlfn.IFS(OR(H50="y",H50="Y"),F50,AND(H50&lt;&gt;0,ISNUMBER(H50)),H50,G50&lt;&gt;0,G50),0)</f>
        <v>-108.97</v>
      </c>
      <c r="K50" s="30">
        <f t="shared" si="10"/>
        <v>809835</v>
      </c>
      <c r="L50" s="57">
        <f>IF(C50&lt;&gt;"",_xlfn.XLOOKUP(TEXT(C50,"0"),TEXT(CC!$C$3:$C$1000,"0"),CC!$G$3:$G$1000,""),"")</f>
      </c>
      <c r="N50" s="44"/>
      <c r="O50" s="63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4"/>
    </row>
    <row r="51" spans="3:20" x14ac:dyDescent="0.25">
      <c r="C51" s="49">
        <v>809836</v>
      </c>
      <c r="D51" s="49" t="s">
        <v>12</v>
      </c>
      <c r="E51" s="50">
        <v>1</v>
      </c>
      <c r="F51" s="51">
        <v>-329.22</v>
      </c>
      <c r="G51" s="70">
        <f>IFERROR(SUMPRODUCT((TEXT(CC!$C$3:$C$1000,"0")=TEXT(C51,"0"))*IFERROR(CC!$E$3:$E$1000+0,0)),0)</f>
      </c>
      <c r="H51" s="56"/>
      <c r="I51" s="95" t="str">
        <f t="shared" si="5"/>
        <v>511011</v>
      </c>
      <c r="J51" s="34" cm="1">
        <f t="array" ref="J51">IFERROR(-_xlfn.IFS(OR(H51="y",H51="Y"),F51,AND(H51&lt;&gt;0,ISNUMBER(H51)),H51,G51&lt;&gt;0,G51),0)</f>
        <v>-358.38</v>
      </c>
      <c r="K51" s="30">
        <f t="shared" si="10"/>
        <v>809836</v>
      </c>
      <c r="L51" s="57">
        <f>IF(C51&lt;&gt;"",_xlfn.XLOOKUP(TEXT(C51,"0"),TEXT(CC!$C$3:$C$1000,"0"),CC!$G$3:$G$1000,""),"")</f>
      </c>
      <c r="N51" s="44"/>
      <c r="O51" s="63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4"/>
    </row>
    <row r="52" spans="3:20" x14ac:dyDescent="0.25">
      <c r="C52" s="52">
        <v>809837</v>
      </c>
      <c r="D52" s="52" t="s">
        <v>12</v>
      </c>
      <c r="E52" s="53">
        <v>1</v>
      </c>
      <c r="F52" s="54">
        <v>1755</v>
      </c>
      <c r="G52" s="70">
        <f>IFERROR(SUMPRODUCT((TEXT(CC!$C$3:$C$1000,"0")=TEXT(C52,"0"))*IFERROR(CC!$E$3:$E$1000+0,0)),0)</f>
      </c>
      <c r="H52" s="56"/>
      <c r="I52" s="95" t="str">
        <f t="shared" si="5"/>
        <v>511011</v>
      </c>
      <c r="J52" s="34" cm="1">
        <f t="array" ref="J52">IFERROR(-_xlfn.IFS(OR(H52="y",H52="Y"),F52,AND(H52&lt;&gt;0,ISNUMBER(H52)),H52,G52&lt;&gt;0,G52),0)</f>
        <v>-549.92999999999995</v>
      </c>
      <c r="K52" s="30">
        <f t="shared" si="10"/>
        <v>809837</v>
      </c>
      <c r="L52" s="57">
        <f>IF(C52&lt;&gt;"",_xlfn.XLOOKUP(TEXT(C52,"0"),TEXT(CC!$C$3:$C$1000,"0"),CC!$G$3:$G$1000,""),"")</f>
      </c>
      <c r="N52" s="44"/>
      <c r="O52" s="63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4"/>
    </row>
    <row r="53" spans="3:20" x14ac:dyDescent="0.25">
      <c r="C53" s="49">
        <v>809838</v>
      </c>
      <c r="D53" s="49" t="s">
        <v>12</v>
      </c>
      <c r="E53" s="50">
        <v>1</v>
      </c>
      <c r="F53" s="51">
        <v>8243.92</v>
      </c>
      <c r="G53" s="70">
        <f>IFERROR(SUMPRODUCT((TEXT(CC!$C$3:$C$1000,"0")=TEXT(C53,"0"))*IFERROR(CC!$E$3:$E$1000+0,0)),0)</f>
      </c>
      <c r="H53" s="56"/>
      <c r="I53" s="95" t="str">
        <f t="shared" si="5"/>
        <v>511011</v>
      </c>
      <c r="J53" s="34" cm="1">
        <f t="array" ref="J53">IFERROR(-_xlfn.IFS(OR(H53="y",H53="Y"),F53,AND(H53&lt;&gt;0,ISNUMBER(H53)),H53,G53&lt;&gt;0,G53),0)</f>
        <v>-20</v>
      </c>
      <c r="K53" s="30">
        <f t="shared" si="10"/>
        <v>809838</v>
      </c>
      <c r="L53" s="57">
        <f>IF(C53&lt;&gt;"",_xlfn.XLOOKUP(TEXT(C53,"0"),TEXT(CC!$C$3:$C$1000,"0"),CC!$G$3:$G$1000,""),"")</f>
      </c>
      <c r="N53" s="44"/>
      <c r="O53" s="63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4"/>
    </row>
    <row r="54" spans="3:20" x14ac:dyDescent="0.25">
      <c r="C54" s="52">
        <v>809840</v>
      </c>
      <c r="D54" s="52" t="s">
        <v>12</v>
      </c>
      <c r="E54" s="53">
        <v>1</v>
      </c>
      <c r="F54" s="54">
        <v>4604.3999999999996</v>
      </c>
      <c r="G54" s="70">
        <f>IFERROR(SUMPRODUCT((TEXT(CC!$C$3:$C$1000,"0")=TEXT(C54,"0"))*IFERROR(CC!$E$3:$E$1000+0,0)),0)</f>
      </c>
      <c r="H54" s="56"/>
      <c r="I54" s="95" t="str">
        <f t="shared" si="5"/>
        <v>511011</v>
      </c>
      <c r="J54" s="34" cm="1">
        <f t="array" ref="J54">IFERROR(-_xlfn.IFS(OR(H54="y",H54="Y"),F54,AND(H54&lt;&gt;0,ISNUMBER(H54)),H54,G54&lt;&gt;0,G54),0)</f>
        <v>-405.13</v>
      </c>
      <c r="K54" s="30">
        <f t="shared" si="10"/>
        <v>809840</v>
      </c>
      <c r="L54" s="57">
        <f>IF(C54&lt;&gt;"",_xlfn.XLOOKUP(TEXT(C54,"0"),TEXT(CC!$C$3:$C$1000,"0"),CC!$G$3:$G$1000,""),"")</f>
      </c>
      <c r="N54" s="44"/>
      <c r="O54" s="63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4"/>
    </row>
    <row r="55" spans="3:20" x14ac:dyDescent="0.25">
      <c r="C55" s="52">
        <v>809844</v>
      </c>
      <c r="D55" s="52" t="s">
        <v>12</v>
      </c>
      <c r="E55" s="53">
        <v>1</v>
      </c>
      <c r="F55" s="54">
        <v>265.92</v>
      </c>
      <c r="G55" s="70">
        <f>IFERROR(SUMPRODUCT((TEXT(CC!$C$3:$C$1000,"0")=TEXT(C55,"0"))*IFERROR(CC!$E$3:$E$1000+0,0)),0)</f>
      </c>
      <c r="H55" s="56"/>
      <c r="I55" s="95" t="str">
        <f t="shared" si="5"/>
        <v>511011</v>
      </c>
      <c r="J55" s="34" cm="1">
        <f t="array" ref="J55">IFERROR(-_xlfn.IFS(OR(H55="y",H55="Y"),F55,AND(H55&lt;&gt;0,ISNUMBER(H55)),H55,G55&lt;&gt;0,G55),0)</f>
        <v>-79.05</v>
      </c>
      <c r="K55" s="30">
        <f t="shared" si="10"/>
        <v>809844</v>
      </c>
      <c r="L55" s="57">
        <f>IF(C55&lt;&gt;"",_xlfn.XLOOKUP(TEXT(C55,"0"),TEXT(CC!$C$3:$C$1000,"0"),CC!$G$3:$G$1000,""),"")</f>
      </c>
      <c r="N55" s="44"/>
      <c r="O55" s="63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4"/>
    </row>
    <row r="56" spans="3:20" x14ac:dyDescent="0.25">
      <c r="C56" s="49">
        <v>809847</v>
      </c>
      <c r="D56" s="49" t="s">
        <v>12</v>
      </c>
      <c r="E56" s="50">
        <v>1</v>
      </c>
      <c r="F56" s="51">
        <v>1671.94</v>
      </c>
      <c r="G56" s="70">
        <f>IFERROR(SUMPRODUCT((TEXT(CC!$C$3:$C$1000,"0")=TEXT(C56,"0"))*IFERROR(CC!$E$3:$E$1000+0,0)),0)</f>
      </c>
      <c r="H56" s="56"/>
      <c r="I56" s="95" t="str">
        <f t="shared" si="5"/>
        <v>511011</v>
      </c>
      <c r="J56" s="34" cm="1">
        <f t="array" ref="J56">IFERROR(-_xlfn.IFS(OR(H56="y",H56="Y"),F56,AND(H56&lt;&gt;0,ISNUMBER(H56)),H56,G56&lt;&gt;0,G56),0)</f>
        <v>-139.94999999999999</v>
      </c>
      <c r="K56" s="30">
        <f t="shared" si="10"/>
        <v>809847</v>
      </c>
      <c r="L56" s="57">
        <f>IF(C56&lt;&gt;"",_xlfn.XLOOKUP(TEXT(C56,"0"),TEXT(CC!$C$3:$C$1000,"0"),CC!$G$3:$G$1000,""),"")</f>
      </c>
      <c r="N56" s="44"/>
      <c r="O56" s="63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4"/>
    </row>
    <row r="57" spans="3:20" x14ac:dyDescent="0.25">
      <c r="C57" s="52">
        <v>809851</v>
      </c>
      <c r="D57" s="52" t="s">
        <v>12</v>
      </c>
      <c r="E57" s="53">
        <v>1</v>
      </c>
      <c r="F57" s="54">
        <v>7958.2</v>
      </c>
      <c r="G57" s="70">
        <f>IFERROR(SUMPRODUCT((TEXT(CC!$C$3:$C$1000,"0")=TEXT(C57,"0"))*IFERROR(CC!$E$3:$E$1000+0,0)),0)</f>
      </c>
      <c r="H57" s="56"/>
      <c r="I57" s="95" t="str">
        <f t="shared" si="5"/>
        <v>511011</v>
      </c>
      <c r="J57" s="34" cm="1">
        <f t="array" ref="J57">IFERROR(-_xlfn.IFS(OR(H57="y",H57="Y"),F57,AND(H57&lt;&gt;0,ISNUMBER(H57)),H57,G57&lt;&gt;0,G57),0)</f>
        <v>-1938.03</v>
      </c>
      <c r="K57" s="30">
        <f t="shared" si="10"/>
        <v>809851</v>
      </c>
      <c r="L57" s="57">
        <f>IF(C57&lt;&gt;"",_xlfn.XLOOKUP(TEXT(C57,"0"),TEXT(CC!$C$3:$C$1000,"0"),CC!$G$3:$G$1000,""),"")</f>
      </c>
      <c r="N57" s="44"/>
      <c r="O57" s="63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4"/>
    </row>
    <row r="58" spans="3:20" x14ac:dyDescent="0.25">
      <c r="C58" s="49">
        <v>809852</v>
      </c>
      <c r="D58" s="49" t="s">
        <v>12</v>
      </c>
      <c r="E58" s="50">
        <v>1</v>
      </c>
      <c r="F58" s="51">
        <v>1144.5999999999999</v>
      </c>
      <c r="G58" s="70">
        <f>IFERROR(SUMPRODUCT((TEXT(CC!$C$3:$C$1000,"0")=TEXT(C58,"0"))*IFERROR(CC!$E$3:$E$1000+0,0)),0)</f>
      </c>
      <c r="H58" s="56"/>
      <c r="I58" s="95" t="str">
        <f t="shared" si="5"/>
        <v>511011</v>
      </c>
      <c r="J58" s="34" cm="1">
        <f t="array" ref="J58">IFERROR(-_xlfn.IFS(OR(H58="y",H58="Y"),F58,AND(H58&lt;&gt;0,ISNUMBER(H58)),H58,G58&lt;&gt;0,G58),0)</f>
        <v>-86.98</v>
      </c>
      <c r="K58" s="30">
        <f t="shared" si="10"/>
        <v>809852</v>
      </c>
      <c r="L58" s="57">
        <f>IF(C58&lt;&gt;"",_xlfn.XLOOKUP(TEXT(C58,"0"),TEXT(CC!$C$3:$C$1000,"0"),CC!$G$3:$G$1000,""),"")</f>
      </c>
      <c r="N58" s="44"/>
      <c r="O58" s="63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4"/>
    </row>
    <row r="59" spans="3:20" x14ac:dyDescent="0.25">
      <c r="C59" s="52">
        <v>809853</v>
      </c>
      <c r="D59" s="52" t="s">
        <v>12</v>
      </c>
      <c r="E59" s="53">
        <v>1</v>
      </c>
      <c r="F59" s="54">
        <v>506.69</v>
      </c>
      <c r="G59" s="70">
        <f>IFERROR(SUMPRODUCT((TEXT(CC!$C$3:$C$1000,"0")=TEXT(C59,"0"))*IFERROR(CC!$E$3:$E$1000+0,0)),0)</f>
      </c>
      <c r="H59" s="56"/>
      <c r="I59" s="95" t="str">
        <f t="shared" si="5"/>
        <v>511011</v>
      </c>
      <c r="J59" s="34" cm="1">
        <f t="array" ref="J59">IFERROR(-_xlfn.IFS(OR(H59="y",H59="Y"),F59,AND(H59&lt;&gt;0,ISNUMBER(H59)),H59,G59&lt;&gt;0,G59),0)</f>
        <v>-487.94</v>
      </c>
      <c r="K59" s="30">
        <f t="shared" si="10"/>
        <v>809853</v>
      </c>
      <c r="L59" s="57">
        <f>IF(C59&lt;&gt;"",_xlfn.XLOOKUP(TEXT(C59,"0"),TEXT(CC!$C$3:$C$1000,"0"),CC!$G$3:$G$1000,""),"")</f>
      </c>
      <c r="N59" s="44"/>
      <c r="O59" s="63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4"/>
    </row>
    <row r="60" spans="3:20" x14ac:dyDescent="0.25">
      <c r="C60" s="49">
        <v>809856</v>
      </c>
      <c r="D60" s="49" t="s">
        <v>12</v>
      </c>
      <c r="E60" s="50">
        <v>1</v>
      </c>
      <c r="F60" s="51">
        <v>253.03</v>
      </c>
      <c r="G60" s="70">
        <f>IFERROR(SUMPRODUCT((TEXT(CC!$C$3:$C$1000,"0")=TEXT(C60,"0"))*IFERROR(CC!$E$3:$E$1000+0,0)),0)</f>
      </c>
      <c r="H60" s="56"/>
      <c r="I60" s="95" t="str">
        <f t="shared" si="5"/>
        <v>511011</v>
      </c>
      <c r="J60" s="34" cm="1">
        <f t="array" ref="J60">IFERROR(-_xlfn.IFS(OR(H60="y",H60="Y"),F60,AND(H60&lt;&gt;0,ISNUMBER(H60)),H60,G60&lt;&gt;0,G60),0)</f>
        <v>-281.3</v>
      </c>
      <c r="K60" s="30">
        <f t="shared" si="10"/>
        <v>809856</v>
      </c>
      <c r="L60" s="57">
        <f>IF(C60&lt;&gt;"",_xlfn.XLOOKUP(TEXT(C60,"0"),TEXT(CC!$C$3:$C$1000,"0"),CC!$G$3:$G$1000,""),"")</f>
      </c>
      <c r="N60" s="44"/>
      <c r="O60" s="63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4"/>
    </row>
    <row r="61" spans="3:20" x14ac:dyDescent="0.25">
      <c r="C61" s="52">
        <v>809857</v>
      </c>
      <c r="D61" s="52" t="s">
        <v>12</v>
      </c>
      <c r="E61" s="53">
        <v>1</v>
      </c>
      <c r="F61" s="54">
        <v>2530.1</v>
      </c>
      <c r="G61" s="70">
        <f>IFERROR(SUMPRODUCT((TEXT(CC!$C$3:$C$1000,"0")=TEXT(C61,"0"))*IFERROR(CC!$E$3:$E$1000+0,0)),0)</f>
      </c>
      <c r="H61" s="56"/>
      <c r="I61" s="95" t="str">
        <f t="shared" si="5"/>
        <v>511011</v>
      </c>
      <c r="J61" s="34" cm="1">
        <f t="array" ref="J61">IFERROR(-_xlfn.IFS(OR(H61="y",H61="Y"),F61,AND(H61&lt;&gt;0,ISNUMBER(H61)),H61,G61&lt;&gt;0,G61),0)</f>
        <v>-528.91</v>
      </c>
      <c r="K61" s="30">
        <f t="shared" si="10"/>
        <v>809857</v>
      </c>
      <c r="L61" s="57">
        <f>IF(C61&lt;&gt;"",_xlfn.XLOOKUP(TEXT(C61,"0"),TEXT(CC!$C$3:$C$1000,"0"),CC!$G$3:$G$1000,""),"")</f>
      </c>
    </row>
    <row r="62" spans="3:20" x14ac:dyDescent="0.25">
      <c r="C62" s="49">
        <v>809858</v>
      </c>
      <c r="D62" s="49" t="s">
        <v>12</v>
      </c>
      <c r="E62" s="50">
        <v>1</v>
      </c>
      <c r="F62" s="51">
        <v>988.07</v>
      </c>
      <c r="G62" s="70">
        <f>IFERROR(SUMPRODUCT((TEXT(CC!$C$3:$C$1000,"0")=TEXT(C62,"0"))*IFERROR(CC!$E$3:$E$1000+0,0)),0)</f>
      </c>
      <c r="H62" s="56"/>
      <c r="I62" s="95" t="str">
        <f t="shared" si="5"/>
        <v>511011</v>
      </c>
      <c r="J62" s="34" cm="1">
        <f t="array" ref="J62">IFERROR(-_xlfn.IFS(OR(H62="y",H62="Y"),F62,AND(H62&lt;&gt;0,ISNUMBER(H62)),H62,G62&lt;&gt;0,G62),0)</f>
        <v>-506.48</v>
      </c>
      <c r="K62" s="30">
        <f t="shared" si="10"/>
        <v>809858</v>
      </c>
      <c r="L62" s="57">
        <f>IF(C62&lt;&gt;"",_xlfn.XLOOKUP(TEXT(C62,"0"),TEXT(CC!$C$3:$C$1000,"0"),CC!$G$3:$G$1000,""),"")</f>
      </c>
    </row>
    <row r="63" spans="3:20" x14ac:dyDescent="0.25">
      <c r="C63" s="52">
        <v>809864</v>
      </c>
      <c r="D63" s="52" t="s">
        <v>12</v>
      </c>
      <c r="E63" s="53">
        <v>1</v>
      </c>
      <c r="F63" s="54">
        <v>312.86</v>
      </c>
      <c r="G63" s="70">
        <f>IFERROR(SUMPRODUCT((TEXT(CC!$C$3:$C$1000,"0")=TEXT(C63,"0"))*IFERROR(CC!$E$3:$E$1000+0,0)),0)</f>
      </c>
      <c r="H63" s="56"/>
      <c r="I63" s="95" t="str">
        <f t="shared" si="5"/>
        <v>511011</v>
      </c>
      <c r="J63" s="34" cm="1">
        <f t="array" ref="J63">IFERROR(-_xlfn.IFS(OR(H63="y",H63="Y"),F63,AND(H63&lt;&gt;0,ISNUMBER(H63)),H63,G63&lt;&gt;0,G63),0)</f>
        <v>-108.97</v>
      </c>
      <c r="K63" s="30">
        <f t="shared" si="10"/>
        <v>809864</v>
      </c>
      <c r="L63" s="57">
        <f>IF(C63&lt;&gt;"",_xlfn.XLOOKUP(TEXT(C63,"0"),TEXT(CC!$C$3:$C$1000,"0"),CC!$G$3:$G$1000,""),"")</f>
      </c>
    </row>
    <row r="64" spans="3:20" x14ac:dyDescent="0.25">
      <c r="C64" s="49">
        <v>809868</v>
      </c>
      <c r="D64" s="49" t="s">
        <v>12</v>
      </c>
      <c r="E64" s="50">
        <v>1</v>
      </c>
      <c r="F64" s="51">
        <v>240.85</v>
      </c>
      <c r="G64" s="70">
        <f>IFERROR(SUMPRODUCT((TEXT(CC!$C$3:$C$1000,"0")=TEXT(C64,"0"))*IFERROR(CC!$E$3:$E$1000+0,0)),0)</f>
      </c>
      <c r="H64" s="56"/>
      <c r="I64" s="95" t="str">
        <f t="shared" si="5"/>
        <v>511011</v>
      </c>
      <c r="J64" s="34" cm="1">
        <f t="array" ref="J64">IFERROR(-_xlfn.IFS(OR(H64="y",H64="Y"),F64,AND(H64&lt;&gt;0,ISNUMBER(H64)),H64,G64&lt;&gt;0,G64),0)</f>
        <v>-300.39</v>
      </c>
      <c r="K64" s="30">
        <f t="shared" si="10"/>
        <v>809868</v>
      </c>
      <c r="L64" s="57">
        <f>IF(C64&lt;&gt;"",_xlfn.XLOOKUP(TEXT(C64,"0"),TEXT(CC!$C$3:$C$1000,"0"),CC!$G$3:$G$1000,""),"")</f>
      </c>
    </row>
    <row r="65" spans="3:12" x14ac:dyDescent="0.25">
      <c r="C65" s="52">
        <v>809871</v>
      </c>
      <c r="D65" s="52" t="s">
        <v>12</v>
      </c>
      <c r="E65" s="53">
        <v>1</v>
      </c>
      <c r="F65" s="54">
        <v>192.6</v>
      </c>
      <c r="G65" s="70">
        <f>IFERROR(SUMPRODUCT((TEXT(CC!$C$3:$C$1000,"0")=TEXT(C65,"0"))*IFERROR(CC!$E$3:$E$1000+0,0)),0)</f>
      </c>
      <c r="H65" s="56"/>
      <c r="I65" s="95" t="str">
        <f t="shared" si="5"/>
        <v>511011</v>
      </c>
      <c r="J65" s="34" cm="1">
        <f t="array" ref="J65">IFERROR(-_xlfn.IFS(OR(H65="y",H65="Y"),F65,AND(H65&lt;&gt;0,ISNUMBER(H65)),H65,G65&lt;&gt;0,G65),0)</f>
        <v>-123.61</v>
      </c>
      <c r="K65" s="30">
        <f t="shared" si="10"/>
        <v>809871</v>
      </c>
      <c r="L65" s="57">
        <f>IF(C65&lt;&gt;"",_xlfn.XLOOKUP(TEXT(C65,"0"),TEXT(CC!$C$3:$C$1000,"0"),CC!$G$3:$G$1000,""),"")</f>
      </c>
    </row>
    <row r="66" spans="3:12" x14ac:dyDescent="0.25">
      <c r="C66" s="49">
        <v>809873</v>
      </c>
      <c r="D66" s="49" t="s">
        <v>12</v>
      </c>
      <c r="E66" s="50">
        <v>1</v>
      </c>
      <c r="F66" s="51">
        <v>122.91</v>
      </c>
      <c r="G66" s="70">
        <f>IFERROR(SUMPRODUCT((TEXT(CC!$C$3:$C$1000,"0")=TEXT(C66,"0"))*IFERROR(CC!$E$3:$E$1000+0,0)),0)</f>
      </c>
      <c r="H66" s="56"/>
      <c r="I66" s="95" t="str">
        <f t="shared" si="5"/>
        <v>511011</v>
      </c>
      <c r="J66" s="34" cm="1">
        <f t="array" ref="J66">IFERROR(-_xlfn.IFS(OR(H66="y",H66="Y"),F66,AND(H66&lt;&gt;0,ISNUMBER(H66)),H66,G66&lt;&gt;0,G66),0)</f>
        <v>-108.97</v>
      </c>
      <c r="K66" s="30">
        <f t="shared" si="10"/>
        <v>809873</v>
      </c>
      <c r="L66" s="57">
        <f>IF(C66&lt;&gt;"",_xlfn.XLOOKUP(TEXT(C66,"0"),TEXT(CC!$C$3:$C$1000,"0"),CC!$G$3:$G$1000,""),"")</f>
      </c>
    </row>
    <row r="67" spans="3:12" x14ac:dyDescent="0.25">
      <c r="C67" s="52">
        <v>809874</v>
      </c>
      <c r="D67" s="52" t="s">
        <v>12</v>
      </c>
      <c r="E67" s="53">
        <v>1</v>
      </c>
      <c r="F67" s="54">
        <v>199.85</v>
      </c>
      <c r="G67" s="70">
        <f>IFERROR(SUMPRODUCT((TEXT(CC!$C$3:$C$1000,"0")=TEXT(C67,"0"))*IFERROR(CC!$E$3:$E$1000+0,0)),0)</f>
      </c>
      <c r="H67" s="56"/>
      <c r="I67" s="95" t="str">
        <f t="shared" si="5"/>
        <v>511011</v>
      </c>
      <c r="J67" s="34" cm="1">
        <f t="array" ref="J67">IFERROR(-_xlfn.IFS(OR(H67="y",H67="Y"),F67,AND(H67&lt;&gt;0,ISNUMBER(H67)),H67,G67&lt;&gt;0,G67),0)</f>
        <v>-128.97</v>
      </c>
      <c r="K67" s="30">
        <f t="shared" si="10"/>
        <v>809874</v>
      </c>
      <c r="L67" s="57">
        <f>IF(C67&lt;&gt;"",_xlfn.XLOOKUP(TEXT(C67,"0"),TEXT(CC!$C$3:$C$1000,"0"),CC!$G$3:$G$1000,""),"")</f>
      </c>
    </row>
    <row r="68" spans="3:12" x14ac:dyDescent="0.25">
      <c r="C68" s="49">
        <v>809875</v>
      </c>
      <c r="D68" s="49" t="s">
        <v>12</v>
      </c>
      <c r="E68" s="50">
        <v>1</v>
      </c>
      <c r="F68" s="51">
        <v>192.6</v>
      </c>
      <c r="G68" s="70">
        <f>IFERROR(SUMPRODUCT((TEXT(CC!$C$3:$C$1000,"0")=TEXT(C68,"0"))*IFERROR(CC!$E$3:$E$1000+0,0)),0)</f>
      </c>
      <c r="H68" s="56"/>
      <c r="I68" s="95" t="str">
        <f t="shared" si="5"/>
        <v>511011</v>
      </c>
      <c r="J68" s="34" cm="1">
        <f t="array" ref="J68">IFERROR(-_xlfn.IFS(OR(H68="y",H68="Y"),F68,AND(H68&lt;&gt;0,ISNUMBER(H68)),H68,G68&lt;&gt;0,G68),0)</f>
        <v>-80.67</v>
      </c>
      <c r="K68" s="30">
        <f t="shared" si="10"/>
        <v>809875</v>
      </c>
      <c r="L68" s="57">
        <f>IF(C68&lt;&gt;"",_xlfn.XLOOKUP(TEXT(C68,"0"),TEXT(CC!$C$3:$C$1000,"0"),CC!$G$3:$G$1000,""),"")</f>
      </c>
    </row>
    <row r="69" spans="3:12" x14ac:dyDescent="0.25">
      <c r="C69" s="52">
        <v>809876</v>
      </c>
      <c r="D69" s="52" t="s">
        <v>12</v>
      </c>
      <c r="E69" s="53">
        <v>1</v>
      </c>
      <c r="F69" s="54">
        <v>-109.58</v>
      </c>
      <c r="G69" s="70">
        <f>IFERROR(SUMPRODUCT((TEXT(CC!$C$3:$C$1000,"0")=TEXT(C69,"0"))*IFERROR(CC!$E$3:$E$1000+0,0)),0)</f>
      </c>
      <c r="H69" s="56"/>
      <c r="I69" s="95" t="str">
        <f t="shared" si="5"/>
        <v>511011</v>
      </c>
      <c r="J69" s="34" cm="1">
        <f t="array" ref="J69">IFERROR(-_xlfn.IFS(OR(H69="y",H69="Y"),F69,AND(H69&lt;&gt;0,ISNUMBER(H69)),H69,G69&lt;&gt;0,G69),0)</f>
        <v>-210.11</v>
      </c>
      <c r="K69" s="30">
        <f t="shared" si="10"/>
        <v>809876</v>
      </c>
      <c r="L69" s="57">
        <f>IF(C69&lt;&gt;"",_xlfn.XLOOKUP(TEXT(C69,"0"),TEXT(CC!$C$3:$C$1000,"0"),CC!$G$3:$G$1000,""),"")</f>
      </c>
    </row>
    <row r="70" spans="3:12" x14ac:dyDescent="0.25">
      <c r="C70" s="49" t="s">
        <v>32</v>
      </c>
      <c r="D70" s="49" t="s">
        <v>12</v>
      </c>
      <c r="E70" s="50">
        <v>1</v>
      </c>
      <c r="F70" s="51">
        <v>781.96</v>
      </c>
      <c r="G70" s="70">
        <f>IFERROR(SUMPRODUCT((TEXT(CC!$C$3:$C$1000,"0")=TEXT(C70,"0"))*IFERROR(CC!$E$3:$E$1000+0,0)),0)</f>
      </c>
      <c r="H70" s="56"/>
      <c r="I70" s="95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57" t="str">
        <f>IF(C70&lt;&gt;"",_xlfn.XLOOKUP(TEXT(C70,"0"),TEXT(CC!$C$3:$C$1000,"0"),CC!$G$3:$G$1000,""),"")</f>
        <v/>
      </c>
    </row>
    <row r="71" spans="3:12" x14ac:dyDescent="0.25">
      <c r="C71" s="52" t="s">
        <v>31</v>
      </c>
      <c r="D71" s="52" t="s">
        <v>12</v>
      </c>
      <c r="E71" s="53">
        <v>1</v>
      </c>
      <c r="F71" s="54">
        <v>-581.02</v>
      </c>
      <c r="G71" s="70">
        <f>IFERROR(SUMPRODUCT((TEXT(CC!$C$3:$C$1000,"0")=TEXT(C71,"0"))*IFERROR(CC!$E$3:$E$1000+0,0)),0)</f>
      </c>
      <c r="H71" s="56"/>
      <c r="I71" s="95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57" t="str">
        <f>IF(C71&lt;&gt;"",_xlfn.XLOOKUP(TEXT(C71,"0"),TEXT(CC!$C$3:$C$1000,"0"),CC!$G$3:$G$1000,""),"")</f>
        <v/>
      </c>
    </row>
    <row r="72" spans="3:12" x14ac:dyDescent="0.25">
      <c r="C72" s="49" t="s">
        <v>40</v>
      </c>
      <c r="D72" s="49" t="s">
        <v>12</v>
      </c>
      <c r="E72" s="50">
        <v>1</v>
      </c>
      <c r="F72" s="51">
        <v>-781.96</v>
      </c>
      <c r="G72" s="70">
        <f>IFERROR(SUMPRODUCT((TEXT(CC!$C$3:$C$1000,"0")=TEXT(C72,"0"))*IFERROR(CC!$E$3:$E$1000+0,0)),0)</f>
      </c>
      <c r="H72" s="56"/>
      <c r="I72" s="95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57" t="str">
        <f>IF(C72&lt;&gt;"",_xlfn.XLOOKUP(TEXT(C72,"0"),TEXT(CC!$C$3:$C$1000,"0"),CC!$G$3:$G$1000,""),"")</f>
        <v/>
      </c>
    </row>
    <row r="73" spans="3:12" x14ac:dyDescent="0.25">
      <c r="C73" s="52" t="s">
        <v>26</v>
      </c>
      <c r="D73" s="52" t="s">
        <v>12</v>
      </c>
      <c r="E73" s="53">
        <v>1</v>
      </c>
      <c r="F73" s="54">
        <v>-65</v>
      </c>
      <c r="G73" s="70">
        <f>IFERROR(SUMPRODUCT((TEXT(CC!$C$3:$C$1000,"0")=TEXT(C73,"0"))*IFERROR(CC!$E$3:$E$1000+0,0)),0)</f>
      </c>
      <c r="H73" s="56"/>
      <c r="I73" s="95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57" t="str">
        <f>IF(C73&lt;&gt;"",_xlfn.XLOOKUP(TEXT(C73,"0"),TEXT(CC!$C$3:$C$1000,"0"),CC!$G$3:$G$1000,""),"")</f>
        <v/>
      </c>
    </row>
    <row r="74" spans="3:12" x14ac:dyDescent="0.25">
      <c r="C74" s="49" t="s">
        <v>8</v>
      </c>
      <c r="D74" s="49" t="s">
        <v>12</v>
      </c>
      <c r="E74" s="50">
        <v>1</v>
      </c>
      <c r="F74" s="51">
        <v>-183.95</v>
      </c>
      <c r="G74" s="70">
        <f>IFERROR(SUMPRODUCT((TEXT(CC!$C$3:$C$1000,"0")=TEXT(C74,"0"))*IFERROR(CC!$E$3:$E$1000+0,0)),0)</f>
      </c>
      <c r="H74" s="56"/>
      <c r="I74" s="95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57" t="str">
        <f>IF(C74&lt;&gt;"",_xlfn.XLOOKUP(TEXT(C74,"0"),TEXT(CC!$C$3:$C$1000,"0"),CC!$G$3:$G$1000,""),"")</f>
        <v/>
      </c>
    </row>
    <row r="75" spans="3:12" x14ac:dyDescent="0.25">
      <c r="C75" s="52" t="s">
        <v>11</v>
      </c>
      <c r="D75" s="52" t="s">
        <v>12</v>
      </c>
      <c r="E75" s="53">
        <v>1</v>
      </c>
      <c r="F75" s="54">
        <v>-112.43</v>
      </c>
      <c r="G75" s="70">
        <f>IFERROR(SUMPRODUCT((TEXT(CC!$C$3:$C$1000,"0")=TEXT(C75,"0"))*IFERROR(CC!$E$3:$E$1000+0,0)),0)</f>
      </c>
      <c r="H75" s="56"/>
      <c r="I75" s="95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57" t="str">
        <f>IF(C75&lt;&gt;"",_xlfn.XLOOKUP(TEXT(C75,"0"),TEXT(CC!$C$3:$C$1000,"0"),CC!$G$3:$G$1000,""),"")</f>
        <v/>
      </c>
    </row>
    <row r="76" spans="3:12" x14ac:dyDescent="0.25">
      <c r="C76" s="49" t="s">
        <v>40</v>
      </c>
      <c r="D76" s="49" t="s">
        <v>12</v>
      </c>
      <c r="E76" s="50">
        <v>1</v>
      </c>
      <c r="F76" s="51">
        <v>-265.92</v>
      </c>
      <c r="G76" s="70">
        <f>IFERROR(SUMPRODUCT((TEXT(CC!$C$3:$C$1000,"0")=TEXT(C76,"0"))*IFERROR(CC!$E$3:$E$1000+0,0)),0)</f>
      </c>
      <c r="H76" s="56"/>
      <c r="I76" s="95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57" t="str">
        <f>IF(C76&lt;&gt;"",_xlfn.XLOOKUP(TEXT(C76,"0"),TEXT(CC!$C$3:$C$1000,"0"),CC!$G$3:$G$1000,""),"")</f>
        <v/>
      </c>
    </row>
    <row r="77" spans="3:12" x14ac:dyDescent="0.25">
      <c r="C77" s="52" t="s">
        <v>26</v>
      </c>
      <c r="D77" s="52" t="s">
        <v>12</v>
      </c>
      <c r="E77" s="53">
        <v>1</v>
      </c>
      <c r="F77" s="54">
        <v>-436.68</v>
      </c>
      <c r="G77" s="70">
        <f>IFERROR(SUMPRODUCT((TEXT(CC!$C$3:$C$1000,"0")=TEXT(C77,"0"))*IFERROR(CC!$E$3:$E$1000+0,0)),0)</f>
      </c>
      <c r="H77" s="56"/>
      <c r="I77" s="95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57" t="str">
        <f>IF(C77&lt;&gt;"",_xlfn.XLOOKUP(TEXT(C77,"0"),TEXT(CC!$C$3:$C$1000,"0"),CC!$G$3:$G$1000,""),"")</f>
        <v/>
      </c>
    </row>
    <row r="78" spans="3:12" x14ac:dyDescent="0.25">
      <c r="C78" s="49" t="s">
        <v>8</v>
      </c>
      <c r="D78" s="49" t="s">
        <v>12</v>
      </c>
      <c r="E78" s="50">
        <v>1</v>
      </c>
      <c r="F78" s="51">
        <v>-110</v>
      </c>
      <c r="G78" s="70">
        <f>IFERROR(SUMPRODUCT((TEXT(CC!$C$3:$C$1000,"0")=TEXT(C78,"0"))*IFERROR(CC!$E$3:$E$1000+0,0)),0)</f>
      </c>
      <c r="H78" s="56" t="s">
        <v>236</v>
      </c>
      <c r="I78" s="95" t="str">
        <f t="shared" si="5"/>
        <v>511011</v>
      </c>
      <c r="J78" s="34" cm="1">
        <f t="array" ref="J78">IFERROR(-_xlfn.IFS(OR(H78="y",H78="Y"),F78,AND(H78&lt;&gt;0,ISNUMBER(H78)),H78,G78&lt;&gt;0,G78),0)</f>
        <v>110</v>
      </c>
      <c r="K78" s="30" t="str">
        <f t="shared" ref="K78:K108" si="11">IF(J78&lt;&gt;0,C78,"")</f>
        <v>787969</v>
      </c>
      <c r="L78" s="57" t="str">
        <f>IF(C78&lt;&gt;"",_xlfn.XLOOKUP(TEXT(C78,"0"),TEXT(CC!$C$3:$C$1000,"0"),CC!$G$3:$G$1000,""),"")</f>
        <v/>
      </c>
    </row>
    <row r="79" spans="3:12" x14ac:dyDescent="0.25">
      <c r="C79" s="52" t="s">
        <v>11</v>
      </c>
      <c r="D79" s="52" t="s">
        <v>12</v>
      </c>
      <c r="E79" s="53">
        <v>1</v>
      </c>
      <c r="F79" s="54">
        <v>-141.02000000000001</v>
      </c>
      <c r="G79" s="70">
        <f>IFERROR(SUMPRODUCT((TEXT(CC!$C$3:$C$1000,"0")=TEXT(C79,"0"))*IFERROR(CC!$E$3:$E$1000+0,0)),0)</f>
      </c>
      <c r="H79" s="56">
        <v>500</v>
      </c>
      <c r="I79" s="95" t="str">
        <f t="shared" ref="I79:I142" si="12">IF(J79&lt;&gt;0,"511011","")</f>
        <v>511011</v>
      </c>
      <c r="J79" s="34" cm="1">
        <f t="array" ref="J79">IFERROR(-_xlfn.IFS(OR(H79="y",H79="Y"),F79,AND(H79&lt;&gt;0,ISNUMBER(H79)),H79,G79&lt;&gt;0,G79),0)</f>
        <v>-500</v>
      </c>
      <c r="K79" s="30" t="str">
        <f t="shared" si="11"/>
        <v>788031</v>
      </c>
      <c r="L79" s="57" t="str">
        <f>IF(C79&lt;&gt;"",_xlfn.XLOOKUP(TEXT(C79,"0"),TEXT(CC!$C$3:$C$1000,"0"),CC!$G$3:$G$1000,""),"")</f>
        <v/>
      </c>
    </row>
    <row r="80" spans="3:12" x14ac:dyDescent="0.25">
      <c r="C80" s="49" t="s">
        <v>4</v>
      </c>
      <c r="D80" s="49" t="s">
        <v>12</v>
      </c>
      <c r="E80" s="50">
        <v>1</v>
      </c>
      <c r="F80" s="51">
        <v>-120.98</v>
      </c>
      <c r="G80" s="70">
        <f>IFERROR(SUMPRODUCT((TEXT(CC!$C$3:$C$1000,"0")=TEXT(C80,"0"))*IFERROR(CC!$E$3:$E$1000+0,0)),0)</f>
      </c>
      <c r="H80" s="56"/>
      <c r="I80" s="95" t="str">
        <f t="shared" si="12"/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57" t="str">
        <f>IF(C80&lt;&gt;"",_xlfn.XLOOKUP(TEXT(C80,"0"),TEXT(CC!$C$3:$C$1000,"0"),CC!$G$3:$G$1000,""),"")</f>
        <v/>
      </c>
    </row>
    <row r="81" spans="3:12" x14ac:dyDescent="0.25">
      <c r="C81" s="52" t="s">
        <v>23</v>
      </c>
      <c r="D81" s="52" t="s">
        <v>12</v>
      </c>
      <c r="E81" s="53">
        <v>1</v>
      </c>
      <c r="F81" s="54">
        <v>-77.38</v>
      </c>
      <c r="G81" s="70">
        <f>IFERROR(SUMPRODUCT((TEXT(CC!$C$3:$C$1000,"0")=TEXT(C81,"0"))*IFERROR(CC!$E$3:$E$1000+0,0)),0)</f>
      </c>
      <c r="H81" s="56"/>
      <c r="I81" s="95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57" t="str">
        <f>IF(C81&lt;&gt;"",_xlfn.XLOOKUP(TEXT(C81,"0"),TEXT(CC!$C$3:$C$1000,"0"),CC!$G$3:$G$1000,""),"")</f>
        <v/>
      </c>
    </row>
    <row r="82" spans="3:12" x14ac:dyDescent="0.25">
      <c r="C82" s="49" t="s">
        <v>6</v>
      </c>
      <c r="D82" s="49" t="s">
        <v>12</v>
      </c>
      <c r="E82" s="50">
        <v>1</v>
      </c>
      <c r="F82" s="51">
        <v>74.61</v>
      </c>
      <c r="G82" s="70">
        <f>IFERROR(SUMPRODUCT((TEXT(CC!$C$3:$C$1000,"0")=TEXT(C82,"0"))*IFERROR(CC!$E$3:$E$1000+0,0)),0)</f>
      </c>
      <c r="H82" s="56"/>
      <c r="I82" s="95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57" t="str">
        <f>IF(C82&lt;&gt;"",_xlfn.XLOOKUP(TEXT(C82,"0"),TEXT(CC!$C$3:$C$1000,"0"),CC!$G$3:$G$1000,""),"")</f>
        <v/>
      </c>
    </row>
    <row r="83" spans="3:12" x14ac:dyDescent="0.25">
      <c r="C83" s="52" t="s">
        <v>17</v>
      </c>
      <c r="D83" s="52" t="s">
        <v>12</v>
      </c>
      <c r="E83" s="53">
        <v>1</v>
      </c>
      <c r="F83" s="54">
        <v>-84.15</v>
      </c>
      <c r="G83" s="70">
        <f>IFERROR(SUMPRODUCT((TEXT(CC!$C$3:$C$1000,"0")=TEXT(C83,"0"))*IFERROR(CC!$E$3:$E$1000+0,0)),0)</f>
      </c>
      <c r="H83" s="56"/>
      <c r="I83" s="95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57" t="str">
        <f>IF(C83&lt;&gt;"",_xlfn.XLOOKUP(TEXT(C83,"0"),TEXT(CC!$C$3:$C$1000,"0"),CC!$G$3:$G$1000,""),"")</f>
        <v/>
      </c>
    </row>
    <row r="84" spans="3:12" x14ac:dyDescent="0.25">
      <c r="C84" s="49" t="s">
        <v>0</v>
      </c>
      <c r="D84" s="49" t="s">
        <v>12</v>
      </c>
      <c r="E84" s="50">
        <v>1</v>
      </c>
      <c r="F84" s="51">
        <v>-152.35</v>
      </c>
      <c r="G84" s="70">
        <f>IFERROR(SUMPRODUCT((TEXT(CC!$C$3:$C$1000,"0")=TEXT(C84,"0"))*IFERROR(CC!$E$3:$E$1000+0,0)),0)</f>
      </c>
      <c r="H84" s="56"/>
      <c r="I84" s="95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57" t="str">
        <f>IF(C84&lt;&gt;"",_xlfn.XLOOKUP(TEXT(C84,"0"),TEXT(CC!$C$3:$C$1000,"0"),CC!$G$3:$G$1000,""),"")</f>
        <v/>
      </c>
    </row>
    <row r="85" spans="3:12" x14ac:dyDescent="0.25">
      <c r="C85" s="52" t="s">
        <v>33</v>
      </c>
      <c r="D85" s="52" t="s">
        <v>12</v>
      </c>
      <c r="E85" s="53">
        <v>1</v>
      </c>
      <c r="F85" s="54">
        <v>-116.24</v>
      </c>
      <c r="G85" s="70">
        <f>IFERROR(SUMPRODUCT((TEXT(CC!$C$3:$C$1000,"0")=TEXT(C85,"0"))*IFERROR(CC!$E$3:$E$1000+0,0)),0)</f>
      </c>
      <c r="H85" s="56"/>
      <c r="I85" s="95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57" t="str">
        <f>IF(C85&lt;&gt;"",_xlfn.XLOOKUP(TEXT(C85,"0"),TEXT(CC!$C$3:$C$1000,"0"),CC!$G$3:$G$1000,""),"")</f>
        <v/>
      </c>
    </row>
    <row r="86" spans="3:12" x14ac:dyDescent="0.25">
      <c r="C86" s="49" t="s">
        <v>25</v>
      </c>
      <c r="D86" s="49" t="s">
        <v>12</v>
      </c>
      <c r="E86" s="50">
        <v>1</v>
      </c>
      <c r="F86" s="51">
        <v>126.73</v>
      </c>
      <c r="G86" s="70">
        <f>IFERROR(SUMPRODUCT((TEXT(CC!$C$3:$C$1000,"0")=TEXT(C86,"0"))*IFERROR(CC!$E$3:$E$1000+0,0)),0)</f>
      </c>
      <c r="H86" s="56"/>
      <c r="I86" s="95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57" t="str">
        <f>IF(C86&lt;&gt;"",_xlfn.XLOOKUP(TEXT(C86,"0"),TEXT(CC!$C$3:$C$1000,"0"),CC!$G$3:$G$1000,""),"")</f>
        <v/>
      </c>
    </row>
    <row r="87" spans="3:12" x14ac:dyDescent="0.25">
      <c r="C87" s="52" t="s">
        <v>21</v>
      </c>
      <c r="D87" s="52" t="s">
        <v>12</v>
      </c>
      <c r="E87" s="53">
        <v>1</v>
      </c>
      <c r="F87" s="54">
        <v>192.6</v>
      </c>
      <c r="G87" s="70">
        <f>IFERROR(SUMPRODUCT((TEXT(CC!$C$3:$C$1000,"0")=TEXT(C87,"0"))*IFERROR(CC!$E$3:$E$1000+0,0)),0)</f>
      </c>
      <c r="H87" s="56"/>
      <c r="I87" s="95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57" t="str">
        <f>IF(C87&lt;&gt;"",_xlfn.XLOOKUP(TEXT(C87,"0"),TEXT(CC!$C$3:$C$1000,"0"),CC!$G$3:$G$1000,""),"")</f>
        <v/>
      </c>
    </row>
    <row r="88" spans="3:12" x14ac:dyDescent="0.25">
      <c r="C88" s="49" t="s">
        <v>29</v>
      </c>
      <c r="D88" s="49" t="s">
        <v>12</v>
      </c>
      <c r="E88" s="50">
        <v>1</v>
      </c>
      <c r="F88" s="51">
        <v>785.81</v>
      </c>
      <c r="G88" s="70">
        <f>IFERROR(SUMPRODUCT((TEXT(CC!$C$3:$C$1000,"0")=TEXT(C88,"0"))*IFERROR(CC!$E$3:$E$1000+0,0)),0)</f>
      </c>
      <c r="H88" s="56"/>
      <c r="I88" s="95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57" t="str">
        <f>IF(C88&lt;&gt;"",_xlfn.XLOOKUP(TEXT(C88,"0"),TEXT(CC!$C$3:$C$1000,"0"),CC!$G$3:$G$1000,""),"")</f>
        <v/>
      </c>
    </row>
    <row r="89" spans="3:12" x14ac:dyDescent="0.25">
      <c r="C89" s="52" t="s">
        <v>18</v>
      </c>
      <c r="D89" s="52" t="s">
        <v>12</v>
      </c>
      <c r="E89" s="53">
        <v>1</v>
      </c>
      <c r="F89" s="54">
        <v>176.55</v>
      </c>
      <c r="G89" s="70">
        <f>IFERROR(SUMPRODUCT((TEXT(CC!$C$3:$C$1000,"0")=TEXT(C89,"0"))*IFERROR(CC!$E$3:$E$1000+0,0)),0)</f>
      </c>
      <c r="H89" s="56"/>
      <c r="I89" s="95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57" t="str">
        <f>IF(C89&lt;&gt;"",_xlfn.XLOOKUP(TEXT(C89,"0"),TEXT(CC!$C$3:$C$1000,"0"),CC!$G$3:$G$1000,""),"")</f>
        <v/>
      </c>
    </row>
    <row r="90" spans="3:12" x14ac:dyDescent="0.25">
      <c r="C90" s="49" t="s">
        <v>7</v>
      </c>
      <c r="D90" s="49" t="s">
        <v>12</v>
      </c>
      <c r="E90" s="50">
        <v>1</v>
      </c>
      <c r="F90" s="51">
        <v>443.8</v>
      </c>
      <c r="G90" s="70">
        <f>IFERROR(SUMPRODUCT((TEXT(CC!$C$3:$C$1000,"0")=TEXT(C90,"0"))*IFERROR(CC!$E$3:$E$1000+0,0)),0)</f>
      </c>
      <c r="H90" s="56"/>
      <c r="I90" s="95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57" t="str">
        <f>IF(C90&lt;&gt;"",_xlfn.XLOOKUP(TEXT(C90,"0"),TEXT(CC!$C$3:$C$1000,"0"),CC!$G$3:$G$1000,""),"")</f>
        <v/>
      </c>
    </row>
    <row r="91" spans="3:12" x14ac:dyDescent="0.25">
      <c r="C91" s="52" t="s">
        <v>15</v>
      </c>
      <c r="D91" s="52" t="s">
        <v>12</v>
      </c>
      <c r="E91" s="53">
        <v>1</v>
      </c>
      <c r="F91" s="54">
        <v>160.12</v>
      </c>
      <c r="G91" s="70">
        <f>IFERROR(SUMPRODUCT((TEXT(CC!$C$3:$C$1000,"0")=TEXT(C91,"0"))*IFERROR(CC!$E$3:$E$1000+0,0)),0)</f>
      </c>
      <c r="H91" s="56"/>
      <c r="I91" s="95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57" t="str">
        <f>IF(C91&lt;&gt;"",_xlfn.XLOOKUP(TEXT(C91,"0"),TEXT(CC!$C$3:$C$1000,"0"),CC!$G$3:$G$1000,""),"")</f>
        <v/>
      </c>
    </row>
    <row r="92" spans="3:12" x14ac:dyDescent="0.25">
      <c r="C92" s="49" t="s">
        <v>34</v>
      </c>
      <c r="D92" s="49" t="s">
        <v>12</v>
      </c>
      <c r="E92" s="50">
        <v>1</v>
      </c>
      <c r="F92" s="51">
        <v>148.12</v>
      </c>
      <c r="G92" s="70">
        <f>IFERROR(SUMPRODUCT((TEXT(CC!$C$3:$C$1000,"0")=TEXT(C92,"0"))*IFERROR(CC!$E$3:$E$1000+0,0)),0)</f>
      </c>
      <c r="H92" s="56"/>
      <c r="I92" s="95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57" t="str">
        <f>IF(C92&lt;&gt;"",_xlfn.XLOOKUP(TEXT(C92,"0"),TEXT(CC!$C$3:$C$1000,"0"),CC!$G$3:$G$1000,""),"")</f>
        <v/>
      </c>
    </row>
    <row r="93" spans="3:12" x14ac:dyDescent="0.25">
      <c r="C93" s="52" t="s">
        <v>30</v>
      </c>
      <c r="D93" s="52" t="s">
        <v>12</v>
      </c>
      <c r="E93" s="53">
        <v>1</v>
      </c>
      <c r="F93" s="54">
        <v>136.84</v>
      </c>
      <c r="G93" s="70">
        <f>IFERROR(SUMPRODUCT((TEXT(CC!$C$3:$C$1000,"0")=TEXT(C93,"0"))*IFERROR(CC!$E$3:$E$1000+0,0)),0)</f>
      </c>
      <c r="H93" s="56"/>
      <c r="I93" s="95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57" t="str">
        <f>IF(C93&lt;&gt;"",_xlfn.XLOOKUP(TEXT(C93,"0"),TEXT(CC!$C$3:$C$1000,"0"),CC!$G$3:$G$1000,""),"")</f>
        <v/>
      </c>
    </row>
    <row r="94" spans="3:12" x14ac:dyDescent="0.25">
      <c r="C94" s="49" t="s">
        <v>22</v>
      </c>
      <c r="D94" s="49" t="s">
        <v>12</v>
      </c>
      <c r="E94" s="50">
        <v>1</v>
      </c>
      <c r="F94" s="51">
        <v>204.51</v>
      </c>
      <c r="G94" s="70">
        <f>IFERROR(SUMPRODUCT((TEXT(CC!$C$3:$C$1000,"0")=TEXT(C94,"0"))*IFERROR(CC!$E$3:$E$1000+0,0)),0)</f>
      </c>
      <c r="H94" s="56"/>
      <c r="I94" s="95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57" t="str">
        <f>IF(C94&lt;&gt;"",_xlfn.XLOOKUP(TEXT(C94,"0"),TEXT(CC!$C$3:$C$1000,"0"),CC!$G$3:$G$1000,""),"")</f>
        <v/>
      </c>
    </row>
    <row r="95" spans="3:12" x14ac:dyDescent="0.25">
      <c r="C95" s="52" t="s">
        <v>42</v>
      </c>
      <c r="D95" s="52" t="s">
        <v>12</v>
      </c>
      <c r="E95" s="53">
        <v>1</v>
      </c>
      <c r="F95" s="54">
        <v>394.74</v>
      </c>
      <c r="G95" s="70">
        <f>IFERROR(SUMPRODUCT((TEXT(CC!$C$3:$C$1000,"0")=TEXT(C95,"0"))*IFERROR(CC!$E$3:$E$1000+0,0)),0)</f>
      </c>
      <c r="H95" s="56"/>
      <c r="I95" s="95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57" t="str">
        <f>IF(C95&lt;&gt;"",_xlfn.XLOOKUP(TEXT(C95,"0"),TEXT(CC!$C$3:$C$1000,"0"),CC!$G$3:$G$1000,""),"")</f>
        <v/>
      </c>
    </row>
    <row r="96" spans="3:12" x14ac:dyDescent="0.25">
      <c r="C96" s="49" t="s">
        <v>36</v>
      </c>
      <c r="D96" s="49" t="s">
        <v>12</v>
      </c>
      <c r="E96" s="50">
        <v>1</v>
      </c>
      <c r="F96" s="51">
        <v>98.39</v>
      </c>
      <c r="G96" s="70">
        <f>IFERROR(SUMPRODUCT((TEXT(CC!$C$3:$C$1000,"0")=TEXT(C96,"0"))*IFERROR(CC!$E$3:$E$1000+0,0)),0)</f>
      </c>
      <c r="H96" s="56"/>
      <c r="I96" s="95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57" t="str">
        <f>IF(C96&lt;&gt;"",_xlfn.XLOOKUP(TEXT(C96,"0"),TEXT(CC!$C$3:$C$1000,"0"),CC!$G$3:$G$1000,""),"")</f>
        <v/>
      </c>
    </row>
    <row r="97" spans="3:12" x14ac:dyDescent="0.25">
      <c r="C97" s="52" t="s">
        <v>1</v>
      </c>
      <c r="D97" s="52" t="s">
        <v>12</v>
      </c>
      <c r="E97" s="53">
        <v>1</v>
      </c>
      <c r="F97" s="54">
        <v>156.43</v>
      </c>
      <c r="G97" s="70">
        <f>IFERROR(SUMPRODUCT((TEXT(CC!$C$3:$C$1000,"0")=TEXT(C97,"0"))*IFERROR(CC!$E$3:$E$1000+0,0)),0)</f>
      </c>
      <c r="H97" s="56"/>
      <c r="I97" s="95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57" t="str">
        <f>IF(C97&lt;&gt;"",_xlfn.XLOOKUP(TEXT(C97,"0"),TEXT(CC!$C$3:$C$1000,"0"),CC!$G$3:$G$1000,""),"")</f>
        <v/>
      </c>
    </row>
    <row r="98" spans="3:12" x14ac:dyDescent="0.25">
      <c r="C98" s="49" t="s">
        <v>35</v>
      </c>
      <c r="D98" s="49" t="s">
        <v>12</v>
      </c>
      <c r="E98" s="50">
        <v>1</v>
      </c>
      <c r="F98" s="51">
        <v>116.24</v>
      </c>
      <c r="G98" s="70">
        <f>IFERROR(SUMPRODUCT((TEXT(CC!$C$3:$C$1000,"0")=TEXT(C98,"0"))*IFERROR(CC!$E$3:$E$1000+0,0)),0)</f>
      </c>
      <c r="H98" s="56"/>
      <c r="I98" s="95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57" t="str">
        <f>IF(C98&lt;&gt;"",_xlfn.XLOOKUP(TEXT(C98,"0"),TEXT(CC!$C$3:$C$1000,"0"),CC!$G$3:$G$1000,""),"")</f>
        <v/>
      </c>
    </row>
    <row r="99" spans="3:12" x14ac:dyDescent="0.25">
      <c r="C99" s="52" t="s">
        <v>24</v>
      </c>
      <c r="D99" s="52" t="s">
        <v>12</v>
      </c>
      <c r="E99" s="53">
        <v>1</v>
      </c>
      <c r="F99" s="54">
        <v>192.6</v>
      </c>
      <c r="G99" s="70">
        <f>IFERROR(SUMPRODUCT((TEXT(CC!$C$3:$C$1000,"0")=TEXT(C99,"0"))*IFERROR(CC!$E$3:$E$1000+0,0)),0)</f>
      </c>
      <c r="H99" s="56"/>
      <c r="I99" s="95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57" t="str">
        <f>IF(C99&lt;&gt;"",_xlfn.XLOOKUP(TEXT(C99,"0"),TEXT(CC!$C$3:$C$1000,"0"),CC!$G$3:$G$1000,""),"")</f>
        <v/>
      </c>
    </row>
    <row r="100" spans="3:12" x14ac:dyDescent="0.25">
      <c r="C100" s="49" t="s">
        <v>38</v>
      </c>
      <c r="D100" s="49" t="s">
        <v>12</v>
      </c>
      <c r="E100" s="50">
        <v>1</v>
      </c>
      <c r="F100" s="51">
        <v>142.46</v>
      </c>
      <c r="G100" s="70">
        <f>IFERROR(SUMPRODUCT((TEXT(CC!$C$3:$C$1000,"0")=TEXT(C100,"0"))*IFERROR(CC!$E$3:$E$1000+0,0)),0)</f>
      </c>
      <c r="H100" s="56"/>
      <c r="I100" s="95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57" t="str">
        <f>IF(C100&lt;&gt;"",_xlfn.XLOOKUP(TEXT(C100,"0"),TEXT(CC!$C$3:$C$1000,"0"),CC!$G$3:$G$1000,""),"")</f>
        <v/>
      </c>
    </row>
    <row r="101" spans="3:12" x14ac:dyDescent="0.25">
      <c r="C101" s="52" t="s">
        <v>5</v>
      </c>
      <c r="D101" s="52" t="s">
        <v>12</v>
      </c>
      <c r="E101" s="53">
        <v>1</v>
      </c>
      <c r="F101" s="54">
        <v>152.35</v>
      </c>
      <c r="G101" s="70">
        <f>IFERROR(SUMPRODUCT((TEXT(CC!$C$3:$C$1000,"0")=TEXT(C101,"0"))*IFERROR(CC!$E$3:$E$1000+0,0)),0)</f>
      </c>
      <c r="H101" s="56"/>
      <c r="I101" s="95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57" t="str">
        <f>IF(C101&lt;&gt;"",_xlfn.XLOOKUP(TEXT(C101,"0"),TEXT(CC!$C$3:$C$1000,"0"),CC!$G$3:$G$1000,""),"")</f>
        <v/>
      </c>
    </row>
    <row r="102" spans="3:12" x14ac:dyDescent="0.25">
      <c r="C102" s="49" t="s">
        <v>2</v>
      </c>
      <c r="D102" s="49" t="s">
        <v>12</v>
      </c>
      <c r="E102" s="50">
        <v>1</v>
      </c>
      <c r="F102" s="51">
        <v>142.52000000000001</v>
      </c>
      <c r="G102" s="70">
        <f>IFERROR(SUMPRODUCT((TEXT(CC!$C$3:$C$1000,"0")=TEXT(C102,"0"))*IFERROR(CC!$E$3:$E$1000+0,0)),0)</f>
      </c>
      <c r="H102" s="56"/>
      <c r="I102" s="95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57" t="str">
        <f>IF(C102&lt;&gt;"",_xlfn.XLOOKUP(TEXT(C102,"0"),TEXT(CC!$C$3:$C$1000,"0"),CC!$G$3:$G$1000,""),"")</f>
        <v/>
      </c>
    </row>
    <row r="103" spans="3:12" x14ac:dyDescent="0.25">
      <c r="C103" s="52" t="s">
        <v>27</v>
      </c>
      <c r="D103" s="52" t="s">
        <v>12</v>
      </c>
      <c r="E103" s="53">
        <v>1</v>
      </c>
      <c r="F103" s="54">
        <v>72.72</v>
      </c>
      <c r="G103" s="70">
        <f>IFERROR(SUMPRODUCT((TEXT(CC!$C$3:$C$1000,"0")=TEXT(C103,"0"))*IFERROR(CC!$E$3:$E$1000+0,0)),0)</f>
      </c>
      <c r="H103" s="56"/>
      <c r="I103" s="95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57" t="str">
        <f>IF(C103&lt;&gt;"",_xlfn.XLOOKUP(TEXT(C103,"0"),TEXT(CC!$C$3:$C$1000,"0"),CC!$G$3:$G$1000,""),"")</f>
        <v/>
      </c>
    </row>
    <row r="104" spans="3:12" x14ac:dyDescent="0.25">
      <c r="C104" s="49" t="s">
        <v>20</v>
      </c>
      <c r="D104" s="49" t="s">
        <v>12</v>
      </c>
      <c r="E104" s="50">
        <v>1</v>
      </c>
      <c r="F104" s="51">
        <v>240.78</v>
      </c>
      <c r="G104" s="70">
        <f>IFERROR(SUMPRODUCT((TEXT(CC!$C$3:$C$1000,"0")=TEXT(C104,"0"))*IFERROR(CC!$E$3:$E$1000+0,0)),0)</f>
      </c>
      <c r="H104" s="56"/>
      <c r="I104" s="95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57" t="str">
        <f>IF(C104&lt;&gt;"",_xlfn.XLOOKUP(TEXT(C104,"0"),TEXT(CC!$C$3:$C$1000,"0"),CC!$G$3:$G$1000,""),"")</f>
        <v/>
      </c>
    </row>
    <row r="105" spans="3:12" x14ac:dyDescent="0.25">
      <c r="C105" s="52" t="s">
        <v>14</v>
      </c>
      <c r="D105" s="52" t="s">
        <v>12</v>
      </c>
      <c r="E105" s="53">
        <v>1</v>
      </c>
      <c r="F105" s="54">
        <v>19.78</v>
      </c>
      <c r="G105" s="70">
        <f>IFERROR(SUMPRODUCT((TEXT(CC!$C$3:$C$1000,"0")=TEXT(C105,"0"))*IFERROR(CC!$E$3:$E$1000+0,0)),0)</f>
      </c>
      <c r="H105" s="56"/>
      <c r="I105" s="95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57" t="str">
        <f>IF(C105&lt;&gt;"",_xlfn.XLOOKUP(TEXT(C105,"0"),TEXT(CC!$C$3:$C$1000,"0"),CC!$G$3:$G$1000,""),"")</f>
        <v/>
      </c>
    </row>
    <row r="106" spans="3:12" x14ac:dyDescent="0.25">
      <c r="C106" s="49" t="s">
        <v>16</v>
      </c>
      <c r="D106" s="49" t="s">
        <v>12</v>
      </c>
      <c r="E106" s="50">
        <v>1</v>
      </c>
      <c r="F106" s="51">
        <v>19.78</v>
      </c>
      <c r="G106" s="70">
        <f>IFERROR(SUMPRODUCT((TEXT(CC!$C$3:$C$1000,"0")=TEXT(C106,"0"))*IFERROR(CC!$E$3:$E$1000+0,0)),0)</f>
      </c>
      <c r="H106" s="56"/>
      <c r="I106" s="95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57" t="str">
        <f>IF(C106&lt;&gt;"",_xlfn.XLOOKUP(TEXT(C106,"0"),TEXT(CC!$C$3:$C$1000,"0"),CC!$G$3:$G$1000,""),"")</f>
        <v/>
      </c>
    </row>
    <row r="107" spans="3:12" x14ac:dyDescent="0.25">
      <c r="C107" s="52" t="s">
        <v>13</v>
      </c>
      <c r="D107" s="52" t="s">
        <v>12</v>
      </c>
      <c r="E107" s="53">
        <v>1</v>
      </c>
      <c r="F107" s="54">
        <v>32.049999999999997</v>
      </c>
      <c r="G107" s="70">
        <f>IFERROR(SUMPRODUCT((TEXT(CC!$C$3:$C$1000,"0")=TEXT(C107,"0"))*IFERROR(CC!$E$3:$E$1000+0,0)),0)</f>
      </c>
      <c r="H107" s="56"/>
      <c r="I107" s="95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57" t="str">
        <f>IF(C107&lt;&gt;"",_xlfn.XLOOKUP(TEXT(C107,"0"),TEXT(CC!$C$3:$C$1000,"0"),CC!$G$3:$G$1000,""),"")</f>
        <v/>
      </c>
    </row>
    <row r="108" spans="3:12" x14ac:dyDescent="0.25">
      <c r="C108" s="49" t="s">
        <v>28</v>
      </c>
      <c r="D108" s="49" t="s">
        <v>12</v>
      </c>
      <c r="E108" s="50">
        <v>1</v>
      </c>
      <c r="F108" s="51">
        <v>-38700.39</v>
      </c>
      <c r="G108" s="70">
        <f>IFERROR(SUMPRODUCT((TEXT(CC!$C$3:$C$1000,"0")=TEXT(C108,"0"))*IFERROR(CC!$E$3:$E$1000+0,0)),0)</f>
      </c>
      <c r="H108" s="56"/>
      <c r="I108" s="95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57" t="str">
        <f>IF(C108&lt;&gt;"",_xlfn.XLOOKUP(TEXT(C108,"0"),TEXT(CC!$C$3:$C$1000,"0"),CC!$G$3:$G$1000,""),"")</f>
        <v/>
      </c>
    </row>
    <row r="109" spans="3:12" x14ac:dyDescent="0.25">
      <c r="G109" s="70">
        <f>IFERROR(SUMPRODUCT((TEXT(CC!$C$3:$C$1000,"0")=TEXT(C109,"0"))*IFERROR(CC!$E$3:$E$1000+0,0)),0)</f>
      </c>
      <c r="H109" s="56"/>
      <c r="I109" s="95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57" t="str">
        <f>IF(C109&lt;&gt;"",_xlfn.XLOOKUP(TEXT(C109,"0"),TEXT(CC!$C$3:$C$1000,"0"),CC!$G$3:$G$1000,""),"")</f>
        <v/>
      </c>
    </row>
    <row r="110" spans="3:12" x14ac:dyDescent="0.25">
      <c r="G110" s="70">
        <f>IFERROR(SUMPRODUCT((TEXT(CC!$C$3:$C$1000,"0")=TEXT(C110,"0"))*IFERROR(CC!$E$3:$E$1000+0,0)),0)</f>
      </c>
      <c r="H110" s="56"/>
      <c r="I110" s="95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57" t="str">
        <f>IF(C110&lt;&gt;"",_xlfn.XLOOKUP(TEXT(C110,"0"),TEXT(CC!$C$3:$C$1000,"0"),CC!$G$3:$G$1000,""),"")</f>
        <v/>
      </c>
    </row>
    <row r="111" spans="3:12" x14ac:dyDescent="0.25">
      <c r="G111" s="70">
        <f>IFERROR(SUMPRODUCT((TEXT(CC!$C$3:$C$1000,"0")=TEXT(C111,"0"))*IFERROR(CC!$E$3:$E$1000+0,0)),0)</f>
      </c>
      <c r="H111" s="56"/>
      <c r="I111" s="95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57" t="str">
        <f>IF(C111&lt;&gt;"",_xlfn.XLOOKUP(TEXT(C111,"0"),TEXT(CC!$C$3:$C$1000,"0"),CC!$G$3:$G$1000,""),"")</f>
        <v/>
      </c>
    </row>
    <row r="112" spans="3:12" x14ac:dyDescent="0.25">
      <c r="G112" s="70">
        <f>IFERROR(SUMPRODUCT((TEXT(CC!$C$3:$C$1000,"0")=TEXT(C112,"0"))*IFERROR(CC!$E$3:$E$1000+0,0)),0)</f>
      </c>
      <c r="H112" s="56"/>
      <c r="I112" s="95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57" t="str">
        <f>IF(C112&lt;&gt;"",_xlfn.XLOOKUP(TEXT(C112,"0"),TEXT(CC!$C$3:$C$1000,"0"),CC!$G$3:$G$1000,""),"")</f>
        <v/>
      </c>
    </row>
    <row r="113" spans="7:12" x14ac:dyDescent="0.25">
      <c r="G113" s="70">
        <f>IFERROR(SUMPRODUCT((TEXT(CC!$C$3:$C$1000,"0")=TEXT(C113,"0"))*IFERROR(CC!$E$3:$E$1000+0,0)),0)</f>
      </c>
      <c r="H113" s="56"/>
      <c r="I113" s="95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57" t="str">
        <f>IF(C113&lt;&gt;"",_xlfn.XLOOKUP(TEXT(C113,"0"),TEXT(CC!$C$3:$C$1000,"0"),CC!$G$3:$G$1000,""),"")</f>
        <v/>
      </c>
    </row>
    <row r="114" spans="7:12" x14ac:dyDescent="0.25">
      <c r="G114" s="70">
        <f>IFERROR(SUMPRODUCT((TEXT(CC!$C$3:$C$1000,"0")=TEXT(C114,"0"))*IFERROR(CC!$E$3:$E$1000+0,0)),0)</f>
      </c>
      <c r="H114" s="56"/>
      <c r="I114" s="95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57" t="str">
        <f>IF(C114&lt;&gt;"",_xlfn.XLOOKUP(TEXT(C114,"0"),TEXT(CC!$C$3:$C$1000,"0"),CC!$G$3:$G$1000,""),"")</f>
        <v/>
      </c>
    </row>
    <row r="115" spans="7:12" x14ac:dyDescent="0.25">
      <c r="G115" s="70">
        <f>IFERROR(SUMPRODUCT((TEXT(CC!$C$3:$C$1000,"0")=TEXT(C115,"0"))*IFERROR(CC!$E$3:$E$1000+0,0)),0)</f>
      </c>
      <c r="H115" s="56"/>
      <c r="I115" s="95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57" t="str">
        <f>IF(C115&lt;&gt;"",_xlfn.XLOOKUP(TEXT(C115,"0"),TEXT(CC!$C$3:$C$1000,"0"),CC!$G$3:$G$1000,""),"")</f>
        <v/>
      </c>
    </row>
    <row r="116" spans="7:12" x14ac:dyDescent="0.25">
      <c r="G116" s="70">
        <f>IFERROR(SUMPRODUCT((TEXT(CC!$C$3:$C$1000,"0")=TEXT(C116,"0"))*IFERROR(CC!$E$3:$E$1000+0,0)),0)</f>
      </c>
      <c r="H116" s="56"/>
      <c r="I116" s="95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57" t="str">
        <f>IF(C116&lt;&gt;"",_xlfn.XLOOKUP(TEXT(C116,"0"),TEXT(CC!$C$3:$C$1000,"0"),CC!$G$3:$G$1000,""),"")</f>
        <v/>
      </c>
    </row>
    <row r="117" spans="7:12" x14ac:dyDescent="0.25">
      <c r="G117" s="70">
        <f>IFERROR(SUMPRODUCT((TEXT(CC!$C$3:$C$1000,"0")=TEXT(C117,"0"))*IFERROR(CC!$E$3:$E$1000+0,0)),0)</f>
      </c>
      <c r="H117" s="56"/>
      <c r="I117" s="95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57" t="str">
        <f>IF(C117&lt;&gt;"",_xlfn.XLOOKUP(TEXT(C117,"0"),TEXT(CC!$C$3:$C$1000,"0"),CC!$G$3:$G$1000,""),"")</f>
        <v/>
      </c>
    </row>
    <row r="118" spans="7:12" x14ac:dyDescent="0.25">
      <c r="G118" s="70">
        <f>IFERROR(SUMPRODUCT((TEXT(CC!$C$3:$C$1000,"0")=TEXT(C118,"0"))*IFERROR(CC!$E$3:$E$1000+0,0)),0)</f>
      </c>
      <c r="H118" s="56"/>
      <c r="I118" s="95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57" t="str">
        <f>IF(C118&lt;&gt;"",_xlfn.XLOOKUP(TEXT(C118,"0"),TEXT(CC!$C$3:$C$1000,"0"),CC!$G$3:$G$1000,""),"")</f>
        <v/>
      </c>
    </row>
    <row r="119" spans="7:12" x14ac:dyDescent="0.25">
      <c r="G119" s="70">
        <f>IFERROR(SUMPRODUCT((TEXT(CC!$C$3:$C$1000,"0")=TEXT(C119,"0"))*IFERROR(CC!$E$3:$E$1000+0,0)),0)</f>
      </c>
      <c r="H119" s="56"/>
      <c r="I119" s="95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57" t="str">
        <f>IF(C119&lt;&gt;"",_xlfn.XLOOKUP(TEXT(C119,"0"),TEXT(CC!$C$3:$C$1000,"0"),CC!$G$3:$G$1000,""),"")</f>
        <v/>
      </c>
    </row>
    <row r="120" spans="7:12" x14ac:dyDescent="0.25">
      <c r="G120" s="70">
        <f>IFERROR(SUMPRODUCT((TEXT(CC!$C$3:$C$1000,"0")=TEXT(C120,"0"))*IFERROR(CC!$E$3:$E$1000+0,0)),0)</f>
      </c>
      <c r="H120" s="56"/>
      <c r="I120" s="95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57" t="str">
        <f>IF(C120&lt;&gt;"",_xlfn.XLOOKUP(TEXT(C120,"0"),TEXT(CC!$C$3:$C$1000,"0"),CC!$G$3:$G$1000,""),"")</f>
        <v/>
      </c>
    </row>
    <row r="121" spans="7:12" x14ac:dyDescent="0.25">
      <c r="G121" s="70">
        <f>IFERROR(SUMPRODUCT((TEXT(CC!$C$3:$C$1000,"0")=TEXT(C121,"0"))*IFERROR(CC!$E$3:$E$1000+0,0)),0)</f>
      </c>
      <c r="H121" s="56"/>
      <c r="I121" s="95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57" t="str">
        <f>IF(C121&lt;&gt;"",_xlfn.XLOOKUP(TEXT(C121,"0"),TEXT(CC!$C$3:$C$1000,"0"),CC!$G$3:$G$1000,""),"")</f>
        <v/>
      </c>
    </row>
    <row r="122" spans="7:12" x14ac:dyDescent="0.25">
      <c r="G122" s="70">
        <f>IFERROR(SUMPRODUCT((TEXT(CC!$C$3:$C$1000,"0")=TEXT(C122,"0"))*IFERROR(CC!$E$3:$E$1000+0,0)),0)</f>
      </c>
      <c r="H122" s="56"/>
      <c r="I122" s="95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57" t="str">
        <f>IF(C122&lt;&gt;"",_xlfn.XLOOKUP(TEXT(C122,"0"),TEXT(CC!$C$3:$C$1000,"0"),CC!$G$3:$G$1000,""),"")</f>
        <v/>
      </c>
    </row>
    <row r="123" spans="7:12" x14ac:dyDescent="0.25">
      <c r="G123" s="70">
        <f>IFERROR(SUMPRODUCT((TEXT(CC!$C$3:$C$1000,"0")=TEXT(C123,"0"))*IFERROR(CC!$E$3:$E$1000+0,0)),0)</f>
      </c>
      <c r="H123" s="56"/>
      <c r="I123" s="95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57" t="str">
        <f>IF(C123&lt;&gt;"",_xlfn.XLOOKUP(TEXT(C123,"0"),TEXT(CC!$C$3:$C$1000,"0"),CC!$G$3:$G$1000,""),"")</f>
        <v/>
      </c>
    </row>
    <row r="124" spans="7:12" x14ac:dyDescent="0.25">
      <c r="G124" s="70">
        <f>IFERROR(SUMPRODUCT((TEXT(CC!$C$3:$C$1000,"0")=TEXT(C124,"0"))*IFERROR(CC!$E$3:$E$1000+0,0)),0)</f>
      </c>
      <c r="H124" s="56"/>
      <c r="I124" s="95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57" t="str">
        <f>IF(C124&lt;&gt;"",_xlfn.XLOOKUP(TEXT(C124,"0"),TEXT(CC!$C$3:$C$1000,"0"),CC!$G$3:$G$1000,""),"")</f>
        <v/>
      </c>
    </row>
    <row r="125" spans="7:12" x14ac:dyDescent="0.25">
      <c r="G125" s="70">
        <f>IFERROR(SUMPRODUCT((TEXT(CC!$C$3:$C$1000,"0")=TEXT(C125,"0"))*IFERROR(CC!$E$3:$E$1000+0,0)),0)</f>
      </c>
      <c r="H125" s="56"/>
      <c r="I125" s="95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57" t="str">
        <f>IF(C125&lt;&gt;"",_xlfn.XLOOKUP(TEXT(C125,"0"),TEXT(CC!$C$3:$C$1000,"0"),CC!$G$3:$G$1000,""),"")</f>
        <v/>
      </c>
    </row>
    <row r="126" spans="7:12" x14ac:dyDescent="0.25">
      <c r="G126" s="70">
        <f>IFERROR(SUMPRODUCT((TEXT(CC!$C$3:$C$1000,"0")=TEXT(C126,"0"))*IFERROR(CC!$E$3:$E$1000+0,0)),0)</f>
      </c>
      <c r="H126" s="56"/>
      <c r="I126" s="95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57" t="str">
        <f>IF(C126&lt;&gt;"",_xlfn.XLOOKUP(TEXT(C126,"0"),TEXT(CC!$C$3:$C$1000,"0"),CC!$G$3:$G$1000,""),"")</f>
        <v/>
      </c>
    </row>
    <row r="127" spans="7:12" x14ac:dyDescent="0.25">
      <c r="G127" s="70">
        <f>IFERROR(SUMPRODUCT((TEXT(CC!$C$3:$C$1000,"0")=TEXT(C127,"0"))*IFERROR(CC!$E$3:$E$1000+0,0)),0)</f>
      </c>
      <c r="H127" s="56"/>
      <c r="I127" s="95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57" t="str">
        <f>IF(C127&lt;&gt;"",_xlfn.XLOOKUP(TEXT(C127,"0"),TEXT(CC!$C$3:$C$1000,"0"),CC!$G$3:$G$1000,""),"")</f>
        <v/>
      </c>
    </row>
    <row r="128" spans="7:12" x14ac:dyDescent="0.25">
      <c r="G128" s="70">
        <f>IFERROR(SUMPRODUCT((TEXT(CC!$C$3:$C$1000,"0")=TEXT(C128,"0"))*IFERROR(CC!$E$3:$E$1000+0,0)),0)</f>
      </c>
      <c r="H128" s="56"/>
      <c r="I128" s="95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57" t="str">
        <f>IF(C128&lt;&gt;"",_xlfn.XLOOKUP(TEXT(C128,"0"),TEXT(CC!$C$3:$C$1000,"0"),CC!$G$3:$G$1000,""),"")</f>
        <v/>
      </c>
    </row>
    <row r="129" spans="7:12" x14ac:dyDescent="0.25">
      <c r="G129" s="70">
        <f>IFERROR(SUMPRODUCT((TEXT(CC!$C$3:$C$1000,"0")=TEXT(C129,"0"))*IFERROR(CC!$E$3:$E$1000+0,0)),0)</f>
      </c>
      <c r="H129" s="56"/>
      <c r="I129" s="95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57" t="str">
        <f>IF(C129&lt;&gt;"",_xlfn.XLOOKUP(TEXT(C129,"0"),TEXT(CC!$C$3:$C$1000,"0"),CC!$G$3:$G$1000,""),"")</f>
        <v/>
      </c>
    </row>
    <row r="130" spans="7:12" x14ac:dyDescent="0.25">
      <c r="G130" s="70">
        <f>IFERROR(SUMPRODUCT((TEXT(CC!$C$3:$C$1000,"0")=TEXT(C130,"0"))*IFERROR(CC!$E$3:$E$1000+0,0)),0)</f>
      </c>
      <c r="H130" s="56"/>
      <c r="I130" s="95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57" t="str">
        <f>IF(C130&lt;&gt;"",_xlfn.XLOOKUP(TEXT(C130,"0"),TEXT(CC!$C$3:$C$1000,"0"),CC!$G$3:$G$1000,""),"")</f>
        <v/>
      </c>
    </row>
    <row r="131" spans="7:12" x14ac:dyDescent="0.25">
      <c r="G131" s="70">
        <f>IFERROR(SUMPRODUCT((TEXT(CC!$C$3:$C$1000,"0")=TEXT(C131,"0"))*IFERROR(CC!$E$3:$E$1000+0,0)),0)</f>
      </c>
      <c r="H131" s="56"/>
      <c r="I131" s="95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57" t="str">
        <f>IF(C131&lt;&gt;"",_xlfn.XLOOKUP(TEXT(C131,"0"),TEXT(CC!$C$3:$C$1000,"0"),CC!$G$3:$G$1000,""),"")</f>
        <v/>
      </c>
    </row>
    <row r="132" spans="7:12" x14ac:dyDescent="0.25">
      <c r="G132" s="70">
        <f>IFERROR(SUMPRODUCT((TEXT(CC!$C$3:$C$1000,"0")=TEXT(C132,"0"))*IFERROR(CC!$E$3:$E$1000+0,0)),0)</f>
      </c>
      <c r="H132" s="56"/>
      <c r="I132" s="95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57" t="str">
        <f>IF(C132&lt;&gt;"",_xlfn.XLOOKUP(TEXT(C132,"0"),TEXT(CC!$C$3:$C$1000,"0"),CC!$G$3:$G$1000,""),"")</f>
        <v/>
      </c>
    </row>
    <row r="133" spans="7:12" x14ac:dyDescent="0.25">
      <c r="G133" s="70">
        <f>IFERROR(SUMPRODUCT((TEXT(CC!$C$3:$C$1000,"0")=TEXT(C133,"0"))*IFERROR(CC!$E$3:$E$1000+0,0)),0)</f>
      </c>
      <c r="H133" s="56"/>
      <c r="I133" s="95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57" t="str">
        <f>IF(C133&lt;&gt;"",_xlfn.XLOOKUP(TEXT(C133,"0"),TEXT(CC!$C$3:$C$1000,"0"),CC!$G$3:$G$1000,""),"")</f>
        <v/>
      </c>
    </row>
    <row r="134" spans="7:12" x14ac:dyDescent="0.25">
      <c r="G134" s="70">
        <f>IFERROR(SUMPRODUCT((TEXT(CC!$C$3:$C$1000,"0")=TEXT(C134,"0"))*IFERROR(CC!$E$3:$E$1000+0,0)),0)</f>
      </c>
      <c r="H134" s="56"/>
      <c r="I134" s="95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57" t="str">
        <f>IF(C134&lt;&gt;"",_xlfn.XLOOKUP(TEXT(C134,"0"),TEXT(CC!$C$3:$C$1000,"0"),CC!$G$3:$G$1000,""),"")</f>
        <v/>
      </c>
    </row>
    <row r="135" spans="7:12" x14ac:dyDescent="0.25">
      <c r="G135" s="70">
        <f>IFERROR(SUMPRODUCT((TEXT(CC!$C$3:$C$1000,"0")=TEXT(C135,"0"))*IFERROR(CC!$E$3:$E$1000+0,0)),0)</f>
      </c>
      <c r="H135" s="56"/>
      <c r="I135" s="95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57" t="str">
        <f>IF(C135&lt;&gt;"",_xlfn.XLOOKUP(TEXT(C135,"0"),TEXT(CC!$C$3:$C$1000,"0"),CC!$G$3:$G$1000,""),"")</f>
        <v/>
      </c>
    </row>
    <row r="136" spans="7:12" x14ac:dyDescent="0.25">
      <c r="G136" s="70">
        <f>IFERROR(SUMPRODUCT((TEXT(CC!$C$3:$C$1000,"0")=TEXT(C136,"0"))*IFERROR(CC!$E$3:$E$1000+0,0)),0)</f>
      </c>
      <c r="H136" s="56"/>
      <c r="I136" s="95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57" t="str">
        <f>IF(C136&lt;&gt;"",_xlfn.XLOOKUP(TEXT(C136,"0"),TEXT(CC!$C$3:$C$1000,"0"),CC!$G$3:$G$1000,""),"")</f>
        <v/>
      </c>
    </row>
    <row r="137" spans="7:12" x14ac:dyDescent="0.25">
      <c r="G137" s="70">
        <f>IFERROR(SUMPRODUCT((TEXT(CC!$C$3:$C$1000,"0")=TEXT(C137,"0"))*IFERROR(CC!$E$3:$E$1000+0,0)),0)</f>
      </c>
      <c r="H137" s="56"/>
      <c r="I137" s="95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57" t="str">
        <f>IF(C137&lt;&gt;"",_xlfn.XLOOKUP(TEXT(C137,"0"),TEXT(CC!$C$3:$C$1000,"0"),CC!$G$3:$G$1000,""),"")</f>
        <v/>
      </c>
    </row>
    <row r="138" spans="7:12" x14ac:dyDescent="0.25">
      <c r="G138" s="70">
        <f>IFERROR(SUMPRODUCT((TEXT(CC!$C$3:$C$1000,"0")=TEXT(C138,"0"))*IFERROR(CC!$E$3:$E$1000+0,0)),0)</f>
      </c>
      <c r="H138" s="56"/>
      <c r="I138" s="95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57" t="str">
        <f>IF(C138&lt;&gt;"",_xlfn.XLOOKUP(TEXT(C138,"0"),TEXT(CC!$C$3:$C$1000,"0"),CC!$G$3:$G$1000,""),"")</f>
        <v/>
      </c>
    </row>
    <row r="139" spans="7:12" x14ac:dyDescent="0.25">
      <c r="G139" s="70">
        <f>IFERROR(SUMPRODUCT((TEXT(CC!$C$3:$C$1000,"0")=TEXT(C139,"0"))*IFERROR(CC!$E$3:$E$1000+0,0)),0)</f>
      </c>
      <c r="H139" s="56"/>
      <c r="I139" s="95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57" t="str">
        <f>IF(C139&lt;&gt;"",_xlfn.XLOOKUP(TEXT(C139,"0"),TEXT(CC!$C$3:$C$1000,"0"),CC!$G$3:$G$1000,""),"")</f>
        <v/>
      </c>
    </row>
    <row r="140" spans="7:12" x14ac:dyDescent="0.25">
      <c r="G140" s="70">
        <f>IFERROR(SUMPRODUCT((TEXT(CC!$C$3:$C$1000,"0")=TEXT(C140,"0"))*IFERROR(CC!$E$3:$E$1000+0,0)),0)</f>
      </c>
      <c r="H140" s="56"/>
      <c r="I140" s="95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57" t="str">
        <f>IF(C140&lt;&gt;"",_xlfn.XLOOKUP(TEXT(C140,"0"),TEXT(CC!$C$3:$C$1000,"0"),CC!$G$3:$G$1000,""),"")</f>
        <v/>
      </c>
    </row>
    <row r="141" spans="7:12" x14ac:dyDescent="0.25">
      <c r="G141" s="70">
        <f>IFERROR(SUMPRODUCT((TEXT(CC!$C$3:$C$1000,"0")=TEXT(C141,"0"))*IFERROR(CC!$E$3:$E$1000+0,0)),0)</f>
      </c>
      <c r="H141" s="56"/>
      <c r="I141" s="95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57" t="str">
        <f>IF(C141&lt;&gt;"",_xlfn.XLOOKUP(TEXT(C141,"0"),TEXT(CC!$C$3:$C$1000,"0"),CC!$G$3:$G$1000,""),"")</f>
        <v/>
      </c>
    </row>
    <row r="142" spans="7:12" x14ac:dyDescent="0.25">
      <c r="G142" s="70">
        <f>IFERROR(SUMPRODUCT((TEXT(CC!$C$3:$C$1000,"0")=TEXT(C142,"0"))*IFERROR(CC!$E$3:$E$1000+0,0)),0)</f>
      </c>
      <c r="H142" s="56"/>
      <c r="I142" s="95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57" t="str">
        <f>IF(C142&lt;&gt;"",_xlfn.XLOOKUP(TEXT(C142,"0"),TEXT(CC!$C$3:$C$1000,"0"),CC!$G$3:$G$1000,""),"")</f>
        <v/>
      </c>
    </row>
    <row r="143" spans="7:12" x14ac:dyDescent="0.25">
      <c r="G143" s="70">
        <f>IFERROR(SUMPRODUCT((TEXT(CC!$C$3:$C$1000,"0")=TEXT(C143,"0"))*IFERROR(CC!$E$3:$E$1000+0,0)),0)</f>
      </c>
      <c r="H143" s="56"/>
      <c r="I143" s="95" t="str">
        <f t="shared" ref="I143:I206" si="14">IF(J143&lt;&gt;0,"511011","")</f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57" t="str">
        <f>IF(C143&lt;&gt;"",_xlfn.XLOOKUP(TEXT(C143,"0"),TEXT(CC!$C$3:$C$1000,"0"),CC!$G$3:$G$1000,""),"")</f>
        <v/>
      </c>
    </row>
    <row r="144" spans="7:12" x14ac:dyDescent="0.25">
      <c r="G144" s="70">
        <f>IFERROR(SUMPRODUCT((TEXT(CC!$C$3:$C$1000,"0")=TEXT(C144,"0"))*IFERROR(CC!$E$3:$E$1000+0,0)),0)</f>
      </c>
      <c r="H144" s="56"/>
      <c r="I144" s="95" t="str">
        <f t="shared" si="14"/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57" t="str">
        <f>IF(C144&lt;&gt;"",_xlfn.XLOOKUP(TEXT(C144,"0"),TEXT(CC!$C$3:$C$1000,"0"),CC!$G$3:$G$1000,""),"")</f>
        <v/>
      </c>
    </row>
    <row r="145" spans="7:12" x14ac:dyDescent="0.25">
      <c r="G145" s="70">
        <f>IFERROR(SUMPRODUCT((TEXT(CC!$C$3:$C$1000,"0")=TEXT(C145,"0"))*IFERROR(CC!$E$3:$E$1000+0,0)),0)</f>
      </c>
      <c r="H145" s="56"/>
      <c r="I145" s="95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57" t="str">
        <f>IF(C145&lt;&gt;"",_xlfn.XLOOKUP(TEXT(C145,"0"),TEXT(CC!$C$3:$C$1000,"0"),CC!$G$3:$G$1000,""),"")</f>
        <v/>
      </c>
    </row>
    <row r="146" spans="7:12" x14ac:dyDescent="0.25">
      <c r="G146" s="70">
        <f>IFERROR(SUMPRODUCT((TEXT(CC!$C$3:$C$1000,"0")=TEXT(C146,"0"))*IFERROR(CC!$E$3:$E$1000+0,0)),0)</f>
      </c>
      <c r="H146" s="56"/>
      <c r="I146" s="95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57" t="str">
        <f>IF(C146&lt;&gt;"",_xlfn.XLOOKUP(TEXT(C146,"0"),TEXT(CC!$C$3:$C$1000,"0"),CC!$G$3:$G$1000,""),"")</f>
        <v/>
      </c>
    </row>
    <row r="147" spans="7:12" x14ac:dyDescent="0.25">
      <c r="G147" s="70">
        <f>IFERROR(SUMPRODUCT((TEXT(CC!$C$3:$C$1000,"0")=TEXT(C147,"0"))*IFERROR(CC!$E$3:$E$1000+0,0)),0)</f>
      </c>
      <c r="H147" s="56"/>
      <c r="I147" s="95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57" t="str">
        <f>IF(C147&lt;&gt;"",_xlfn.XLOOKUP(TEXT(C147,"0"),TEXT(CC!$C$3:$C$1000,"0"),CC!$G$3:$G$1000,""),"")</f>
        <v/>
      </c>
    </row>
    <row r="148" spans="7:12" x14ac:dyDescent="0.25">
      <c r="G148" s="70">
        <f>IFERROR(SUMPRODUCT((TEXT(CC!$C$3:$C$1000,"0")=TEXT(C148,"0"))*IFERROR(CC!$E$3:$E$1000+0,0)),0)</f>
      </c>
      <c r="H148" s="56"/>
      <c r="I148" s="95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57" t="str">
        <f>IF(C148&lt;&gt;"",_xlfn.XLOOKUP(TEXT(C148,"0"),TEXT(CC!$C$3:$C$1000,"0"),CC!$G$3:$G$1000,""),"")</f>
        <v/>
      </c>
    </row>
    <row r="149" spans="7:12" x14ac:dyDescent="0.25">
      <c r="G149" s="70">
        <f>IFERROR(SUMPRODUCT((TEXT(CC!$C$3:$C$1000,"0")=TEXT(C149,"0"))*IFERROR(CC!$E$3:$E$1000+0,0)),0)</f>
      </c>
      <c r="H149" s="56"/>
      <c r="I149" s="95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57" t="str">
        <f>IF(C149&lt;&gt;"",_xlfn.XLOOKUP(TEXT(C149,"0"),TEXT(CC!$C$3:$C$1000,"0"),CC!$G$3:$G$1000,""),"")</f>
        <v/>
      </c>
    </row>
    <row r="150" spans="7:12" x14ac:dyDescent="0.25">
      <c r="G150" s="70">
        <f>IFERROR(SUMPRODUCT((TEXT(CC!$C$3:$C$1000,"0")=TEXT(C150,"0"))*IFERROR(CC!$E$3:$E$1000+0,0)),0)</f>
      </c>
      <c r="H150" s="56"/>
      <c r="I150" s="95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57" t="str">
        <f>IF(C150&lt;&gt;"",_xlfn.XLOOKUP(TEXT(C150,"0"),TEXT(CC!$C$3:$C$1000,"0"),CC!$G$3:$G$1000,""),"")</f>
        <v/>
      </c>
    </row>
    <row r="151" spans="7:12" x14ac:dyDescent="0.25">
      <c r="G151" s="70">
        <f>IFERROR(SUMPRODUCT((TEXT(CC!$C$3:$C$1000,"0")=TEXT(C151,"0"))*IFERROR(CC!$E$3:$E$1000+0,0)),0)</f>
      </c>
      <c r="H151" s="56"/>
      <c r="I151" s="95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57" t="str">
        <f>IF(C151&lt;&gt;"",_xlfn.XLOOKUP(TEXT(C151,"0"),TEXT(CC!$C$3:$C$1000,"0"),CC!$G$3:$G$1000,""),"")</f>
        <v/>
      </c>
    </row>
    <row r="152" spans="7:12" x14ac:dyDescent="0.25">
      <c r="G152" s="70">
        <f>IFERROR(SUMPRODUCT((TEXT(CC!$C$3:$C$1000,"0")=TEXT(C152,"0"))*IFERROR(CC!$E$3:$E$1000+0,0)),0)</f>
      </c>
      <c r="H152" s="56"/>
      <c r="I152" s="95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57" t="str">
        <f>IF(C152&lt;&gt;"",_xlfn.XLOOKUP(TEXT(C152,"0"),TEXT(CC!$C$3:$C$1000,"0"),CC!$G$3:$G$1000,""),"")</f>
        <v/>
      </c>
    </row>
    <row r="153" spans="7:12" x14ac:dyDescent="0.25">
      <c r="G153" s="70">
        <f>IFERROR(SUMPRODUCT((TEXT(CC!$C$3:$C$1000,"0")=TEXT(C153,"0"))*IFERROR(CC!$E$3:$E$1000+0,0)),0)</f>
      </c>
      <c r="H153" s="56"/>
      <c r="I153" s="95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57" t="str">
        <f>IF(C153&lt;&gt;"",_xlfn.XLOOKUP(TEXT(C153,"0"),TEXT(CC!$C$3:$C$1000,"0"),CC!$G$3:$G$1000,""),"")</f>
        <v/>
      </c>
    </row>
    <row r="154" spans="7:12" x14ac:dyDescent="0.25">
      <c r="G154" s="70">
        <f>IFERROR(SUMPRODUCT((TEXT(CC!$C$3:$C$1000,"0")=TEXT(C154,"0"))*IFERROR(CC!$E$3:$E$1000+0,0)),0)</f>
      </c>
      <c r="H154" s="56"/>
      <c r="I154" s="95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57" t="str">
        <f>IF(C154&lt;&gt;"",_xlfn.XLOOKUP(TEXT(C154,"0"),TEXT(CC!$C$3:$C$1000,"0"),CC!$G$3:$G$1000,""),"")</f>
        <v/>
      </c>
    </row>
    <row r="155" spans="7:12" x14ac:dyDescent="0.25">
      <c r="G155" s="70">
        <f>IFERROR(SUMPRODUCT((TEXT(CC!$C$3:$C$1000,"0")=TEXT(C155,"0"))*IFERROR(CC!$E$3:$E$1000+0,0)),0)</f>
      </c>
      <c r="H155" s="56"/>
      <c r="I155" s="95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57" t="str">
        <f>IF(C155&lt;&gt;"",_xlfn.XLOOKUP(TEXT(C155,"0"),TEXT(CC!$C$3:$C$1000,"0"),CC!$G$3:$G$1000,""),"")</f>
        <v/>
      </c>
    </row>
    <row r="156" spans="7:12" x14ac:dyDescent="0.25">
      <c r="G156" s="70">
        <f>IFERROR(SUMPRODUCT((TEXT(CC!$C$3:$C$1000,"0")=TEXT(C156,"0"))*IFERROR(CC!$E$3:$E$1000+0,0)),0)</f>
      </c>
      <c r="H156" s="56"/>
      <c r="I156" s="95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57" t="str">
        <f>IF(C156&lt;&gt;"",_xlfn.XLOOKUP(TEXT(C156,"0"),TEXT(CC!$C$3:$C$1000,"0"),CC!$G$3:$G$1000,""),"")</f>
        <v/>
      </c>
    </row>
    <row r="157" spans="7:12" x14ac:dyDescent="0.25">
      <c r="G157" s="70">
        <f>IFERROR(SUMPRODUCT((TEXT(CC!$C$3:$C$1000,"0")=TEXT(C157,"0"))*IFERROR(CC!$E$3:$E$1000+0,0)),0)</f>
      </c>
      <c r="H157" s="56"/>
      <c r="I157" s="95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57" t="str">
        <f>IF(C157&lt;&gt;"",_xlfn.XLOOKUP(TEXT(C157,"0"),TEXT(CC!$C$3:$C$1000,"0"),CC!$G$3:$G$1000,""),"")</f>
        <v/>
      </c>
    </row>
    <row r="158" spans="7:12" x14ac:dyDescent="0.25">
      <c r="G158" s="70">
        <f>IFERROR(SUMPRODUCT((TEXT(CC!$C$3:$C$1000,"0")=TEXT(C158,"0"))*IFERROR(CC!$E$3:$E$1000+0,0)),0)</f>
      </c>
      <c r="H158" s="56"/>
      <c r="I158" s="95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57" t="str">
        <f>IF(C158&lt;&gt;"",_xlfn.XLOOKUP(TEXT(C158,"0"),TEXT(CC!$C$3:$C$1000,"0"),CC!$G$3:$G$1000,""),"")</f>
        <v/>
      </c>
    </row>
    <row r="159" spans="7:12" x14ac:dyDescent="0.25">
      <c r="G159" s="70">
        <f>IFERROR(SUMPRODUCT((TEXT(CC!$C$3:$C$1000,"0")=TEXT(C159,"0"))*IFERROR(CC!$E$3:$E$1000+0,0)),0)</f>
      </c>
      <c r="H159" s="56"/>
      <c r="I159" s="95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57" t="str">
        <f>IF(C159&lt;&gt;"",_xlfn.XLOOKUP(TEXT(C159,"0"),TEXT(CC!$C$3:$C$1000,"0"),CC!$G$3:$G$1000,""),"")</f>
        <v/>
      </c>
    </row>
    <row r="160" spans="7:12" x14ac:dyDescent="0.25">
      <c r="G160" s="70">
        <f>IFERROR(SUMPRODUCT((TEXT(CC!$C$3:$C$1000,"0")=TEXT(C160,"0"))*IFERROR(CC!$E$3:$E$1000+0,0)),0)</f>
      </c>
      <c r="H160" s="56"/>
      <c r="I160" s="95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57" t="str">
        <f>IF(C160&lt;&gt;"",_xlfn.XLOOKUP(TEXT(C160,"0"),TEXT(CC!$C$3:$C$1000,"0"),CC!$G$3:$G$1000,""),"")</f>
        <v/>
      </c>
    </row>
    <row r="161" spans="7:12" x14ac:dyDescent="0.25">
      <c r="G161" s="70">
        <f>IFERROR(SUMPRODUCT((TEXT(CC!$C$3:$C$1000,"0")=TEXT(C161,"0"))*IFERROR(CC!$E$3:$E$1000+0,0)),0)</f>
      </c>
      <c r="H161" s="56"/>
      <c r="I161" s="95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57" t="str">
        <f>IF(C161&lt;&gt;"",_xlfn.XLOOKUP(TEXT(C161,"0"),TEXT(CC!$C$3:$C$1000,"0"),CC!$G$3:$G$1000,""),"")</f>
        <v/>
      </c>
    </row>
    <row r="162" spans="7:12" x14ac:dyDescent="0.25">
      <c r="G162" s="70">
        <f>IFERROR(SUMPRODUCT((TEXT(CC!$C$3:$C$1000,"0")=TEXT(C162,"0"))*IFERROR(CC!$E$3:$E$1000+0,0)),0)</f>
      </c>
      <c r="H162" s="56"/>
      <c r="I162" s="95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57" t="str">
        <f>IF(C162&lt;&gt;"",_xlfn.XLOOKUP(TEXT(C162,"0"),TEXT(CC!$C$3:$C$1000,"0"),CC!$G$3:$G$1000,""),"")</f>
        <v/>
      </c>
    </row>
    <row r="163" spans="7:12" x14ac:dyDescent="0.25">
      <c r="G163" s="70">
        <f>IFERROR(SUMPRODUCT((TEXT(CC!$C$3:$C$1000,"0")=TEXT(C163,"0"))*IFERROR(CC!$E$3:$E$1000+0,0)),0)</f>
      </c>
      <c r="H163" s="56"/>
      <c r="I163" s="95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57" t="str">
        <f>IF(C163&lt;&gt;"",_xlfn.XLOOKUP(TEXT(C163,"0"),TEXT(CC!$C$3:$C$1000,"0"),CC!$G$3:$G$1000,""),"")</f>
        <v/>
      </c>
    </row>
    <row r="164" spans="7:12" x14ac:dyDescent="0.25">
      <c r="G164" s="70">
        <f>IFERROR(SUMPRODUCT((TEXT(CC!$C$3:$C$1000,"0")=TEXT(C164,"0"))*IFERROR(CC!$E$3:$E$1000+0,0)),0)</f>
      </c>
      <c r="H164" s="56"/>
      <c r="I164" s="95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57" t="str">
        <f>IF(C164&lt;&gt;"",_xlfn.XLOOKUP(TEXT(C164,"0"),TEXT(CC!$C$3:$C$1000,"0"),CC!$G$3:$G$1000,""),"")</f>
        <v/>
      </c>
    </row>
    <row r="165" spans="7:12" x14ac:dyDescent="0.25">
      <c r="G165" s="70">
        <f>IFERROR(SUMPRODUCT((TEXT(CC!$C$3:$C$1000,"0")=TEXT(C165,"0"))*IFERROR(CC!$E$3:$E$1000+0,0)),0)</f>
      </c>
      <c r="H165" s="56"/>
      <c r="I165" s="95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57" t="str">
        <f>IF(C165&lt;&gt;"",_xlfn.XLOOKUP(TEXT(C165,"0"),TEXT(CC!$C$3:$C$1000,"0"),CC!$G$3:$G$1000,""),"")</f>
        <v/>
      </c>
    </row>
    <row r="166" spans="7:12" x14ac:dyDescent="0.25">
      <c r="G166" s="70">
        <f>IFERROR(SUMPRODUCT((TEXT(CC!$C$3:$C$1000,"0")=TEXT(C166,"0"))*IFERROR(CC!$E$3:$E$1000+0,0)),0)</f>
      </c>
      <c r="H166" s="56"/>
      <c r="I166" s="95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57" t="str">
        <f>IF(C166&lt;&gt;"",_xlfn.XLOOKUP(TEXT(C166,"0"),TEXT(CC!$C$3:$C$1000,"0"),CC!$G$3:$G$1000,""),"")</f>
        <v/>
      </c>
    </row>
    <row r="167" spans="7:12" x14ac:dyDescent="0.25">
      <c r="G167" s="70">
        <f>IFERROR(SUMPRODUCT((TEXT(CC!$C$3:$C$1000,"0")=TEXT(C167,"0"))*IFERROR(CC!$E$3:$E$1000+0,0)),0)</f>
      </c>
      <c r="H167" s="56"/>
      <c r="I167" s="95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57" t="str">
        <f>IF(C167&lt;&gt;"",_xlfn.XLOOKUP(TEXT(C167,"0"),TEXT(CC!$C$3:$C$1000,"0"),CC!$G$3:$G$1000,""),"")</f>
        <v/>
      </c>
    </row>
    <row r="168" spans="7:12" x14ac:dyDescent="0.25">
      <c r="G168" s="70">
        <f>IFERROR(SUMPRODUCT((TEXT(CC!$C$3:$C$1000,"0")=TEXT(C168,"0"))*IFERROR(CC!$E$3:$E$1000+0,0)),0)</f>
      </c>
      <c r="H168" s="56"/>
      <c r="I168" s="95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57" t="str">
        <f>IF(C168&lt;&gt;"",_xlfn.XLOOKUP(TEXT(C168,"0"),TEXT(CC!$C$3:$C$1000,"0"),CC!$G$3:$G$1000,""),"")</f>
        <v/>
      </c>
    </row>
    <row r="169" spans="7:12" x14ac:dyDescent="0.25">
      <c r="G169" s="70">
        <f>IFERROR(SUMPRODUCT((TEXT(CC!$C$3:$C$1000,"0")=TEXT(C169,"0"))*IFERROR(CC!$E$3:$E$1000+0,0)),0)</f>
      </c>
      <c r="H169" s="56"/>
      <c r="I169" s="95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57" t="str">
        <f>IF(C169&lt;&gt;"",_xlfn.XLOOKUP(TEXT(C169,"0"),TEXT(CC!$C$3:$C$1000,"0"),CC!$G$3:$G$1000,""),"")</f>
        <v/>
      </c>
    </row>
    <row r="170" spans="7:12" x14ac:dyDescent="0.25">
      <c r="G170" s="70">
        <f>IFERROR(SUMPRODUCT((TEXT(CC!$C$3:$C$1000,"0")=TEXT(C170,"0"))*IFERROR(CC!$E$3:$E$1000+0,0)),0)</f>
      </c>
      <c r="H170" s="56"/>
      <c r="I170" s="95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57" t="str">
        <f>IF(C170&lt;&gt;"",_xlfn.XLOOKUP(TEXT(C170,"0"),TEXT(CC!$C$3:$C$1000,"0"),CC!$G$3:$G$1000,""),"")</f>
        <v/>
      </c>
    </row>
    <row r="171" spans="7:12" x14ac:dyDescent="0.25">
      <c r="G171" s="70">
        <f>IFERROR(SUMPRODUCT((TEXT(CC!$C$3:$C$1000,"0")=TEXT(C171,"0"))*IFERROR(CC!$E$3:$E$1000+0,0)),0)</f>
      </c>
      <c r="H171" s="56"/>
      <c r="I171" s="95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57" t="str">
        <f>IF(C171&lt;&gt;"",_xlfn.XLOOKUP(TEXT(C171,"0"),TEXT(CC!$C$3:$C$1000,"0"),CC!$G$3:$G$1000,""),"")</f>
        <v/>
      </c>
    </row>
    <row r="172" spans="7:12" x14ac:dyDescent="0.25">
      <c r="G172" s="70">
        <f>IFERROR(SUMPRODUCT((TEXT(CC!$C$3:$C$1000,"0")=TEXT(C172,"0"))*IFERROR(CC!$E$3:$E$1000+0,0)),0)</f>
      </c>
      <c r="H172" s="56"/>
      <c r="I172" s="95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57" t="str">
        <f>IF(C172&lt;&gt;"",_xlfn.XLOOKUP(TEXT(C172,"0"),TEXT(CC!$C$3:$C$1000,"0"),CC!$G$3:$G$1000,""),"")</f>
        <v/>
      </c>
    </row>
    <row r="173" spans="7:12" x14ac:dyDescent="0.25">
      <c r="G173" s="70">
        <f>IFERROR(SUMPRODUCT((TEXT(CC!$C$3:$C$1000,"0")=TEXT(C173,"0"))*IFERROR(CC!$E$3:$E$1000+0,0)),0)</f>
      </c>
      <c r="H173" s="56"/>
      <c r="I173" s="95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57" t="str">
        <f>IF(C173&lt;&gt;"",_xlfn.XLOOKUP(TEXT(C173,"0"),TEXT(CC!$C$3:$C$1000,"0"),CC!$G$3:$G$1000,""),"")</f>
        <v/>
      </c>
    </row>
    <row r="174" spans="7:12" x14ac:dyDescent="0.25">
      <c r="G174" s="70">
        <f>IFERROR(SUMPRODUCT((TEXT(CC!$C$3:$C$1000,"0")=TEXT(C174,"0"))*IFERROR(CC!$E$3:$E$1000+0,0)),0)</f>
      </c>
      <c r="H174" s="56"/>
      <c r="I174" s="95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57" t="str">
        <f>IF(C174&lt;&gt;"",_xlfn.XLOOKUP(TEXT(C174,"0"),TEXT(CC!$C$3:$C$1000,"0"),CC!$G$3:$G$1000,""),"")</f>
        <v/>
      </c>
    </row>
    <row r="175" spans="7:12" x14ac:dyDescent="0.25">
      <c r="G175" s="70">
        <f>IFERROR(SUMPRODUCT((TEXT(CC!$C$3:$C$1000,"0")=TEXT(C175,"0"))*IFERROR(CC!$E$3:$E$1000+0,0)),0)</f>
      </c>
      <c r="H175" s="56"/>
      <c r="I175" s="95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57" t="str">
        <f>IF(C175&lt;&gt;"",_xlfn.XLOOKUP(TEXT(C175,"0"),TEXT(CC!$C$3:$C$1000,"0"),CC!$G$3:$G$1000,""),"")</f>
        <v/>
      </c>
    </row>
    <row r="176" spans="7:12" x14ac:dyDescent="0.25">
      <c r="G176" s="70">
        <f>IFERROR(SUMPRODUCT((TEXT(CC!$C$3:$C$1000,"0")=TEXT(C176,"0"))*IFERROR(CC!$E$3:$E$1000+0,0)),0)</f>
      </c>
      <c r="H176" s="56"/>
      <c r="I176" s="95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57" t="str">
        <f>IF(C176&lt;&gt;"",_xlfn.XLOOKUP(TEXT(C176,"0"),TEXT(CC!$C$3:$C$1000,"0"),CC!$G$3:$G$1000,""),"")</f>
        <v/>
      </c>
    </row>
    <row r="177" spans="7:12" x14ac:dyDescent="0.25">
      <c r="G177" s="70">
        <f>IFERROR(SUMPRODUCT((TEXT(CC!$C$3:$C$1000,"0")=TEXT(C177,"0"))*IFERROR(CC!$E$3:$E$1000+0,0)),0)</f>
      </c>
      <c r="H177" s="56"/>
      <c r="I177" s="95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57" t="str">
        <f>IF(C177&lt;&gt;"",_xlfn.XLOOKUP(TEXT(C177,"0"),TEXT(CC!$C$3:$C$1000,"0"),CC!$G$3:$G$1000,""),"")</f>
        <v/>
      </c>
    </row>
    <row r="178" spans="7:12" x14ac:dyDescent="0.25">
      <c r="G178" s="70">
        <f>IFERROR(SUMPRODUCT((TEXT(CC!$C$3:$C$1000,"0")=TEXT(C178,"0"))*IFERROR(CC!$E$3:$E$1000+0,0)),0)</f>
      </c>
      <c r="H178" s="56"/>
      <c r="I178" s="95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57" t="str">
        <f>IF(C178&lt;&gt;"",_xlfn.XLOOKUP(TEXT(C178,"0"),TEXT(CC!$C$3:$C$1000,"0"),CC!$G$3:$G$1000,""),"")</f>
        <v/>
      </c>
    </row>
    <row r="179" spans="7:12" x14ac:dyDescent="0.25">
      <c r="G179" s="70">
        <f>IFERROR(SUMPRODUCT((TEXT(CC!$C$3:$C$1000,"0")=TEXT(C179,"0"))*IFERROR(CC!$E$3:$E$1000+0,0)),0)</f>
      </c>
      <c r="H179" s="56"/>
      <c r="I179" s="95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57" t="str">
        <f>IF(C179&lt;&gt;"",_xlfn.XLOOKUP(TEXT(C179,"0"),TEXT(CC!$C$3:$C$1000,"0"),CC!$G$3:$G$1000,""),"")</f>
        <v/>
      </c>
    </row>
    <row r="180" spans="7:12" x14ac:dyDescent="0.25">
      <c r="G180" s="70">
        <f>IFERROR(SUMPRODUCT((TEXT(CC!$C$3:$C$1000,"0")=TEXT(C180,"0"))*IFERROR(CC!$E$3:$E$1000+0,0)),0)</f>
      </c>
      <c r="H180" s="56"/>
      <c r="I180" s="95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57" t="str">
        <f>IF(C180&lt;&gt;"",_xlfn.XLOOKUP(TEXT(C180,"0"),TEXT(CC!$C$3:$C$1000,"0"),CC!$G$3:$G$1000,""),"")</f>
        <v/>
      </c>
    </row>
    <row r="181" spans="7:12" x14ac:dyDescent="0.25">
      <c r="G181" s="70">
        <f>IFERROR(SUMPRODUCT((TEXT(CC!$C$3:$C$1000,"0")=TEXT(C181,"0"))*IFERROR(CC!$E$3:$E$1000+0,0)),0)</f>
      </c>
      <c r="H181" s="56"/>
      <c r="I181" s="95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57" t="str">
        <f>IF(C181&lt;&gt;"",_xlfn.XLOOKUP(TEXT(C181,"0"),TEXT(CC!$C$3:$C$1000,"0"),CC!$G$3:$G$1000,""),"")</f>
        <v/>
      </c>
    </row>
    <row r="182" spans="7:12" x14ac:dyDescent="0.25">
      <c r="G182" s="70">
        <f>IFERROR(SUMPRODUCT((TEXT(CC!$C$3:$C$1000,"0")=TEXT(C182,"0"))*IFERROR(CC!$E$3:$E$1000+0,0)),0)</f>
      </c>
      <c r="H182" s="56"/>
      <c r="I182" s="95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57" t="str">
        <f>IF(C182&lt;&gt;"",_xlfn.XLOOKUP(TEXT(C182,"0"),TEXT(CC!$C$3:$C$1000,"0"),CC!$G$3:$G$1000,""),"")</f>
        <v/>
      </c>
    </row>
    <row r="183" spans="7:12" x14ac:dyDescent="0.25">
      <c r="G183" s="70">
        <f>IFERROR(SUMPRODUCT((TEXT(CC!$C$3:$C$1000,"0")=TEXT(C183,"0"))*IFERROR(CC!$E$3:$E$1000+0,0)),0)</f>
      </c>
      <c r="H183" s="56"/>
      <c r="I183" s="95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57" t="str">
        <f>IF(C183&lt;&gt;"",_xlfn.XLOOKUP(TEXT(C183,"0"),TEXT(CC!$C$3:$C$1000,"0"),CC!$G$3:$G$1000,""),"")</f>
        <v/>
      </c>
    </row>
    <row r="184" spans="7:12" x14ac:dyDescent="0.25">
      <c r="G184" s="70">
        <f>IFERROR(SUMPRODUCT((TEXT(CC!$C$3:$C$1000,"0")=TEXT(C184,"0"))*IFERROR(CC!$E$3:$E$1000+0,0)),0)</f>
      </c>
      <c r="H184" s="56"/>
      <c r="I184" s="95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57" t="str">
        <f>IF(C184&lt;&gt;"",_xlfn.XLOOKUP(TEXT(C184,"0"),TEXT(CC!$C$3:$C$1000,"0"),CC!$G$3:$G$1000,""),"")</f>
        <v/>
      </c>
    </row>
    <row r="185" spans="7:12" x14ac:dyDescent="0.25">
      <c r="G185" s="70">
        <f>IFERROR(SUMPRODUCT((TEXT(CC!$C$3:$C$1000,"0")=TEXT(C185,"0"))*IFERROR(CC!$E$3:$E$1000+0,0)),0)</f>
      </c>
      <c r="H185" s="56"/>
      <c r="I185" s="95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57" t="str">
        <f>IF(C185&lt;&gt;"",_xlfn.XLOOKUP(TEXT(C185,"0"),TEXT(CC!$C$3:$C$1000,"0"),CC!$G$3:$G$1000,""),"")</f>
        <v/>
      </c>
    </row>
    <row r="186" spans="7:12" x14ac:dyDescent="0.25">
      <c r="G186" s="70">
        <f>IFERROR(SUMPRODUCT((TEXT(CC!$C$3:$C$1000,"0")=TEXT(C186,"0"))*IFERROR(CC!$E$3:$E$1000+0,0)),0)</f>
      </c>
      <c r="H186" s="56"/>
      <c r="I186" s="95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57" t="str">
        <f>IF(C186&lt;&gt;"",_xlfn.XLOOKUP(TEXT(C186,"0"),TEXT(CC!$C$3:$C$1000,"0"),CC!$G$3:$G$1000,""),"")</f>
        <v/>
      </c>
    </row>
    <row r="187" spans="7:12" x14ac:dyDescent="0.25">
      <c r="G187" s="70">
        <f>IFERROR(SUMPRODUCT((TEXT(CC!$C$3:$C$1000,"0")=TEXT(C187,"0"))*IFERROR(CC!$E$3:$E$1000+0,0)),0)</f>
      </c>
      <c r="H187" s="56"/>
      <c r="I187" s="95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57" t="str">
        <f>IF(C187&lt;&gt;"",_xlfn.XLOOKUP(TEXT(C187,"0"),TEXT(CC!$C$3:$C$1000,"0"),CC!$G$3:$G$1000,""),"")</f>
        <v/>
      </c>
    </row>
    <row r="188" spans="7:12" x14ac:dyDescent="0.25">
      <c r="G188" s="70">
        <f>IFERROR(SUMPRODUCT((TEXT(CC!$C$3:$C$1000,"0")=TEXT(C188,"0"))*IFERROR(CC!$E$3:$E$1000+0,0)),0)</f>
      </c>
      <c r="H188" s="56"/>
      <c r="I188" s="95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57" t="str">
        <f>IF(C188&lt;&gt;"",_xlfn.XLOOKUP(TEXT(C188,"0"),TEXT(CC!$C$3:$C$1000,"0"),CC!$G$3:$G$1000,""),"")</f>
        <v/>
      </c>
    </row>
    <row r="189" spans="7:12" x14ac:dyDescent="0.25">
      <c r="G189" s="70">
        <f>IFERROR(SUMPRODUCT((TEXT(CC!$C$3:$C$1000,"0")=TEXT(C189,"0"))*IFERROR(CC!$E$3:$E$1000+0,0)),0)</f>
      </c>
      <c r="H189" s="56"/>
      <c r="I189" s="95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57" t="str">
        <f>IF(C189&lt;&gt;"",_xlfn.XLOOKUP(TEXT(C189,"0"),TEXT(CC!$C$3:$C$1000,"0"),CC!$G$3:$G$1000,""),"")</f>
        <v/>
      </c>
    </row>
    <row r="190" spans="7:12" x14ac:dyDescent="0.25">
      <c r="G190" s="70">
        <f>IFERROR(SUMPRODUCT((TEXT(CC!$C$3:$C$1000,"0")=TEXT(C190,"0"))*IFERROR(CC!$E$3:$E$1000+0,0)),0)</f>
      </c>
      <c r="H190" s="56"/>
      <c r="I190" s="95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57" t="str">
        <f>IF(C190&lt;&gt;"",_xlfn.XLOOKUP(TEXT(C190,"0"),TEXT(CC!$C$3:$C$1000,"0"),CC!$G$3:$G$1000,""),"")</f>
        <v/>
      </c>
    </row>
    <row r="191" spans="7:12" x14ac:dyDescent="0.25">
      <c r="G191" s="70">
        <f>IFERROR(SUMPRODUCT((TEXT(CC!$C$3:$C$1000,"0")=TEXT(C191,"0"))*IFERROR(CC!$E$3:$E$1000+0,0)),0)</f>
      </c>
      <c r="H191" s="56"/>
      <c r="I191" s="95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57" t="str">
        <f>IF(C191&lt;&gt;"",_xlfn.XLOOKUP(TEXT(C191,"0"),TEXT(CC!$C$3:$C$1000,"0"),CC!$G$3:$G$1000,""),"")</f>
        <v/>
      </c>
    </row>
    <row r="192" spans="7:12" x14ac:dyDescent="0.25">
      <c r="G192" s="70">
        <f>IFERROR(SUMPRODUCT((TEXT(CC!$C$3:$C$1000,"0")=TEXT(C192,"0"))*IFERROR(CC!$E$3:$E$1000+0,0)),0)</f>
      </c>
      <c r="H192" s="56"/>
      <c r="I192" s="95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57" t="str">
        <f>IF(C192&lt;&gt;"",_xlfn.XLOOKUP(TEXT(C192,"0"),TEXT(CC!$C$3:$C$1000,"0"),CC!$G$3:$G$1000,""),"")</f>
        <v/>
      </c>
    </row>
    <row r="193" spans="7:12" x14ac:dyDescent="0.25">
      <c r="G193" s="70">
        <f>IFERROR(SUMPRODUCT((TEXT(CC!$C$3:$C$1000,"0")=TEXT(C193,"0"))*IFERROR(CC!$E$3:$E$1000+0,0)),0)</f>
      </c>
      <c r="H193" s="56"/>
      <c r="I193" s="95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57" t="str">
        <f>IF(C193&lt;&gt;"",_xlfn.XLOOKUP(TEXT(C193,"0"),TEXT(CC!$C$3:$C$1000,"0"),CC!$G$3:$G$1000,""),"")</f>
        <v/>
      </c>
    </row>
    <row r="194" spans="7:12" x14ac:dyDescent="0.25">
      <c r="G194" s="70">
        <f>IFERROR(SUMPRODUCT((TEXT(CC!$C$3:$C$1000,"0")=TEXT(C194,"0"))*IFERROR(CC!$E$3:$E$1000+0,0)),0)</f>
      </c>
      <c r="H194" s="56"/>
      <c r="I194" s="95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57" t="str">
        <f>IF(C194&lt;&gt;"",_xlfn.XLOOKUP(TEXT(C194,"0"),TEXT(CC!$C$3:$C$1000,"0"),CC!$G$3:$G$1000,""),"")</f>
        <v/>
      </c>
    </row>
    <row r="195" spans="7:12" x14ac:dyDescent="0.25">
      <c r="G195" s="70">
        <f>IFERROR(SUMPRODUCT((TEXT(CC!$C$3:$C$1000,"0")=TEXT(C195,"0"))*IFERROR(CC!$E$3:$E$1000+0,0)),0)</f>
      </c>
      <c r="H195" s="56"/>
      <c r="I195" s="95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57" t="str">
        <f>IF(C195&lt;&gt;"",_xlfn.XLOOKUP(TEXT(C195,"0"),TEXT(CC!$C$3:$C$1000,"0"),CC!$G$3:$G$1000,""),"")</f>
        <v/>
      </c>
    </row>
    <row r="196" spans="7:12" x14ac:dyDescent="0.25">
      <c r="G196" s="70">
        <f>IFERROR(SUMPRODUCT((TEXT(CC!$C$3:$C$1000,"0")=TEXT(C196,"0"))*IFERROR(CC!$E$3:$E$1000+0,0)),0)</f>
      </c>
      <c r="H196" s="56"/>
      <c r="I196" s="95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57" t="str">
        <f>IF(C196&lt;&gt;"",_xlfn.XLOOKUP(TEXT(C196,"0"),TEXT(CC!$C$3:$C$1000,"0"),CC!$G$3:$G$1000,""),"")</f>
        <v/>
      </c>
    </row>
    <row r="197" spans="7:12" x14ac:dyDescent="0.25">
      <c r="G197" s="70">
        <f>IFERROR(SUMPRODUCT((TEXT(CC!$C$3:$C$1000,"0")=TEXT(C197,"0"))*IFERROR(CC!$E$3:$E$1000+0,0)),0)</f>
      </c>
      <c r="H197" s="56"/>
      <c r="I197" s="95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57" t="str">
        <f>IF(C197&lt;&gt;"",_xlfn.XLOOKUP(TEXT(C197,"0"),TEXT(CC!$C$3:$C$1000,"0"),CC!$G$3:$G$1000,""),"")</f>
        <v/>
      </c>
    </row>
    <row r="198" spans="7:12" x14ac:dyDescent="0.25">
      <c r="G198" s="70">
        <f>IFERROR(SUMPRODUCT((TEXT(CC!$C$3:$C$1000,"0")=TEXT(C198,"0"))*IFERROR(CC!$E$3:$E$1000+0,0)),0)</f>
      </c>
      <c r="H198" s="56"/>
      <c r="I198" s="95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57" t="str">
        <f>IF(C198&lt;&gt;"",_xlfn.XLOOKUP(TEXT(C198,"0"),TEXT(CC!$C$3:$C$1000,"0"),CC!$G$3:$G$1000,""),"")</f>
        <v/>
      </c>
    </row>
    <row r="199" spans="7:12" x14ac:dyDescent="0.25">
      <c r="G199" s="70">
        <f>IFERROR(SUMPRODUCT((TEXT(CC!$C$3:$C$1000,"0")=TEXT(C199,"0"))*IFERROR(CC!$E$3:$E$1000+0,0)),0)</f>
      </c>
      <c r="H199" s="56"/>
      <c r="I199" s="95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57" t="str">
        <f>IF(C199&lt;&gt;"",_xlfn.XLOOKUP(TEXT(C199,"0"),TEXT(CC!$C$3:$C$1000,"0"),CC!$G$3:$G$1000,""),"")</f>
        <v/>
      </c>
    </row>
    <row r="200" spans="7:12" x14ac:dyDescent="0.25">
      <c r="G200" s="70">
        <f>IFERROR(SUMPRODUCT((TEXT(CC!$C$3:$C$1000,"0")=TEXT(C200,"0"))*IFERROR(CC!$E$3:$E$1000+0,0)),0)</f>
      </c>
      <c r="H200" s="56"/>
      <c r="I200" s="95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57" t="str">
        <f>IF(C200&lt;&gt;"",_xlfn.XLOOKUP(TEXT(C200,"0"),TEXT(CC!$C$3:$C$1000,"0"),CC!$G$3:$G$1000,""),"")</f>
        <v/>
      </c>
    </row>
    <row r="201" spans="7:12" x14ac:dyDescent="0.25">
      <c r="G201" s="70">
        <f>IFERROR(SUMPRODUCT((TEXT(CC!$C$3:$C$1000,"0")=TEXT(C201,"0"))*IFERROR(CC!$E$3:$E$1000+0,0)),0)</f>
      </c>
      <c r="H201" s="56"/>
      <c r="I201" s="95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57" t="str">
        <f>IF(C201&lt;&gt;"",_xlfn.XLOOKUP(TEXT(C201,"0"),TEXT(CC!$C$3:$C$1000,"0"),CC!$G$3:$G$1000,""),"")</f>
        <v/>
      </c>
    </row>
    <row r="202" spans="7:12" x14ac:dyDescent="0.25">
      <c r="G202" s="70">
        <f>IFERROR(SUMPRODUCT((TEXT(CC!$C$3:$C$1000,"0")=TEXT(C202,"0"))*IFERROR(CC!$E$3:$E$1000+0,0)),0)</f>
      </c>
      <c r="H202" s="56"/>
      <c r="I202" s="95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57" t="str">
        <f>IF(C202&lt;&gt;"",_xlfn.XLOOKUP(TEXT(C202,"0"),TEXT(CC!$C$3:$C$1000,"0"),CC!$G$3:$G$1000,""),"")</f>
        <v/>
      </c>
    </row>
    <row r="203" spans="7:12" x14ac:dyDescent="0.25">
      <c r="G203" s="70">
        <f>IFERROR(SUMPRODUCT((TEXT(CC!$C$3:$C$1000,"0")=TEXT(C203,"0"))*IFERROR(CC!$E$3:$E$1000+0,0)),0)</f>
      </c>
      <c r="H203" s="56"/>
      <c r="I203" s="95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57" t="str">
        <f>IF(C203&lt;&gt;"",_xlfn.XLOOKUP(TEXT(C203,"0"),TEXT(CC!$C$3:$C$1000,"0"),CC!$G$3:$G$1000,""),"")</f>
        <v/>
      </c>
    </row>
    <row r="204" spans="7:12" x14ac:dyDescent="0.25">
      <c r="G204" s="70">
        <f>IFERROR(SUMPRODUCT((TEXT(CC!$C$3:$C$1000,"0")=TEXT(C204,"0"))*IFERROR(CC!$E$3:$E$1000+0,0)),0)</f>
      </c>
      <c r="H204" s="56"/>
      <c r="I204" s="95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57" t="str">
        <f>IF(C204&lt;&gt;"",_xlfn.XLOOKUP(TEXT(C204,"0"),TEXT(CC!$C$3:$C$1000,"0"),CC!$G$3:$G$1000,""),"")</f>
        <v/>
      </c>
    </row>
    <row r="205" spans="7:12" x14ac:dyDescent="0.25">
      <c r="G205" s="70">
        <f>IFERROR(SUMPRODUCT((TEXT(CC!$C$3:$C$1000,"0")=TEXT(C205,"0"))*IFERROR(CC!$E$3:$E$1000+0,0)),0)</f>
      </c>
      <c r="H205" s="56"/>
      <c r="I205" s="95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57" t="str">
        <f>IF(C205&lt;&gt;"",_xlfn.XLOOKUP(TEXT(C205,"0"),TEXT(CC!$C$3:$C$1000,"0"),CC!$G$3:$G$1000,""),"")</f>
        <v/>
      </c>
    </row>
    <row r="206" spans="7:12" x14ac:dyDescent="0.25">
      <c r="G206" s="70">
        <f>IFERROR(SUMPRODUCT((TEXT(CC!$C$3:$C$1000,"0")=TEXT(C206,"0"))*IFERROR(CC!$E$3:$E$1000+0,0)),0)</f>
      </c>
      <c r="H206" s="56"/>
      <c r="I206" s="95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57" t="str">
        <f>IF(C206&lt;&gt;"",_xlfn.XLOOKUP(TEXT(C206,"0"),TEXT(CC!$C$3:$C$1000,"0"),CC!$G$3:$G$1000,""),"")</f>
        <v/>
      </c>
    </row>
    <row r="207" spans="7:12" x14ac:dyDescent="0.25">
      <c r="G207" s="70">
        <f>IFERROR(SUMPRODUCT((TEXT(CC!$C$3:$C$1000,"0")=TEXT(C207,"0"))*IFERROR(CC!$E$3:$E$1000+0,0)),0)</f>
      </c>
      <c r="H207" s="56"/>
      <c r="I207" s="95" t="str">
        <f t="shared" ref="I207:I270" si="16">IF(J207&lt;&gt;0,"511011","")</f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57" t="str">
        <f>IF(C207&lt;&gt;"",_xlfn.XLOOKUP(TEXT(C207,"0"),TEXT(CC!$C$3:$C$1000,"0"),CC!$G$3:$G$1000,""),"")</f>
        <v/>
      </c>
    </row>
    <row r="208" spans="7:12" x14ac:dyDescent="0.25">
      <c r="G208" s="70">
        <f>IFERROR(SUMPRODUCT((TEXT(CC!$C$3:$C$1000,"0")=TEXT(C208,"0"))*IFERROR(CC!$E$3:$E$1000+0,0)),0)</f>
      </c>
      <c r="H208" s="56"/>
      <c r="I208" s="95" t="str">
        <f t="shared" si="16"/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57" t="str">
        <f>IF(C208&lt;&gt;"",_xlfn.XLOOKUP(TEXT(C208,"0"),TEXT(CC!$C$3:$C$1000,"0"),CC!$G$3:$G$1000,""),"")</f>
        <v/>
      </c>
    </row>
    <row r="209" spans="7:12" x14ac:dyDescent="0.25">
      <c r="G209" s="70">
        <f>IFERROR(SUMPRODUCT((TEXT(CC!$C$3:$C$1000,"0")=TEXT(C209,"0"))*IFERROR(CC!$E$3:$E$1000+0,0)),0)</f>
      </c>
      <c r="H209" s="56"/>
      <c r="I209" s="95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57" t="str">
        <f>IF(C209&lt;&gt;"",_xlfn.XLOOKUP(TEXT(C209,"0"),TEXT(CC!$C$3:$C$1000,"0"),CC!$G$3:$G$1000,""),"")</f>
        <v/>
      </c>
    </row>
    <row r="210" spans="7:12" x14ac:dyDescent="0.25">
      <c r="G210" s="70">
        <f>IFERROR(SUMPRODUCT((TEXT(CC!$C$3:$C$1000,"0")=TEXT(C210,"0"))*IFERROR(CC!$E$3:$E$1000+0,0)),0)</f>
      </c>
      <c r="H210" s="56"/>
      <c r="I210" s="95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57" t="str">
        <f>IF(C210&lt;&gt;"",_xlfn.XLOOKUP(TEXT(C210,"0"),TEXT(CC!$C$3:$C$1000,"0"),CC!$G$3:$G$1000,""),"")</f>
        <v/>
      </c>
    </row>
    <row r="211" spans="7:12" x14ac:dyDescent="0.25">
      <c r="G211" s="70">
        <f>IFERROR(SUMPRODUCT((TEXT(CC!$C$3:$C$1000,"0")=TEXT(C211,"0"))*IFERROR(CC!$E$3:$E$1000+0,0)),0)</f>
      </c>
      <c r="H211" s="56"/>
      <c r="I211" s="95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57" t="str">
        <f>IF(C211&lt;&gt;"",_xlfn.XLOOKUP(TEXT(C211,"0"),TEXT(CC!$C$3:$C$1000,"0"),CC!$G$3:$G$1000,""),"")</f>
        <v/>
      </c>
    </row>
    <row r="212" spans="7:12" x14ac:dyDescent="0.25">
      <c r="G212" s="70">
        <f>IFERROR(SUMPRODUCT((TEXT(CC!$C$3:$C$1000,"0")=TEXT(C212,"0"))*IFERROR(CC!$E$3:$E$1000+0,0)),0)</f>
      </c>
      <c r="H212" s="56"/>
      <c r="I212" s="95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57" t="str">
        <f>IF(C212&lt;&gt;"",_xlfn.XLOOKUP(TEXT(C212,"0"),TEXT(CC!$C$3:$C$1000,"0"),CC!$G$3:$G$1000,""),"")</f>
        <v/>
      </c>
    </row>
    <row r="213" spans="7:12" x14ac:dyDescent="0.25">
      <c r="G213" s="70">
        <f>IFERROR(SUMPRODUCT((TEXT(CC!$C$3:$C$1000,"0")=TEXT(C213,"0"))*IFERROR(CC!$E$3:$E$1000+0,0)),0)</f>
      </c>
      <c r="H213" s="56"/>
      <c r="I213" s="95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57" t="str">
        <f>IF(C213&lt;&gt;"",_xlfn.XLOOKUP(TEXT(C213,"0"),TEXT(CC!$C$3:$C$1000,"0"),CC!$G$3:$G$1000,""),"")</f>
        <v/>
      </c>
    </row>
    <row r="214" spans="7:12" x14ac:dyDescent="0.25">
      <c r="G214" s="70">
        <f>IFERROR(SUMPRODUCT((TEXT(CC!$C$3:$C$1000,"0")=TEXT(C214,"0"))*IFERROR(CC!$E$3:$E$1000+0,0)),0)</f>
      </c>
      <c r="H214" s="56"/>
      <c r="I214" s="95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57" t="str">
        <f>IF(C214&lt;&gt;"",_xlfn.XLOOKUP(TEXT(C214,"0"),TEXT(CC!$C$3:$C$1000,"0"),CC!$G$3:$G$1000,""),"")</f>
        <v/>
      </c>
    </row>
    <row r="215" spans="7:12" x14ac:dyDescent="0.25">
      <c r="G215" s="70">
        <f>IFERROR(SUMPRODUCT((TEXT(CC!$C$3:$C$1000,"0")=TEXT(C215,"0"))*IFERROR(CC!$E$3:$E$1000+0,0)),0)</f>
      </c>
      <c r="H215" s="56"/>
      <c r="I215" s="95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57" t="str">
        <f>IF(C215&lt;&gt;"",_xlfn.XLOOKUP(TEXT(C215,"0"),TEXT(CC!$C$3:$C$1000,"0"),CC!$G$3:$G$1000,""),"")</f>
        <v/>
      </c>
    </row>
    <row r="216" spans="7:12" x14ac:dyDescent="0.25">
      <c r="G216" s="70">
        <f>IFERROR(SUMPRODUCT((TEXT(CC!$C$3:$C$1000,"0")=TEXT(C216,"0"))*IFERROR(CC!$E$3:$E$1000+0,0)),0)</f>
      </c>
      <c r="H216" s="56"/>
      <c r="I216" s="95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57" t="str">
        <f>IF(C216&lt;&gt;"",_xlfn.XLOOKUP(TEXT(C216,"0"),TEXT(CC!$C$3:$C$1000,"0"),CC!$G$3:$G$1000,""),"")</f>
        <v/>
      </c>
    </row>
    <row r="217" spans="7:12" x14ac:dyDescent="0.25">
      <c r="G217" s="70">
        <f>IFERROR(SUMPRODUCT((TEXT(CC!$C$3:$C$1000,"0")=TEXT(C217,"0"))*IFERROR(CC!$E$3:$E$1000+0,0)),0)</f>
      </c>
      <c r="H217" s="56"/>
      <c r="I217" s="95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57" t="str">
        <f>IF(C217&lt;&gt;"",_xlfn.XLOOKUP(TEXT(C217,"0"),TEXT(CC!$C$3:$C$1000,"0"),CC!$G$3:$G$1000,""),"")</f>
        <v/>
      </c>
    </row>
    <row r="218" spans="7:12" x14ac:dyDescent="0.25">
      <c r="G218" s="70">
        <f>IFERROR(SUMPRODUCT((TEXT(CC!$C$3:$C$1000,"0")=TEXT(C218,"0"))*IFERROR(CC!$E$3:$E$1000+0,0)),0)</f>
      </c>
      <c r="H218" s="56"/>
      <c r="I218" s="95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57" t="str">
        <f>IF(C218&lt;&gt;"",_xlfn.XLOOKUP(TEXT(C218,"0"),TEXT(CC!$C$3:$C$1000,"0"),CC!$G$3:$G$1000,""),"")</f>
        <v/>
      </c>
    </row>
    <row r="219" spans="7:12" x14ac:dyDescent="0.25">
      <c r="G219" s="70">
        <f>IFERROR(SUMPRODUCT((TEXT(CC!$C$3:$C$1000,"0")=TEXT(C219,"0"))*IFERROR(CC!$E$3:$E$1000+0,0)),0)</f>
      </c>
      <c r="H219" s="56"/>
      <c r="I219" s="95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57" t="str">
        <f>IF(C219&lt;&gt;"",_xlfn.XLOOKUP(TEXT(C219,"0"),TEXT(CC!$C$3:$C$1000,"0"),CC!$G$3:$G$1000,""),"")</f>
        <v/>
      </c>
    </row>
    <row r="220" spans="7:12" x14ac:dyDescent="0.25">
      <c r="G220" s="70">
        <f>IFERROR(SUMPRODUCT((TEXT(CC!$C$3:$C$1000,"0")=TEXT(C220,"0"))*IFERROR(CC!$E$3:$E$1000+0,0)),0)</f>
      </c>
      <c r="H220" s="56"/>
      <c r="I220" s="95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57" t="str">
        <f>IF(C220&lt;&gt;"",_xlfn.XLOOKUP(TEXT(C220,"0"),TEXT(CC!$C$3:$C$1000,"0"),CC!$G$3:$G$1000,""),"")</f>
        <v/>
      </c>
    </row>
    <row r="221" spans="7:12" x14ac:dyDescent="0.25">
      <c r="G221" s="70">
        <f>IFERROR(SUMPRODUCT((TEXT(CC!$C$3:$C$1000,"0")=TEXT(C221,"0"))*IFERROR(CC!$E$3:$E$1000+0,0)),0)</f>
      </c>
      <c r="H221" s="56"/>
      <c r="I221" s="95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57" t="str">
        <f>IF(C221&lt;&gt;"",_xlfn.XLOOKUP(TEXT(C221,"0"),TEXT(CC!$C$3:$C$1000,"0"),CC!$G$3:$G$1000,""),"")</f>
        <v/>
      </c>
    </row>
    <row r="222" spans="7:12" x14ac:dyDescent="0.25">
      <c r="G222" s="70">
        <f>IFERROR(SUMPRODUCT((TEXT(CC!$C$3:$C$1000,"0")=TEXT(C222,"0"))*IFERROR(CC!$E$3:$E$1000+0,0)),0)</f>
      </c>
      <c r="H222" s="56"/>
      <c r="I222" s="95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57" t="str">
        <f>IF(C222&lt;&gt;"",_xlfn.XLOOKUP(TEXT(C222,"0"),TEXT(CC!$C$3:$C$1000,"0"),CC!$G$3:$G$1000,""),"")</f>
        <v/>
      </c>
    </row>
    <row r="223" spans="7:12" x14ac:dyDescent="0.25">
      <c r="G223" s="70">
        <f>IFERROR(SUMPRODUCT((TEXT(CC!$C$3:$C$1000,"0")=TEXT(C223,"0"))*IFERROR(CC!$E$3:$E$1000+0,0)),0)</f>
      </c>
      <c r="H223" s="56"/>
      <c r="I223" s="95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57" t="str">
        <f>IF(C223&lt;&gt;"",_xlfn.XLOOKUP(TEXT(C223,"0"),TEXT(CC!$C$3:$C$1000,"0"),CC!$G$3:$G$1000,""),"")</f>
        <v/>
      </c>
    </row>
    <row r="224" spans="7:12" x14ac:dyDescent="0.25">
      <c r="G224" s="70">
        <f>IFERROR(SUMPRODUCT((TEXT(CC!$C$3:$C$1000,"0")=TEXT(C224,"0"))*IFERROR(CC!$E$3:$E$1000+0,0)),0)</f>
      </c>
      <c r="H224" s="56"/>
      <c r="I224" s="95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57" t="str">
        <f>IF(C224&lt;&gt;"",_xlfn.XLOOKUP(TEXT(C224,"0"),TEXT(CC!$C$3:$C$1000,"0"),CC!$G$3:$G$1000,""),"")</f>
        <v/>
      </c>
    </row>
    <row r="225" spans="7:12" x14ac:dyDescent="0.25">
      <c r="G225" s="70">
        <f>IFERROR(SUMPRODUCT((TEXT(CC!$C$3:$C$1000,"0")=TEXT(C225,"0"))*IFERROR(CC!$E$3:$E$1000+0,0)),0)</f>
      </c>
      <c r="H225" s="56"/>
      <c r="I225" s="95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57" t="str">
        <f>IF(C225&lt;&gt;"",_xlfn.XLOOKUP(TEXT(C225,"0"),TEXT(CC!$C$3:$C$1000,"0"),CC!$G$3:$G$1000,""),"")</f>
        <v/>
      </c>
    </row>
    <row r="226" spans="7:12" x14ac:dyDescent="0.25">
      <c r="G226" s="70">
        <f>IFERROR(SUMPRODUCT((TEXT(CC!$C$3:$C$1000,"0")=TEXT(C226,"0"))*IFERROR(CC!$E$3:$E$1000+0,0)),0)</f>
      </c>
      <c r="H226" s="56"/>
      <c r="I226" s="95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57" t="str">
        <f>IF(C226&lt;&gt;"",_xlfn.XLOOKUP(TEXT(C226,"0"),TEXT(CC!$C$3:$C$1000,"0"),CC!$G$3:$G$1000,""),"")</f>
        <v/>
      </c>
    </row>
    <row r="227" spans="7:12" x14ac:dyDescent="0.25">
      <c r="G227" s="70">
        <f>IFERROR(SUMPRODUCT((TEXT(CC!$C$3:$C$1000,"0")=TEXT(C227,"0"))*IFERROR(CC!$E$3:$E$1000+0,0)),0)</f>
      </c>
      <c r="H227" s="56"/>
      <c r="I227" s="95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57" t="str">
        <f>IF(C227&lt;&gt;"",_xlfn.XLOOKUP(TEXT(C227,"0"),TEXT(CC!$C$3:$C$1000,"0"),CC!$G$3:$G$1000,""),"")</f>
        <v/>
      </c>
    </row>
    <row r="228" spans="7:12" x14ac:dyDescent="0.25">
      <c r="G228" s="70">
        <f>IFERROR(SUMPRODUCT((TEXT(CC!$C$3:$C$1000,"0")=TEXT(C228,"0"))*IFERROR(CC!$E$3:$E$1000+0,0)),0)</f>
      </c>
      <c r="H228" s="56"/>
      <c r="I228" s="95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57" t="str">
        <f>IF(C228&lt;&gt;"",_xlfn.XLOOKUP(TEXT(C228,"0"),TEXT(CC!$C$3:$C$1000,"0"),CC!$G$3:$G$1000,""),"")</f>
        <v/>
      </c>
    </row>
    <row r="229" spans="7:12" x14ac:dyDescent="0.25">
      <c r="G229" s="70">
        <f>IFERROR(SUMPRODUCT((TEXT(CC!$C$3:$C$1000,"0")=TEXT(C229,"0"))*IFERROR(CC!$E$3:$E$1000+0,0)),0)</f>
      </c>
      <c r="H229" s="56"/>
      <c r="I229" s="95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57" t="str">
        <f>IF(C229&lt;&gt;"",_xlfn.XLOOKUP(TEXT(C229,"0"),TEXT(CC!$C$3:$C$1000,"0"),CC!$G$3:$G$1000,""),"")</f>
        <v/>
      </c>
    </row>
    <row r="230" spans="7:12" x14ac:dyDescent="0.25">
      <c r="G230" s="70">
        <f>IFERROR(SUMPRODUCT((TEXT(CC!$C$3:$C$1000,"0")=TEXT(C230,"0"))*IFERROR(CC!$E$3:$E$1000+0,0)),0)</f>
      </c>
      <c r="H230" s="56"/>
      <c r="I230" s="95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57" t="str">
        <f>IF(C230&lt;&gt;"",_xlfn.XLOOKUP(TEXT(C230,"0"),TEXT(CC!$C$3:$C$1000,"0"),CC!$G$3:$G$1000,""),"")</f>
        <v/>
      </c>
    </row>
    <row r="231" spans="7:12" x14ac:dyDescent="0.25">
      <c r="G231" s="70">
        <f>IFERROR(SUMPRODUCT((TEXT(CC!$C$3:$C$1000,"0")=TEXT(C231,"0"))*IFERROR(CC!$E$3:$E$1000+0,0)),0)</f>
      </c>
      <c r="H231" s="56"/>
      <c r="I231" s="95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57" t="str">
        <f>IF(C231&lt;&gt;"",_xlfn.XLOOKUP(TEXT(C231,"0"),TEXT(CC!$C$3:$C$1000,"0"),CC!$G$3:$G$1000,""),"")</f>
        <v/>
      </c>
    </row>
    <row r="232" spans="7:12" x14ac:dyDescent="0.25">
      <c r="G232" s="70">
        <f>IFERROR(SUMPRODUCT((TEXT(CC!$C$3:$C$1000,"0")=TEXT(C232,"0"))*IFERROR(CC!$E$3:$E$1000+0,0)),0)</f>
      </c>
      <c r="H232" s="56"/>
      <c r="I232" s="95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57" t="str">
        <f>IF(C232&lt;&gt;"",_xlfn.XLOOKUP(TEXT(C232,"0"),TEXT(CC!$C$3:$C$1000,"0"),CC!$G$3:$G$1000,""),"")</f>
        <v/>
      </c>
    </row>
    <row r="233" spans="7:12" x14ac:dyDescent="0.25">
      <c r="G233" s="70">
        <f>IFERROR(SUMPRODUCT((TEXT(CC!$C$3:$C$1000,"0")=TEXT(C233,"0"))*IFERROR(CC!$E$3:$E$1000+0,0)),0)</f>
      </c>
      <c r="H233" s="56"/>
      <c r="I233" s="95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57" t="str">
        <f>IF(C233&lt;&gt;"",_xlfn.XLOOKUP(TEXT(C233,"0"),TEXT(CC!$C$3:$C$1000,"0"),CC!$G$3:$G$1000,""),"")</f>
        <v/>
      </c>
    </row>
    <row r="234" spans="7:12" x14ac:dyDescent="0.25">
      <c r="G234" s="70">
        <f>IFERROR(SUMPRODUCT((TEXT(CC!$C$3:$C$1000,"0")=TEXT(C234,"0"))*IFERROR(CC!$E$3:$E$1000+0,0)),0)</f>
      </c>
      <c r="H234" s="56"/>
      <c r="I234" s="95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57" t="str">
        <f>IF(C234&lt;&gt;"",_xlfn.XLOOKUP(TEXT(C234,"0"),TEXT(CC!$C$3:$C$1000,"0"),CC!$G$3:$G$1000,""),"")</f>
        <v/>
      </c>
    </row>
    <row r="235" spans="7:12" x14ac:dyDescent="0.25">
      <c r="G235" s="70">
        <f>IFERROR(SUMPRODUCT((TEXT(CC!$C$3:$C$1000,"0")=TEXT(C235,"0"))*IFERROR(CC!$E$3:$E$1000+0,0)),0)</f>
      </c>
      <c r="H235" s="56"/>
      <c r="I235" s="95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57" t="str">
        <f>IF(C235&lt;&gt;"",_xlfn.XLOOKUP(TEXT(C235,"0"),TEXT(CC!$C$3:$C$1000,"0"),CC!$G$3:$G$1000,""),"")</f>
        <v/>
      </c>
    </row>
    <row r="236" spans="7:12" x14ac:dyDescent="0.25">
      <c r="G236" s="70">
        <f>IFERROR(SUMPRODUCT((TEXT(CC!$C$3:$C$1000,"0")=TEXT(C236,"0"))*IFERROR(CC!$E$3:$E$1000+0,0)),0)</f>
      </c>
      <c r="H236" s="56"/>
      <c r="I236" s="95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57" t="str">
        <f>IF(C236&lt;&gt;"",_xlfn.XLOOKUP(TEXT(C236,"0"),TEXT(CC!$C$3:$C$1000,"0"),CC!$G$3:$G$1000,""),"")</f>
        <v/>
      </c>
    </row>
    <row r="237" spans="7:12" x14ac:dyDescent="0.25">
      <c r="G237" s="70">
        <f>IFERROR(SUMPRODUCT((TEXT(CC!$C$3:$C$1000,"0")=TEXT(C237,"0"))*IFERROR(CC!$E$3:$E$1000+0,0)),0)</f>
      </c>
      <c r="H237" s="56"/>
      <c r="I237" s="95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57" t="str">
        <f>IF(C237&lt;&gt;"",_xlfn.XLOOKUP(TEXT(C237,"0"),TEXT(CC!$C$3:$C$1000,"0"),CC!$G$3:$G$1000,""),"")</f>
        <v/>
      </c>
    </row>
    <row r="238" spans="7:12" x14ac:dyDescent="0.25">
      <c r="G238" s="70">
        <f>IFERROR(SUMPRODUCT((TEXT(CC!$C$3:$C$1000,"0")=TEXT(C238,"0"))*IFERROR(CC!$E$3:$E$1000+0,0)),0)</f>
      </c>
      <c r="H238" s="56"/>
      <c r="I238" s="95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57" t="str">
        <f>IF(C238&lt;&gt;"",_xlfn.XLOOKUP(TEXT(C238,"0"),TEXT(CC!$C$3:$C$1000,"0"),CC!$G$3:$G$1000,""),"")</f>
        <v/>
      </c>
    </row>
    <row r="239" spans="7:12" x14ac:dyDescent="0.25">
      <c r="G239" s="70">
        <f>IFERROR(SUMPRODUCT((TEXT(CC!$C$3:$C$1000,"0")=TEXT(C239,"0"))*IFERROR(CC!$E$3:$E$1000+0,0)),0)</f>
      </c>
      <c r="H239" s="56"/>
      <c r="I239" s="95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57" t="str">
        <f>IF(C239&lt;&gt;"",_xlfn.XLOOKUP(TEXT(C239,"0"),TEXT(CC!$C$3:$C$1000,"0"),CC!$G$3:$G$1000,""),"")</f>
        <v/>
      </c>
    </row>
    <row r="240" spans="7:12" x14ac:dyDescent="0.25">
      <c r="G240" s="70">
        <f>IFERROR(SUMPRODUCT((TEXT(CC!$C$3:$C$1000,"0")=TEXT(C240,"0"))*IFERROR(CC!$E$3:$E$1000+0,0)),0)</f>
      </c>
      <c r="H240" s="56"/>
      <c r="I240" s="95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57" t="str">
        <f>IF(C240&lt;&gt;"",_xlfn.XLOOKUP(TEXT(C240,"0"),TEXT(CC!$C$3:$C$1000,"0"),CC!$G$3:$G$1000,""),"")</f>
        <v/>
      </c>
    </row>
    <row r="241" spans="7:12" x14ac:dyDescent="0.25">
      <c r="G241" s="70">
        <f>IFERROR(SUMPRODUCT((TEXT(CC!$C$3:$C$1000,"0")=TEXT(C241,"0"))*IFERROR(CC!$E$3:$E$1000+0,0)),0)</f>
      </c>
      <c r="H241" s="56"/>
      <c r="I241" s="95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57" t="str">
        <f>IF(C241&lt;&gt;"",_xlfn.XLOOKUP(TEXT(C241,"0"),TEXT(CC!$C$3:$C$1000,"0"),CC!$G$3:$G$1000,""),"")</f>
        <v/>
      </c>
    </row>
    <row r="242" spans="7:12" x14ac:dyDescent="0.25">
      <c r="G242" s="70">
        <f>IFERROR(SUMPRODUCT((TEXT(CC!$C$3:$C$1000,"0")=TEXT(C242,"0"))*IFERROR(CC!$E$3:$E$1000+0,0)),0)</f>
      </c>
      <c r="H242" s="56"/>
      <c r="I242" s="95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57" t="str">
        <f>IF(C242&lt;&gt;"",_xlfn.XLOOKUP(TEXT(C242,"0"),TEXT(CC!$C$3:$C$1000,"0"),CC!$G$3:$G$1000,""),"")</f>
        <v/>
      </c>
    </row>
    <row r="243" spans="7:12" x14ac:dyDescent="0.25">
      <c r="G243" s="70">
        <f>IFERROR(SUMPRODUCT((TEXT(CC!$C$3:$C$1000,"0")=TEXT(C243,"0"))*IFERROR(CC!$E$3:$E$1000+0,0)),0)</f>
      </c>
      <c r="H243" s="56"/>
      <c r="I243" s="95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57" t="str">
        <f>IF(C243&lt;&gt;"",_xlfn.XLOOKUP(TEXT(C243,"0"),TEXT(CC!$C$3:$C$1000,"0"),CC!$G$3:$G$1000,""),"")</f>
        <v/>
      </c>
    </row>
    <row r="244" spans="7:12" x14ac:dyDescent="0.25">
      <c r="G244" s="70">
        <f>IFERROR(SUMPRODUCT((TEXT(CC!$C$3:$C$1000,"0")=TEXT(C244,"0"))*IFERROR(CC!$E$3:$E$1000+0,0)),0)</f>
      </c>
      <c r="H244" s="56"/>
      <c r="I244" s="95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57" t="str">
        <f>IF(C244&lt;&gt;"",_xlfn.XLOOKUP(TEXT(C244,"0"),TEXT(CC!$C$3:$C$1000,"0"),CC!$G$3:$G$1000,""),"")</f>
        <v/>
      </c>
    </row>
    <row r="245" spans="7:12" x14ac:dyDescent="0.25">
      <c r="G245" s="70">
        <f>IFERROR(SUMPRODUCT((TEXT(CC!$C$3:$C$1000,"0")=TEXT(C245,"0"))*IFERROR(CC!$E$3:$E$1000+0,0)),0)</f>
      </c>
      <c r="H245" s="56"/>
      <c r="I245" s="95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57" t="str">
        <f>IF(C245&lt;&gt;"",_xlfn.XLOOKUP(TEXT(C245,"0"),TEXT(CC!$C$3:$C$1000,"0"),CC!$G$3:$G$1000,""),"")</f>
        <v/>
      </c>
    </row>
    <row r="246" spans="7:12" x14ac:dyDescent="0.25">
      <c r="G246" s="70">
        <f>IFERROR(SUMPRODUCT((TEXT(CC!$C$3:$C$1000,"0")=TEXT(C246,"0"))*IFERROR(CC!$E$3:$E$1000+0,0)),0)</f>
      </c>
      <c r="H246" s="56"/>
      <c r="I246" s="95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57" t="str">
        <f>IF(C246&lt;&gt;"",_xlfn.XLOOKUP(TEXT(C246,"0"),TEXT(CC!$C$3:$C$1000,"0"),CC!$G$3:$G$1000,""),"")</f>
        <v/>
      </c>
    </row>
    <row r="247" spans="7:12" x14ac:dyDescent="0.25">
      <c r="G247" s="70">
        <f>IFERROR(SUMPRODUCT((TEXT(CC!$C$3:$C$1000,"0")=TEXT(C247,"0"))*IFERROR(CC!$E$3:$E$1000+0,0)),0)</f>
      </c>
      <c r="H247" s="56"/>
      <c r="I247" s="95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57" t="str">
        <f>IF(C247&lt;&gt;"",_xlfn.XLOOKUP(TEXT(C247,"0"),TEXT(CC!$C$3:$C$1000,"0"),CC!$G$3:$G$1000,""),"")</f>
        <v/>
      </c>
    </row>
    <row r="248" spans="7:12" x14ac:dyDescent="0.25">
      <c r="G248" s="70">
        <f>IFERROR(SUMPRODUCT((TEXT(CC!$C$3:$C$1000,"0")=TEXT(C248,"0"))*IFERROR(CC!$E$3:$E$1000+0,0)),0)</f>
      </c>
      <c r="H248" s="56"/>
      <c r="I248" s="95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57" t="str">
        <f>IF(C248&lt;&gt;"",_xlfn.XLOOKUP(TEXT(C248,"0"),TEXT(CC!$C$3:$C$1000,"0"),CC!$G$3:$G$1000,""),"")</f>
        <v/>
      </c>
    </row>
    <row r="249" spans="7:12" x14ac:dyDescent="0.25">
      <c r="G249" s="70">
        <f>IFERROR(SUMPRODUCT((TEXT(CC!$C$3:$C$1000,"0")=TEXT(C249,"0"))*IFERROR(CC!$E$3:$E$1000+0,0)),0)</f>
      </c>
      <c r="H249" s="56"/>
      <c r="I249" s="95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57" t="str">
        <f>IF(C249&lt;&gt;"",_xlfn.XLOOKUP(TEXT(C249,"0"),TEXT(CC!$C$3:$C$1000,"0"),CC!$G$3:$G$1000,""),"")</f>
        <v/>
      </c>
    </row>
    <row r="250" spans="7:12" x14ac:dyDescent="0.25">
      <c r="G250" s="70">
        <f>IFERROR(SUMPRODUCT((TEXT(CC!$C$3:$C$1000,"0")=TEXT(C250,"0"))*IFERROR(CC!$E$3:$E$1000+0,0)),0)</f>
      </c>
      <c r="H250" s="56"/>
      <c r="I250" s="95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57" t="str">
        <f>IF(C250&lt;&gt;"",_xlfn.XLOOKUP(TEXT(C250,"0"),TEXT(CC!$C$3:$C$1000,"0"),CC!$G$3:$G$1000,""),"")</f>
        <v/>
      </c>
    </row>
    <row r="251" spans="7:12" x14ac:dyDescent="0.25">
      <c r="G251" s="70">
        <f>IFERROR(SUMPRODUCT((TEXT(CC!$C$3:$C$1000,"0")=TEXT(C251,"0"))*IFERROR(CC!$E$3:$E$1000+0,0)),0)</f>
      </c>
      <c r="H251" s="56"/>
      <c r="I251" s="95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57" t="str">
        <f>IF(C251&lt;&gt;"",_xlfn.XLOOKUP(TEXT(C251,"0"),TEXT(CC!$C$3:$C$1000,"0"),CC!$G$3:$G$1000,""),"")</f>
        <v/>
      </c>
    </row>
    <row r="252" spans="7:12" x14ac:dyDescent="0.25">
      <c r="G252" s="70">
        <f>IFERROR(SUMPRODUCT((TEXT(CC!$C$3:$C$1000,"0")=TEXT(C252,"0"))*IFERROR(CC!$E$3:$E$1000+0,0)),0)</f>
      </c>
      <c r="H252" s="56"/>
      <c r="I252" s="95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57" t="str">
        <f>IF(C252&lt;&gt;"",_xlfn.XLOOKUP(TEXT(C252,"0"),TEXT(CC!$C$3:$C$1000,"0"),CC!$G$3:$G$1000,""),"")</f>
        <v/>
      </c>
    </row>
    <row r="253" spans="7:12" x14ac:dyDescent="0.25">
      <c r="G253" s="70">
        <f>IFERROR(SUMPRODUCT((TEXT(CC!$C$3:$C$1000,"0")=TEXT(C253,"0"))*IFERROR(CC!$E$3:$E$1000+0,0)),0)</f>
      </c>
      <c r="H253" s="56"/>
      <c r="I253" s="95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57" t="str">
        <f>IF(C253&lt;&gt;"",_xlfn.XLOOKUP(TEXT(C253,"0"),TEXT(CC!$C$3:$C$1000,"0"),CC!$G$3:$G$1000,""),"")</f>
        <v/>
      </c>
    </row>
    <row r="254" spans="7:12" x14ac:dyDescent="0.25">
      <c r="G254" s="70">
        <f>IFERROR(SUMPRODUCT((TEXT(CC!$C$3:$C$1000,"0")=TEXT(C254,"0"))*IFERROR(CC!$E$3:$E$1000+0,0)),0)</f>
      </c>
      <c r="H254" s="56"/>
      <c r="I254" s="95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57" t="str">
        <f>IF(C254&lt;&gt;"",_xlfn.XLOOKUP(TEXT(C254,"0"),TEXT(CC!$C$3:$C$1000,"0"),CC!$G$3:$G$1000,""),"")</f>
        <v/>
      </c>
    </row>
    <row r="255" spans="7:12" x14ac:dyDescent="0.25">
      <c r="G255" s="70">
        <f>IFERROR(SUMPRODUCT((TEXT(CC!$C$3:$C$1000,"0")=TEXT(C255,"0"))*IFERROR(CC!$E$3:$E$1000+0,0)),0)</f>
      </c>
      <c r="H255" s="56"/>
      <c r="I255" s="95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57" t="str">
        <f>IF(C255&lt;&gt;"",_xlfn.XLOOKUP(TEXT(C255,"0"),TEXT(CC!$C$3:$C$1000,"0"),CC!$G$3:$G$1000,""),"")</f>
        <v/>
      </c>
    </row>
    <row r="256" spans="7:12" x14ac:dyDescent="0.25">
      <c r="G256" s="70">
        <f>IFERROR(SUMPRODUCT((TEXT(CC!$C$3:$C$1000,"0")=TEXT(C256,"0"))*IFERROR(CC!$E$3:$E$1000+0,0)),0)</f>
      </c>
      <c r="H256" s="56"/>
      <c r="I256" s="95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57" t="str">
        <f>IF(C256&lt;&gt;"",_xlfn.XLOOKUP(TEXT(C256,"0"),TEXT(CC!$C$3:$C$1000,"0"),CC!$G$3:$G$1000,""),"")</f>
        <v/>
      </c>
    </row>
    <row r="257" spans="7:12" x14ac:dyDescent="0.25">
      <c r="G257" s="70">
        <f>IFERROR(SUMPRODUCT((TEXT(CC!$C$3:$C$1000,"0")=TEXT(C257,"0"))*IFERROR(CC!$E$3:$E$1000+0,0)),0)</f>
      </c>
      <c r="H257" s="56"/>
      <c r="I257" s="95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57" t="str">
        <f>IF(C257&lt;&gt;"",_xlfn.XLOOKUP(TEXT(C257,"0"),TEXT(CC!$C$3:$C$1000,"0"),CC!$G$3:$G$1000,""),"")</f>
        <v/>
      </c>
    </row>
    <row r="258" spans="7:12" x14ac:dyDescent="0.25">
      <c r="G258" s="70">
        <f>IFERROR(SUMPRODUCT((TEXT(CC!$C$3:$C$1000,"0")=TEXT(C258,"0"))*IFERROR(CC!$E$3:$E$1000+0,0)),0)</f>
      </c>
      <c r="H258" s="56"/>
      <c r="I258" s="95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57" t="str">
        <f>IF(C258&lt;&gt;"",_xlfn.XLOOKUP(TEXT(C258,"0"),TEXT(CC!$C$3:$C$1000,"0"),CC!$G$3:$G$1000,""),"")</f>
        <v/>
      </c>
    </row>
    <row r="259" spans="7:12" x14ac:dyDescent="0.25">
      <c r="G259" s="70">
        <f>IFERROR(SUMPRODUCT((TEXT(CC!$C$3:$C$1000,"0")=TEXT(C259,"0"))*IFERROR(CC!$E$3:$E$1000+0,0)),0)</f>
      </c>
      <c r="H259" s="56"/>
      <c r="I259" s="95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57" t="str">
        <f>IF(C259&lt;&gt;"",_xlfn.XLOOKUP(TEXT(C259,"0"),TEXT(CC!$C$3:$C$1000,"0"),CC!$G$3:$G$1000,""),"")</f>
        <v/>
      </c>
    </row>
    <row r="260" spans="7:12" x14ac:dyDescent="0.25">
      <c r="G260" s="70">
        <f>IFERROR(SUMPRODUCT((TEXT(CC!$C$3:$C$1000,"0")=TEXT(C260,"0"))*IFERROR(CC!$E$3:$E$1000+0,0)),0)</f>
      </c>
      <c r="H260" s="56"/>
      <c r="I260" s="95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57" t="str">
        <f>IF(C260&lt;&gt;"",_xlfn.XLOOKUP(TEXT(C260,"0"),TEXT(CC!$C$3:$C$1000,"0"),CC!$G$3:$G$1000,""),"")</f>
        <v/>
      </c>
    </row>
    <row r="261" spans="7:12" x14ac:dyDescent="0.25">
      <c r="G261" s="70">
        <f>IFERROR(SUMPRODUCT((TEXT(CC!$C$3:$C$1000,"0")=TEXT(C261,"0"))*IFERROR(CC!$E$3:$E$1000+0,0)),0)</f>
      </c>
      <c r="H261" s="56"/>
      <c r="I261" s="95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57" t="str">
        <f>IF(C261&lt;&gt;"",_xlfn.XLOOKUP(TEXT(C261,"0"),TEXT(CC!$C$3:$C$1000,"0"),CC!$G$3:$G$1000,""),"")</f>
        <v/>
      </c>
    </row>
    <row r="262" spans="7:12" x14ac:dyDescent="0.25">
      <c r="G262" s="70">
        <f>IFERROR(SUMPRODUCT((TEXT(CC!$C$3:$C$1000,"0")=TEXT(C262,"0"))*IFERROR(CC!$E$3:$E$1000+0,0)),0)</f>
      </c>
      <c r="H262" s="56"/>
      <c r="I262" s="95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57" t="str">
        <f>IF(C262&lt;&gt;"",_xlfn.XLOOKUP(TEXT(C262,"0"),TEXT(CC!$C$3:$C$1000,"0"),CC!$G$3:$G$1000,""),"")</f>
        <v/>
      </c>
    </row>
    <row r="263" spans="7:12" x14ac:dyDescent="0.25">
      <c r="G263" s="70">
        <f>IFERROR(SUMPRODUCT((TEXT(CC!$C$3:$C$1000,"0")=TEXT(C263,"0"))*IFERROR(CC!$E$3:$E$1000+0,0)),0)</f>
      </c>
      <c r="H263" s="56"/>
      <c r="I263" s="95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57" t="str">
        <f>IF(C263&lt;&gt;"",_xlfn.XLOOKUP(TEXT(C263,"0"),TEXT(CC!$C$3:$C$1000,"0"),CC!$G$3:$G$1000,""),"")</f>
        <v/>
      </c>
    </row>
    <row r="264" spans="7:12" x14ac:dyDescent="0.25">
      <c r="G264" s="70">
        <f>IFERROR(SUMPRODUCT((TEXT(CC!$C$3:$C$1000,"0")=TEXT(C264,"0"))*IFERROR(CC!$E$3:$E$1000+0,0)),0)</f>
      </c>
      <c r="H264" s="56"/>
      <c r="I264" s="95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57" t="str">
        <f>IF(C264&lt;&gt;"",_xlfn.XLOOKUP(TEXT(C264,"0"),TEXT(CC!$C$3:$C$1000,"0"),CC!$G$3:$G$1000,""),"")</f>
        <v/>
      </c>
    </row>
    <row r="265" spans="7:12" x14ac:dyDescent="0.25">
      <c r="G265" s="70">
        <f>IFERROR(SUMPRODUCT((TEXT(CC!$C$3:$C$1000,"0")=TEXT(C265,"0"))*IFERROR(CC!$E$3:$E$1000+0,0)),0)</f>
      </c>
      <c r="H265" s="56"/>
      <c r="I265" s="95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57" t="str">
        <f>IF(C265&lt;&gt;"",_xlfn.XLOOKUP(TEXT(C265,"0"),TEXT(CC!$C$3:$C$1000,"0"),CC!$G$3:$G$1000,""),"")</f>
        <v/>
      </c>
    </row>
    <row r="266" spans="7:12" x14ac:dyDescent="0.25">
      <c r="G266" s="70">
        <f>IFERROR(SUMPRODUCT((TEXT(CC!$C$3:$C$1000,"0")=TEXT(C266,"0"))*IFERROR(CC!$E$3:$E$1000+0,0)),0)</f>
      </c>
      <c r="H266" s="56"/>
      <c r="I266" s="95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57" t="str">
        <f>IF(C266&lt;&gt;"",_xlfn.XLOOKUP(TEXT(C266,"0"),TEXT(CC!$C$3:$C$1000,"0"),CC!$G$3:$G$1000,""),"")</f>
        <v/>
      </c>
    </row>
    <row r="267" spans="7:12" x14ac:dyDescent="0.25">
      <c r="G267" s="70">
        <f>IFERROR(SUMPRODUCT((TEXT(CC!$C$3:$C$1000,"0")=TEXT(C267,"0"))*IFERROR(CC!$E$3:$E$1000+0,0)),0)</f>
      </c>
      <c r="H267" s="56"/>
      <c r="I267" s="95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57" t="str">
        <f>IF(C267&lt;&gt;"",_xlfn.XLOOKUP(TEXT(C267,"0"),TEXT(CC!$C$3:$C$1000,"0"),CC!$G$3:$G$1000,""),"")</f>
        <v/>
      </c>
    </row>
    <row r="268" spans="7:12" x14ac:dyDescent="0.25">
      <c r="G268" s="70">
        <f>IFERROR(SUMPRODUCT((TEXT(CC!$C$3:$C$1000,"0")=TEXT(C268,"0"))*IFERROR(CC!$E$3:$E$1000+0,0)),0)</f>
      </c>
      <c r="H268" s="56"/>
      <c r="I268" s="95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57" t="str">
        <f>IF(C268&lt;&gt;"",_xlfn.XLOOKUP(TEXT(C268,"0"),TEXT(CC!$C$3:$C$1000,"0"),CC!$G$3:$G$1000,""),"")</f>
        <v/>
      </c>
    </row>
    <row r="269" spans="7:12" x14ac:dyDescent="0.25">
      <c r="G269" s="70">
        <f>IFERROR(SUMPRODUCT((TEXT(CC!$C$3:$C$1000,"0")=TEXT(C269,"0"))*IFERROR(CC!$E$3:$E$1000+0,0)),0)</f>
      </c>
      <c r="H269" s="56"/>
      <c r="I269" s="95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57" t="str">
        <f>IF(C269&lt;&gt;"",_xlfn.XLOOKUP(TEXT(C269,"0"),TEXT(CC!$C$3:$C$1000,"0"),CC!$G$3:$G$1000,""),"")</f>
        <v/>
      </c>
    </row>
    <row r="270" spans="7:12" x14ac:dyDescent="0.25">
      <c r="G270" s="70">
        <f>IFERROR(SUMPRODUCT((TEXT(CC!$C$3:$C$1000,"0")=TEXT(C270,"0"))*IFERROR(CC!$E$3:$E$1000+0,0)),0)</f>
      </c>
      <c r="H270" s="56"/>
      <c r="I270" s="95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57" t="str">
        <f>IF(C270&lt;&gt;"",_xlfn.XLOOKUP(TEXT(C270,"0"),TEXT(CC!$C$3:$C$1000,"0"),CC!$G$3:$G$1000,""),"")</f>
        <v/>
      </c>
    </row>
    <row r="271" spans="7:12" x14ac:dyDescent="0.25">
      <c r="G271" s="70">
        <f>IFERROR(SUMPRODUCT((TEXT(CC!$C$3:$C$1000,"0")=TEXT(C271,"0"))*IFERROR(CC!$E$3:$E$1000+0,0)),0)</f>
      </c>
      <c r="H271" s="56"/>
      <c r="I271" s="95" t="str">
        <f t="shared" ref="I271:I334" si="18">IF(J271&lt;&gt;0,"511011","")</f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57" t="str">
        <f>IF(C271&lt;&gt;"",_xlfn.XLOOKUP(TEXT(C271,"0"),TEXT(CC!$C$3:$C$1000,"0"),CC!$G$3:$G$1000,""),"")</f>
        <v/>
      </c>
    </row>
    <row r="272" spans="7:12" x14ac:dyDescent="0.25">
      <c r="G272" s="70">
        <f>IFERROR(SUMPRODUCT((TEXT(CC!$C$3:$C$1000,"0")=TEXT(C272,"0"))*IFERROR(CC!$E$3:$E$1000+0,0)),0)</f>
      </c>
      <c r="H272" s="56"/>
      <c r="I272" s="95" t="str">
        <f t="shared" si="18"/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57" t="str">
        <f>IF(C272&lt;&gt;"",_xlfn.XLOOKUP(TEXT(C272,"0"),TEXT(CC!$C$3:$C$1000,"0"),CC!$G$3:$G$1000,""),"")</f>
        <v/>
      </c>
    </row>
    <row r="273" spans="7:12" x14ac:dyDescent="0.25">
      <c r="G273" s="70">
        <f>IFERROR(SUMPRODUCT((TEXT(CC!$C$3:$C$1000,"0")=TEXT(C273,"0"))*IFERROR(CC!$E$3:$E$1000+0,0)),0)</f>
      </c>
      <c r="H273" s="56"/>
      <c r="I273" s="95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57" t="str">
        <f>IF(C273&lt;&gt;"",_xlfn.XLOOKUP(TEXT(C273,"0"),TEXT(CC!$C$3:$C$1000,"0"),CC!$G$3:$G$1000,""),"")</f>
        <v/>
      </c>
    </row>
    <row r="274" spans="7:12" x14ac:dyDescent="0.25">
      <c r="G274" s="70">
        <f>IFERROR(SUMPRODUCT((TEXT(CC!$C$3:$C$1000,"0")=TEXT(C274,"0"))*IFERROR(CC!$E$3:$E$1000+0,0)),0)</f>
      </c>
      <c r="H274" s="56"/>
      <c r="I274" s="95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57" t="str">
        <f>IF(C274&lt;&gt;"",_xlfn.XLOOKUP(TEXT(C274,"0"),TEXT(CC!$C$3:$C$1000,"0"),CC!$G$3:$G$1000,""),"")</f>
        <v/>
      </c>
    </row>
    <row r="275" spans="7:12" x14ac:dyDescent="0.25">
      <c r="G275" s="70">
        <f>IFERROR(SUMPRODUCT((TEXT(CC!$C$3:$C$1000,"0")=TEXT(C275,"0"))*IFERROR(CC!$E$3:$E$1000+0,0)),0)</f>
      </c>
      <c r="H275" s="56"/>
      <c r="I275" s="95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57" t="str">
        <f>IF(C275&lt;&gt;"",_xlfn.XLOOKUP(TEXT(C275,"0"),TEXT(CC!$C$3:$C$1000,"0"),CC!$G$3:$G$1000,""),"")</f>
        <v/>
      </c>
    </row>
    <row r="276" spans="7:12" x14ac:dyDescent="0.25">
      <c r="G276" s="70">
        <f>IFERROR(SUMPRODUCT((TEXT(CC!$C$3:$C$1000,"0")=TEXT(C276,"0"))*IFERROR(CC!$E$3:$E$1000+0,0)),0)</f>
      </c>
      <c r="H276" s="56"/>
      <c r="I276" s="95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57" t="str">
        <f>IF(C276&lt;&gt;"",_xlfn.XLOOKUP(TEXT(C276,"0"),TEXT(CC!$C$3:$C$1000,"0"),CC!$G$3:$G$1000,""),"")</f>
        <v/>
      </c>
    </row>
    <row r="277" spans="7:12" x14ac:dyDescent="0.25">
      <c r="G277" s="70">
        <f>IFERROR(SUMPRODUCT((TEXT(CC!$C$3:$C$1000,"0")=TEXT(C277,"0"))*IFERROR(CC!$E$3:$E$1000+0,0)),0)</f>
      </c>
      <c r="H277" s="56"/>
      <c r="I277" s="95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57" t="str">
        <f>IF(C277&lt;&gt;"",_xlfn.XLOOKUP(TEXT(C277,"0"),TEXT(CC!$C$3:$C$1000,"0"),CC!$G$3:$G$1000,""),"")</f>
        <v/>
      </c>
    </row>
    <row r="278" spans="7:12" x14ac:dyDescent="0.25">
      <c r="G278" s="70">
        <f>IFERROR(SUMPRODUCT((TEXT(CC!$C$3:$C$1000,"0")=TEXT(C278,"0"))*IFERROR(CC!$E$3:$E$1000+0,0)),0)</f>
      </c>
      <c r="H278" s="56"/>
      <c r="I278" s="95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57" t="str">
        <f>IF(C278&lt;&gt;"",_xlfn.XLOOKUP(TEXT(C278,"0"),TEXT(CC!$C$3:$C$1000,"0"),CC!$G$3:$G$1000,""),"")</f>
        <v/>
      </c>
    </row>
    <row r="279" spans="7:12" x14ac:dyDescent="0.25">
      <c r="G279" s="70">
        <f>IFERROR(SUMPRODUCT((TEXT(CC!$C$3:$C$1000,"0")=TEXT(C279,"0"))*IFERROR(CC!$E$3:$E$1000+0,0)),0)</f>
      </c>
      <c r="H279" s="56"/>
      <c r="I279" s="95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57" t="str">
        <f>IF(C279&lt;&gt;"",_xlfn.XLOOKUP(TEXT(C279,"0"),TEXT(CC!$C$3:$C$1000,"0"),CC!$G$3:$G$1000,""),"")</f>
        <v/>
      </c>
    </row>
    <row r="280" spans="7:12" x14ac:dyDescent="0.25">
      <c r="G280" s="70">
        <f>IFERROR(SUMPRODUCT((TEXT(CC!$C$3:$C$1000,"0")=TEXT(C280,"0"))*IFERROR(CC!$E$3:$E$1000+0,0)),0)</f>
      </c>
      <c r="H280" s="56"/>
      <c r="I280" s="95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57" t="str">
        <f>IF(C280&lt;&gt;"",_xlfn.XLOOKUP(TEXT(C280,"0"),TEXT(CC!$C$3:$C$1000,"0"),CC!$G$3:$G$1000,""),"")</f>
        <v/>
      </c>
    </row>
    <row r="281" spans="7:12" x14ac:dyDescent="0.25">
      <c r="G281" s="70">
        <f>IFERROR(SUMPRODUCT((TEXT(CC!$C$3:$C$1000,"0")=TEXT(C281,"0"))*IFERROR(CC!$E$3:$E$1000+0,0)),0)</f>
      </c>
      <c r="H281" s="56"/>
      <c r="I281" s="95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57" t="str">
        <f>IF(C281&lt;&gt;"",_xlfn.XLOOKUP(TEXT(C281,"0"),TEXT(CC!$C$3:$C$1000,"0"),CC!$G$3:$G$1000,""),"")</f>
        <v/>
      </c>
    </row>
    <row r="282" spans="7:12" x14ac:dyDescent="0.25">
      <c r="G282" s="70">
        <f>IFERROR(SUMPRODUCT((TEXT(CC!$C$3:$C$1000,"0")=TEXT(C282,"0"))*IFERROR(CC!$E$3:$E$1000+0,0)),0)</f>
      </c>
      <c r="H282" s="56"/>
      <c r="I282" s="95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57" t="str">
        <f>IF(C282&lt;&gt;"",_xlfn.XLOOKUP(TEXT(C282,"0"),TEXT(CC!$C$3:$C$1000,"0"),CC!$G$3:$G$1000,""),"")</f>
        <v/>
      </c>
    </row>
    <row r="283" spans="7:12" x14ac:dyDescent="0.25">
      <c r="G283" s="70">
        <f>IFERROR(SUMPRODUCT((TEXT(CC!$C$3:$C$1000,"0")=TEXT(C283,"0"))*IFERROR(CC!$E$3:$E$1000+0,0)),0)</f>
      </c>
      <c r="H283" s="56"/>
      <c r="I283" s="95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57" t="str">
        <f>IF(C283&lt;&gt;"",_xlfn.XLOOKUP(TEXT(C283,"0"),TEXT(CC!$C$3:$C$1000,"0"),CC!$G$3:$G$1000,""),"")</f>
        <v/>
      </c>
    </row>
    <row r="284" spans="7:12" x14ac:dyDescent="0.25">
      <c r="G284" s="70">
        <f>IFERROR(SUMPRODUCT((TEXT(CC!$C$3:$C$1000,"0")=TEXT(C284,"0"))*IFERROR(CC!$E$3:$E$1000+0,0)),0)</f>
      </c>
      <c r="H284" s="56"/>
      <c r="I284" s="95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57" t="str">
        <f>IF(C284&lt;&gt;"",_xlfn.XLOOKUP(TEXT(C284,"0"),TEXT(CC!$C$3:$C$1000,"0"),CC!$G$3:$G$1000,""),"")</f>
        <v/>
      </c>
    </row>
    <row r="285" spans="7:12" x14ac:dyDescent="0.25">
      <c r="G285" s="70">
        <f>IFERROR(SUMPRODUCT((TEXT(CC!$C$3:$C$1000,"0")=TEXT(C285,"0"))*IFERROR(CC!$E$3:$E$1000+0,0)),0)</f>
      </c>
      <c r="H285" s="56"/>
      <c r="I285" s="95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57" t="str">
        <f>IF(C285&lt;&gt;"",_xlfn.XLOOKUP(TEXT(C285,"0"),TEXT(CC!$C$3:$C$1000,"0"),CC!$G$3:$G$1000,""),"")</f>
        <v/>
      </c>
    </row>
    <row r="286" spans="7:12" x14ac:dyDescent="0.25">
      <c r="G286" s="70">
        <f>IFERROR(SUMPRODUCT((TEXT(CC!$C$3:$C$1000,"0")=TEXT(C286,"0"))*IFERROR(CC!$E$3:$E$1000+0,0)),0)</f>
      </c>
      <c r="H286" s="56"/>
      <c r="I286" s="95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57" t="str">
        <f>IF(C286&lt;&gt;"",_xlfn.XLOOKUP(TEXT(C286,"0"),TEXT(CC!$C$3:$C$1000,"0"),CC!$G$3:$G$1000,""),"")</f>
        <v/>
      </c>
    </row>
    <row r="287" spans="7:12" x14ac:dyDescent="0.25">
      <c r="G287" s="70">
        <f>IFERROR(SUMPRODUCT((TEXT(CC!$C$3:$C$1000,"0")=TEXT(C287,"0"))*IFERROR(CC!$E$3:$E$1000+0,0)),0)</f>
      </c>
      <c r="H287" s="56"/>
      <c r="I287" s="95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57" t="str">
        <f>IF(C287&lt;&gt;"",_xlfn.XLOOKUP(TEXT(C287,"0"),TEXT(CC!$C$3:$C$1000,"0"),CC!$G$3:$G$1000,""),"")</f>
        <v/>
      </c>
    </row>
    <row r="288" spans="7:12" x14ac:dyDescent="0.25">
      <c r="G288" s="70">
        <f>IFERROR(SUMPRODUCT((TEXT(CC!$C$3:$C$1000,"0")=TEXT(C288,"0"))*IFERROR(CC!$E$3:$E$1000+0,0)),0)</f>
      </c>
      <c r="H288" s="56"/>
      <c r="I288" s="95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57" t="str">
        <f>IF(C288&lt;&gt;"",_xlfn.XLOOKUP(TEXT(C288,"0"),TEXT(CC!$C$3:$C$1000,"0"),CC!$G$3:$G$1000,""),"")</f>
        <v/>
      </c>
    </row>
    <row r="289" spans="7:12" x14ac:dyDescent="0.25">
      <c r="G289" s="70">
        <f>IFERROR(SUMPRODUCT((TEXT(CC!$C$3:$C$1000,"0")=TEXT(C289,"0"))*IFERROR(CC!$E$3:$E$1000+0,0)),0)</f>
      </c>
      <c r="H289" s="56"/>
      <c r="I289" s="95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57" t="str">
        <f>IF(C289&lt;&gt;"",_xlfn.XLOOKUP(TEXT(C289,"0"),TEXT(CC!$C$3:$C$1000,"0"),CC!$G$3:$G$1000,""),"")</f>
        <v/>
      </c>
    </row>
    <row r="290" spans="7:12" x14ac:dyDescent="0.25">
      <c r="G290" s="70">
        <f>IFERROR(SUMPRODUCT((TEXT(CC!$C$3:$C$1000,"0")=TEXT(C290,"0"))*IFERROR(CC!$E$3:$E$1000+0,0)),0)</f>
      </c>
      <c r="H290" s="56"/>
      <c r="I290" s="95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57" t="str">
        <f>IF(C290&lt;&gt;"",_xlfn.XLOOKUP(TEXT(C290,"0"),TEXT(CC!$C$3:$C$1000,"0"),CC!$G$3:$G$1000,""),"")</f>
        <v/>
      </c>
    </row>
    <row r="291" spans="7:12" x14ac:dyDescent="0.25">
      <c r="G291" s="70">
        <f>IFERROR(SUMPRODUCT((TEXT(CC!$C$3:$C$1000,"0")=TEXT(C291,"0"))*IFERROR(CC!$E$3:$E$1000+0,0)),0)</f>
      </c>
      <c r="H291" s="56"/>
      <c r="I291" s="95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57" t="str">
        <f>IF(C291&lt;&gt;"",_xlfn.XLOOKUP(TEXT(C291,"0"),TEXT(CC!$C$3:$C$1000,"0"),CC!$G$3:$G$1000,""),"")</f>
        <v/>
      </c>
    </row>
    <row r="292" spans="7:12" x14ac:dyDescent="0.25">
      <c r="G292" s="70">
        <f>IFERROR(SUMPRODUCT((TEXT(CC!$C$3:$C$1000,"0")=TEXT(C292,"0"))*IFERROR(CC!$E$3:$E$1000+0,0)),0)</f>
      </c>
      <c r="H292" s="56"/>
      <c r="I292" s="95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57" t="str">
        <f>IF(C292&lt;&gt;"",_xlfn.XLOOKUP(TEXT(C292,"0"),TEXT(CC!$C$3:$C$1000,"0"),CC!$G$3:$G$1000,""),"")</f>
        <v/>
      </c>
    </row>
    <row r="293" spans="7:12" x14ac:dyDescent="0.25">
      <c r="G293" s="70">
        <f>IFERROR(SUMPRODUCT((TEXT(CC!$C$3:$C$1000,"0")=TEXT(C293,"0"))*IFERROR(CC!$E$3:$E$1000+0,0)),0)</f>
      </c>
      <c r="H293" s="56"/>
      <c r="I293" s="95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57" t="str">
        <f>IF(C293&lt;&gt;"",_xlfn.XLOOKUP(TEXT(C293,"0"),TEXT(CC!$C$3:$C$1000,"0"),CC!$G$3:$G$1000,""),"")</f>
        <v/>
      </c>
    </row>
    <row r="294" spans="7:12" x14ac:dyDescent="0.25">
      <c r="G294" s="70">
        <f>IFERROR(SUMPRODUCT((TEXT(CC!$C$3:$C$1000,"0")=TEXT(C294,"0"))*IFERROR(CC!$E$3:$E$1000+0,0)),0)</f>
      </c>
      <c r="H294" s="56"/>
      <c r="I294" s="95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57" t="str">
        <f>IF(C294&lt;&gt;"",_xlfn.XLOOKUP(TEXT(C294,"0"),TEXT(CC!$C$3:$C$1000,"0"),CC!$G$3:$G$1000,""),"")</f>
        <v/>
      </c>
    </row>
    <row r="295" spans="7:12" x14ac:dyDescent="0.25">
      <c r="G295" s="70">
        <f>IFERROR(SUMPRODUCT((TEXT(CC!$C$3:$C$1000,"0")=TEXT(C295,"0"))*IFERROR(CC!$E$3:$E$1000+0,0)),0)</f>
      </c>
      <c r="H295" s="56"/>
      <c r="I295" s="95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57" t="str">
        <f>IF(C295&lt;&gt;"",_xlfn.XLOOKUP(TEXT(C295,"0"),TEXT(CC!$C$3:$C$1000,"0"),CC!$G$3:$G$1000,""),"")</f>
        <v/>
      </c>
    </row>
    <row r="296" spans="7:12" x14ac:dyDescent="0.25">
      <c r="G296" s="70">
        <f>IFERROR(SUMPRODUCT((TEXT(CC!$C$3:$C$1000,"0")=TEXT(C296,"0"))*IFERROR(CC!$E$3:$E$1000+0,0)),0)</f>
      </c>
      <c r="H296" s="56"/>
      <c r="I296" s="95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57" t="str">
        <f>IF(C296&lt;&gt;"",_xlfn.XLOOKUP(TEXT(C296,"0"),TEXT(CC!$C$3:$C$1000,"0"),CC!$G$3:$G$1000,""),"")</f>
        <v/>
      </c>
    </row>
    <row r="297" spans="7:12" x14ac:dyDescent="0.25">
      <c r="G297" s="70">
        <f>IFERROR(SUMPRODUCT((TEXT(CC!$C$3:$C$1000,"0")=TEXT(C297,"0"))*IFERROR(CC!$E$3:$E$1000+0,0)),0)</f>
      </c>
      <c r="H297" s="56"/>
      <c r="I297" s="95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57" t="str">
        <f>IF(C297&lt;&gt;"",_xlfn.XLOOKUP(TEXT(C297,"0"),TEXT(CC!$C$3:$C$1000,"0"),CC!$G$3:$G$1000,""),"")</f>
        <v/>
      </c>
    </row>
    <row r="298" spans="7:12" x14ac:dyDescent="0.25">
      <c r="G298" s="70">
        <f>IFERROR(SUMPRODUCT((TEXT(CC!$C$3:$C$1000,"0")=TEXT(C298,"0"))*IFERROR(CC!$E$3:$E$1000+0,0)),0)</f>
      </c>
      <c r="H298" s="56"/>
      <c r="I298" s="95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57" t="str">
        <f>IF(C298&lt;&gt;"",_xlfn.XLOOKUP(TEXT(C298,"0"),TEXT(CC!$C$3:$C$1000,"0"),CC!$G$3:$G$1000,""),"")</f>
        <v/>
      </c>
    </row>
    <row r="299" spans="7:12" x14ac:dyDescent="0.25">
      <c r="G299" s="70">
        <f>IFERROR(SUMPRODUCT((TEXT(CC!$C$3:$C$1000,"0")=TEXT(C299,"0"))*IFERROR(CC!$E$3:$E$1000+0,0)),0)</f>
      </c>
      <c r="H299" s="56"/>
      <c r="I299" s="95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57" t="str">
        <f>IF(C299&lt;&gt;"",_xlfn.XLOOKUP(TEXT(C299,"0"),TEXT(CC!$C$3:$C$1000,"0"),CC!$G$3:$G$1000,""),"")</f>
        <v/>
      </c>
    </row>
    <row r="300" spans="7:12" x14ac:dyDescent="0.25">
      <c r="G300" s="70">
        <f>IFERROR(SUMPRODUCT((TEXT(CC!$C$3:$C$1000,"0")=TEXT(C300,"0"))*IFERROR(CC!$E$3:$E$1000+0,0)),0)</f>
      </c>
      <c r="H300" s="56"/>
      <c r="I300" s="95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57" t="str">
        <f>IF(C300&lt;&gt;"",_xlfn.XLOOKUP(TEXT(C300,"0"),TEXT(CC!$C$3:$C$1000,"0"),CC!$G$3:$G$1000,""),"")</f>
        <v/>
      </c>
    </row>
    <row r="301" spans="7:12" x14ac:dyDescent="0.25">
      <c r="G301" s="70">
        <f>IFERROR(SUMPRODUCT((TEXT(CC!$C$3:$C$1000,"0")=TEXT(C301,"0"))*IFERROR(CC!$E$3:$E$1000+0,0)),0)</f>
      </c>
      <c r="H301" s="56"/>
      <c r="I301" s="95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57" t="str">
        <f>IF(C301&lt;&gt;"",_xlfn.XLOOKUP(TEXT(C301,"0"),TEXT(CC!$C$3:$C$1000,"0"),CC!$G$3:$G$1000,""),"")</f>
        <v/>
      </c>
    </row>
    <row r="302" spans="7:12" x14ac:dyDescent="0.25">
      <c r="G302" s="70">
        <f>IFERROR(SUMPRODUCT((TEXT(CC!$C$3:$C$1000,"0")=TEXT(C302,"0"))*IFERROR(CC!$E$3:$E$1000+0,0)),0)</f>
      </c>
      <c r="H302" s="56"/>
      <c r="I302" s="95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57" t="str">
        <f>IF(C302&lt;&gt;"",_xlfn.XLOOKUP(TEXT(C302,"0"),TEXT(CC!$C$3:$C$1000,"0"),CC!$G$3:$G$1000,""),"")</f>
        <v/>
      </c>
    </row>
    <row r="303" spans="7:12" x14ac:dyDescent="0.25">
      <c r="G303" s="70">
        <f>IFERROR(SUMPRODUCT((TEXT(CC!$C$3:$C$1000,"0")=TEXT(C303,"0"))*IFERROR(CC!$E$3:$E$1000+0,0)),0)</f>
      </c>
      <c r="H303" s="56"/>
      <c r="I303" s="95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57" t="str">
        <f>IF(C303&lt;&gt;"",_xlfn.XLOOKUP(TEXT(C303,"0"),TEXT(CC!$C$3:$C$1000,"0"),CC!$G$3:$G$1000,""),"")</f>
        <v/>
      </c>
    </row>
    <row r="304" spans="7:12" x14ac:dyDescent="0.25">
      <c r="G304" s="70">
        <f>IFERROR(SUMPRODUCT((TEXT(CC!$C$3:$C$1000,"0")=TEXT(C304,"0"))*IFERROR(CC!$E$3:$E$1000+0,0)),0)</f>
      </c>
      <c r="H304" s="56"/>
      <c r="I304" s="95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57" t="str">
        <f>IF(C304&lt;&gt;"",_xlfn.XLOOKUP(TEXT(C304,"0"),TEXT(CC!$C$3:$C$1000,"0"),CC!$G$3:$G$1000,""),"")</f>
        <v/>
      </c>
    </row>
    <row r="305" spans="7:12" x14ac:dyDescent="0.25">
      <c r="G305" s="70">
        <f>IFERROR(SUMPRODUCT((TEXT(CC!$C$3:$C$1000,"0")=TEXT(C305,"0"))*IFERROR(CC!$E$3:$E$1000+0,0)),0)</f>
      </c>
      <c r="H305" s="56"/>
      <c r="I305" s="95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57" t="str">
        <f>IF(C305&lt;&gt;"",_xlfn.XLOOKUP(TEXT(C305,"0"),TEXT(CC!$C$3:$C$1000,"0"),CC!$G$3:$G$1000,""),"")</f>
        <v/>
      </c>
    </row>
    <row r="306" spans="7:12" x14ac:dyDescent="0.25">
      <c r="G306" s="70">
        <f>IFERROR(SUMPRODUCT((TEXT(CC!$C$3:$C$1000,"0")=TEXT(C306,"0"))*IFERROR(CC!$E$3:$E$1000+0,0)),0)</f>
      </c>
      <c r="H306" s="56"/>
      <c r="I306" s="95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57" t="str">
        <f>IF(C306&lt;&gt;"",_xlfn.XLOOKUP(TEXT(C306,"0"),TEXT(CC!$C$3:$C$1000,"0"),CC!$G$3:$G$1000,""),"")</f>
        <v/>
      </c>
    </row>
    <row r="307" spans="7:12" x14ac:dyDescent="0.25">
      <c r="G307" s="70">
        <f>IFERROR(SUMPRODUCT((TEXT(CC!$C$3:$C$1000,"0")=TEXT(C307,"0"))*IFERROR(CC!$E$3:$E$1000+0,0)),0)</f>
      </c>
      <c r="H307" s="56"/>
      <c r="I307" s="95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57" t="str">
        <f>IF(C307&lt;&gt;"",_xlfn.XLOOKUP(TEXT(C307,"0"),TEXT(CC!$C$3:$C$1000,"0"),CC!$G$3:$G$1000,""),"")</f>
        <v/>
      </c>
    </row>
    <row r="308" spans="7:12" x14ac:dyDescent="0.25">
      <c r="G308" s="70">
        <f>IFERROR(SUMPRODUCT((TEXT(CC!$C$3:$C$1000,"0")=TEXT(C308,"0"))*IFERROR(CC!$E$3:$E$1000+0,0)),0)</f>
      </c>
      <c r="H308" s="56"/>
      <c r="I308" s="95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57" t="str">
        <f>IF(C308&lt;&gt;"",_xlfn.XLOOKUP(TEXT(C308,"0"),TEXT(CC!$C$3:$C$1000,"0"),CC!$G$3:$G$1000,""),"")</f>
        <v/>
      </c>
    </row>
    <row r="309" spans="7:12" x14ac:dyDescent="0.25">
      <c r="G309" s="70">
        <f>IFERROR(SUMPRODUCT((TEXT(CC!$C$3:$C$1000,"0")=TEXT(C309,"0"))*IFERROR(CC!$E$3:$E$1000+0,0)),0)</f>
      </c>
      <c r="H309" s="56"/>
      <c r="I309" s="95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57" t="str">
        <f>IF(C309&lt;&gt;"",_xlfn.XLOOKUP(TEXT(C309,"0"),TEXT(CC!$C$3:$C$1000,"0"),CC!$G$3:$G$1000,""),"")</f>
        <v/>
      </c>
    </row>
    <row r="310" spans="7:12" x14ac:dyDescent="0.25">
      <c r="G310" s="70">
        <f>IFERROR(SUMPRODUCT((TEXT(CC!$C$3:$C$1000,"0")=TEXT(C310,"0"))*IFERROR(CC!$E$3:$E$1000+0,0)),0)</f>
      </c>
      <c r="H310" s="56"/>
      <c r="I310" s="95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57" t="str">
        <f>IF(C310&lt;&gt;"",_xlfn.XLOOKUP(TEXT(C310,"0"),TEXT(CC!$C$3:$C$1000,"0"),CC!$G$3:$G$1000,""),"")</f>
        <v/>
      </c>
    </row>
    <row r="311" spans="7:12" x14ac:dyDescent="0.25">
      <c r="G311" s="70">
        <f>IFERROR(SUMPRODUCT((TEXT(CC!$C$3:$C$1000,"0")=TEXT(C311,"0"))*IFERROR(CC!$E$3:$E$1000+0,0)),0)</f>
      </c>
      <c r="H311" s="56"/>
      <c r="I311" s="95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57" t="str">
        <f>IF(C311&lt;&gt;"",_xlfn.XLOOKUP(TEXT(C311,"0"),TEXT(CC!$C$3:$C$1000,"0"),CC!$G$3:$G$1000,""),"")</f>
        <v/>
      </c>
    </row>
    <row r="312" spans="7:12" x14ac:dyDescent="0.25">
      <c r="G312" s="70">
        <f>IFERROR(SUMPRODUCT((TEXT(CC!$C$3:$C$1000,"0")=TEXT(C312,"0"))*IFERROR(CC!$E$3:$E$1000+0,0)),0)</f>
      </c>
      <c r="H312" s="56"/>
      <c r="I312" s="95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57" t="str">
        <f>IF(C312&lt;&gt;"",_xlfn.XLOOKUP(TEXT(C312,"0"),TEXT(CC!$C$3:$C$1000,"0"),CC!$G$3:$G$1000,""),"")</f>
        <v/>
      </c>
    </row>
    <row r="313" spans="7:12" x14ac:dyDescent="0.25">
      <c r="G313" s="70">
        <f>IFERROR(SUMPRODUCT((TEXT(CC!$C$3:$C$1000,"0")=TEXT(C313,"0"))*IFERROR(CC!$E$3:$E$1000+0,0)),0)</f>
      </c>
      <c r="H313" s="56"/>
      <c r="I313" s="95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57" t="str">
        <f>IF(C313&lt;&gt;"",_xlfn.XLOOKUP(TEXT(C313,"0"),TEXT(CC!$C$3:$C$1000,"0"),CC!$G$3:$G$1000,""),"")</f>
        <v/>
      </c>
    </row>
    <row r="314" spans="7:12" x14ac:dyDescent="0.25">
      <c r="G314" s="70">
        <f>IFERROR(SUMPRODUCT((TEXT(CC!$C$3:$C$1000,"0")=TEXT(C314,"0"))*IFERROR(CC!$E$3:$E$1000+0,0)),0)</f>
      </c>
      <c r="H314" s="56"/>
      <c r="I314" s="95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57" t="str">
        <f>IF(C314&lt;&gt;"",_xlfn.XLOOKUP(TEXT(C314,"0"),TEXT(CC!$C$3:$C$1000,"0"),CC!$G$3:$G$1000,""),"")</f>
        <v/>
      </c>
    </row>
    <row r="315" spans="7:12" x14ac:dyDescent="0.25">
      <c r="G315" s="70">
        <f>IFERROR(SUMPRODUCT((TEXT(CC!$C$3:$C$1000,"0")=TEXT(C315,"0"))*IFERROR(CC!$E$3:$E$1000+0,0)),0)</f>
      </c>
      <c r="H315" s="56"/>
      <c r="I315" s="95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57" t="str">
        <f>IF(C315&lt;&gt;"",_xlfn.XLOOKUP(TEXT(C315,"0"),TEXT(CC!$C$3:$C$1000,"0"),CC!$G$3:$G$1000,""),"")</f>
        <v/>
      </c>
    </row>
    <row r="316" spans="7:12" x14ac:dyDescent="0.25">
      <c r="G316" s="70">
        <f>IFERROR(SUMPRODUCT((TEXT(CC!$C$3:$C$1000,"0")=TEXT(C316,"0"))*IFERROR(CC!$E$3:$E$1000+0,0)),0)</f>
      </c>
      <c r="H316" s="56"/>
      <c r="I316" s="95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57" t="str">
        <f>IF(C316&lt;&gt;"",_xlfn.XLOOKUP(TEXT(C316,"0"),TEXT(CC!$C$3:$C$1000,"0"),CC!$G$3:$G$1000,""),"")</f>
        <v/>
      </c>
    </row>
    <row r="317" spans="7:12" x14ac:dyDescent="0.25">
      <c r="G317" s="70">
        <f>IFERROR(SUMPRODUCT((TEXT(CC!$C$3:$C$1000,"0")=TEXT(C317,"0"))*IFERROR(CC!$E$3:$E$1000+0,0)),0)</f>
      </c>
      <c r="H317" s="56"/>
      <c r="I317" s="95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57" t="str">
        <f>IF(C317&lt;&gt;"",_xlfn.XLOOKUP(TEXT(C317,"0"),TEXT(CC!$C$3:$C$1000,"0"),CC!$G$3:$G$1000,""),"")</f>
        <v/>
      </c>
    </row>
    <row r="318" spans="7:12" x14ac:dyDescent="0.25">
      <c r="G318" s="70">
        <f>IFERROR(SUMPRODUCT((TEXT(CC!$C$3:$C$1000,"0")=TEXT(C318,"0"))*IFERROR(CC!$E$3:$E$1000+0,0)),0)</f>
      </c>
      <c r="H318" s="56"/>
      <c r="I318" s="95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57" t="str">
        <f>IF(C318&lt;&gt;"",_xlfn.XLOOKUP(TEXT(C318,"0"),TEXT(CC!$C$3:$C$1000,"0"),CC!$G$3:$G$1000,""),"")</f>
        <v/>
      </c>
    </row>
    <row r="319" spans="7:12" x14ac:dyDescent="0.25">
      <c r="G319" s="70">
        <f>IFERROR(SUMPRODUCT((TEXT(CC!$C$3:$C$1000,"0")=TEXT(C319,"0"))*IFERROR(CC!$E$3:$E$1000+0,0)),0)</f>
      </c>
      <c r="H319" s="56"/>
      <c r="I319" s="95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57" t="str">
        <f>IF(C319&lt;&gt;"",_xlfn.XLOOKUP(TEXT(C319,"0"),TEXT(CC!$C$3:$C$1000,"0"),CC!$G$3:$G$1000,""),"")</f>
        <v/>
      </c>
    </row>
    <row r="320" spans="7:12" x14ac:dyDescent="0.25">
      <c r="G320" s="70">
        <f>IFERROR(SUMPRODUCT((TEXT(CC!$C$3:$C$1000,"0")=TEXT(C320,"0"))*IFERROR(CC!$E$3:$E$1000+0,0)),0)</f>
      </c>
      <c r="H320" s="56"/>
      <c r="I320" s="95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57" t="str">
        <f>IF(C320&lt;&gt;"",_xlfn.XLOOKUP(TEXT(C320,"0"),TEXT(CC!$C$3:$C$1000,"0"),CC!$G$3:$G$1000,""),"")</f>
        <v/>
      </c>
    </row>
    <row r="321" spans="7:12" x14ac:dyDescent="0.25">
      <c r="G321" s="70">
        <f>IFERROR(SUMPRODUCT((TEXT(CC!$C$3:$C$1000,"0")=TEXT(C321,"0"))*IFERROR(CC!$E$3:$E$1000+0,0)),0)</f>
      </c>
      <c r="H321" s="56"/>
      <c r="I321" s="95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57" t="str">
        <f>IF(C321&lt;&gt;"",_xlfn.XLOOKUP(TEXT(C321,"0"),TEXT(CC!$C$3:$C$1000,"0"),CC!$G$3:$G$1000,""),"")</f>
        <v/>
      </c>
    </row>
    <row r="322" spans="7:12" x14ac:dyDescent="0.25">
      <c r="G322" s="70">
        <f>IFERROR(SUMPRODUCT((TEXT(CC!$C$3:$C$1000,"0")=TEXT(C322,"0"))*IFERROR(CC!$E$3:$E$1000+0,0)),0)</f>
      </c>
      <c r="H322" s="56"/>
      <c r="I322" s="95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57" t="str">
        <f>IF(C322&lt;&gt;"",_xlfn.XLOOKUP(TEXT(C322,"0"),TEXT(CC!$C$3:$C$1000,"0"),CC!$G$3:$G$1000,""),"")</f>
        <v/>
      </c>
    </row>
    <row r="323" spans="7:12" x14ac:dyDescent="0.25">
      <c r="G323" s="70">
        <f>IFERROR(SUMPRODUCT((TEXT(CC!$C$3:$C$1000,"0")=TEXT(C323,"0"))*IFERROR(CC!$E$3:$E$1000+0,0)),0)</f>
      </c>
      <c r="H323" s="56"/>
      <c r="I323" s="95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57" t="str">
        <f>IF(C323&lt;&gt;"",_xlfn.XLOOKUP(TEXT(C323,"0"),TEXT(CC!$C$3:$C$1000,"0"),CC!$G$3:$G$1000,""),"")</f>
        <v/>
      </c>
    </row>
    <row r="324" spans="7:12" x14ac:dyDescent="0.25">
      <c r="G324" s="70">
        <f>IFERROR(SUMPRODUCT((TEXT(CC!$C$3:$C$1000,"0")=TEXT(C324,"0"))*IFERROR(CC!$E$3:$E$1000+0,0)),0)</f>
      </c>
      <c r="H324" s="56"/>
      <c r="I324" s="95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57" t="str">
        <f>IF(C324&lt;&gt;"",_xlfn.XLOOKUP(TEXT(C324,"0"),TEXT(CC!$C$3:$C$1000,"0"),CC!$G$3:$G$1000,""),"")</f>
        <v/>
      </c>
    </row>
    <row r="325" spans="7:12" x14ac:dyDescent="0.25">
      <c r="G325" s="70">
        <f>IFERROR(SUMPRODUCT((TEXT(CC!$C$3:$C$1000,"0")=TEXT(C325,"0"))*IFERROR(CC!$E$3:$E$1000+0,0)),0)</f>
      </c>
      <c r="H325" s="56"/>
      <c r="I325" s="95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57" t="str">
        <f>IF(C325&lt;&gt;"",_xlfn.XLOOKUP(TEXT(C325,"0"),TEXT(CC!$C$3:$C$1000,"0"),CC!$G$3:$G$1000,""),"")</f>
        <v/>
      </c>
    </row>
    <row r="326" spans="7:12" x14ac:dyDescent="0.25">
      <c r="G326" s="70">
        <f>IFERROR(SUMPRODUCT((TEXT(CC!$C$3:$C$1000,"0")=TEXT(C326,"0"))*IFERROR(CC!$E$3:$E$1000+0,0)),0)</f>
      </c>
      <c r="H326" s="56"/>
      <c r="I326" s="95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57" t="str">
        <f>IF(C326&lt;&gt;"",_xlfn.XLOOKUP(TEXT(C326,"0"),TEXT(CC!$C$3:$C$1000,"0"),CC!$G$3:$G$1000,""),"")</f>
        <v/>
      </c>
    </row>
    <row r="327" spans="7:12" x14ac:dyDescent="0.25">
      <c r="G327" s="70">
        <f>IFERROR(SUMPRODUCT((TEXT(CC!$C$3:$C$1000,"0")=TEXT(C327,"0"))*IFERROR(CC!$E$3:$E$1000+0,0)),0)</f>
      </c>
      <c r="H327" s="56"/>
      <c r="I327" s="95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57" t="str">
        <f>IF(C327&lt;&gt;"",_xlfn.XLOOKUP(TEXT(C327,"0"),TEXT(CC!$C$3:$C$1000,"0"),CC!$G$3:$G$1000,""),"")</f>
        <v/>
      </c>
    </row>
    <row r="328" spans="7:12" x14ac:dyDescent="0.25">
      <c r="G328" s="70">
        <f>IFERROR(SUMPRODUCT((TEXT(CC!$C$3:$C$1000,"0")=TEXT(C328,"0"))*IFERROR(CC!$E$3:$E$1000+0,0)),0)</f>
      </c>
      <c r="H328" s="56"/>
      <c r="I328" s="95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57" t="str">
        <f>IF(C328&lt;&gt;"",_xlfn.XLOOKUP(TEXT(C328,"0"),TEXT(CC!$C$3:$C$1000,"0"),CC!$G$3:$G$1000,""),"")</f>
        <v/>
      </c>
    </row>
    <row r="329" spans="7:12" x14ac:dyDescent="0.25">
      <c r="G329" s="70">
        <f>IFERROR(SUMPRODUCT((TEXT(CC!$C$3:$C$1000,"0")=TEXT(C329,"0"))*IFERROR(CC!$E$3:$E$1000+0,0)),0)</f>
      </c>
      <c r="H329" s="56"/>
      <c r="I329" s="95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57" t="str">
        <f>IF(C329&lt;&gt;"",_xlfn.XLOOKUP(TEXT(C329,"0"),TEXT(CC!$C$3:$C$1000,"0"),CC!$G$3:$G$1000,""),"")</f>
        <v/>
      </c>
    </row>
    <row r="330" spans="7:12" x14ac:dyDescent="0.25">
      <c r="G330" s="70">
        <f>IFERROR(SUMPRODUCT((TEXT(CC!$C$3:$C$1000,"0")=TEXT(C330,"0"))*IFERROR(CC!$E$3:$E$1000+0,0)),0)</f>
      </c>
      <c r="H330" s="56"/>
      <c r="I330" s="95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57" t="str">
        <f>IF(C330&lt;&gt;"",_xlfn.XLOOKUP(TEXT(C330,"0"),TEXT(CC!$C$3:$C$1000,"0"),CC!$G$3:$G$1000,""),"")</f>
        <v/>
      </c>
    </row>
    <row r="331" spans="7:12" x14ac:dyDescent="0.25">
      <c r="G331" s="70">
        <f>IFERROR(SUMPRODUCT((TEXT(CC!$C$3:$C$1000,"0")=TEXT(C331,"0"))*IFERROR(CC!$E$3:$E$1000+0,0)),0)</f>
      </c>
      <c r="H331" s="56"/>
      <c r="I331" s="95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57" t="str">
        <f>IF(C331&lt;&gt;"",_xlfn.XLOOKUP(TEXT(C331,"0"),TEXT(CC!$C$3:$C$1000,"0"),CC!$G$3:$G$1000,""),"")</f>
        <v/>
      </c>
    </row>
    <row r="332" spans="7:12" x14ac:dyDescent="0.25">
      <c r="G332" s="70">
        <f>IFERROR(SUMPRODUCT((TEXT(CC!$C$3:$C$1000,"0")=TEXT(C332,"0"))*IFERROR(CC!$E$3:$E$1000+0,0)),0)</f>
      </c>
      <c r="H332" s="56"/>
      <c r="I332" s="95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57" t="str">
        <f>IF(C332&lt;&gt;"",_xlfn.XLOOKUP(TEXT(C332,"0"),TEXT(CC!$C$3:$C$1000,"0"),CC!$G$3:$G$1000,""),"")</f>
        <v/>
      </c>
    </row>
    <row r="333" spans="7:12" x14ac:dyDescent="0.25">
      <c r="G333" s="70">
        <f>IFERROR(SUMPRODUCT((TEXT(CC!$C$3:$C$1000,"0")=TEXT(C333,"0"))*IFERROR(CC!$E$3:$E$1000+0,0)),0)</f>
      </c>
      <c r="H333" s="56"/>
      <c r="I333" s="95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57" t="str">
        <f>IF(C333&lt;&gt;"",_xlfn.XLOOKUP(TEXT(C333,"0"),TEXT(CC!$C$3:$C$1000,"0"),CC!$G$3:$G$1000,""),"")</f>
        <v/>
      </c>
    </row>
    <row r="334" spans="7:12" x14ac:dyDescent="0.25">
      <c r="G334" s="70">
        <f>IFERROR(SUMPRODUCT((TEXT(CC!$C$3:$C$1000,"0")=TEXT(C334,"0"))*IFERROR(CC!$E$3:$E$1000+0,0)),0)</f>
      </c>
      <c r="H334" s="56"/>
      <c r="I334" s="95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57" t="str">
        <f>IF(C334&lt;&gt;"",_xlfn.XLOOKUP(TEXT(C334,"0"),TEXT(CC!$C$3:$C$1000,"0"),CC!$G$3:$G$1000,""),"")</f>
        <v/>
      </c>
    </row>
    <row r="335" spans="7:12" x14ac:dyDescent="0.25">
      <c r="G335" s="70">
        <f>IFERROR(SUMPRODUCT((TEXT(CC!$C$3:$C$1000,"0")=TEXT(C335,"0"))*IFERROR(CC!$E$3:$E$1000+0,0)),0)</f>
      </c>
      <c r="H335" s="56"/>
      <c r="I335" s="95" t="str">
        <f t="shared" ref="I335:I398" si="20">IF(J335&lt;&gt;0,"511011","")</f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57" t="str">
        <f>IF(C335&lt;&gt;"",_xlfn.XLOOKUP(TEXT(C335,"0"),TEXT(CC!$C$3:$C$1000,"0"),CC!$G$3:$G$1000,""),"")</f>
        <v/>
      </c>
    </row>
    <row r="336" spans="7:12" x14ac:dyDescent="0.25">
      <c r="G336" s="70">
        <f>IFERROR(SUMPRODUCT((TEXT(CC!$C$3:$C$1000,"0")=TEXT(C336,"0"))*IFERROR(CC!$E$3:$E$1000+0,0)),0)</f>
      </c>
      <c r="H336" s="56"/>
      <c r="I336" s="95" t="str">
        <f t="shared" si="20"/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57" t="str">
        <f>IF(C336&lt;&gt;"",_xlfn.XLOOKUP(TEXT(C336,"0"),TEXT(CC!$C$3:$C$1000,"0"),CC!$G$3:$G$1000,""),"")</f>
        <v/>
      </c>
    </row>
    <row r="337" spans="7:12" x14ac:dyDescent="0.25">
      <c r="G337" s="70">
        <f>IFERROR(SUMPRODUCT((TEXT(CC!$C$3:$C$1000,"0")=TEXT(C337,"0"))*IFERROR(CC!$E$3:$E$1000+0,0)),0)</f>
      </c>
      <c r="H337" s="56"/>
      <c r="I337" s="95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57" t="str">
        <f>IF(C337&lt;&gt;"",_xlfn.XLOOKUP(TEXT(C337,"0"),TEXT(CC!$C$3:$C$1000,"0"),CC!$G$3:$G$1000,""),"")</f>
        <v/>
      </c>
    </row>
    <row r="338" spans="7:12" x14ac:dyDescent="0.25">
      <c r="G338" s="70">
        <f>IFERROR(SUMPRODUCT((TEXT(CC!$C$3:$C$1000,"0")=TEXT(C338,"0"))*IFERROR(CC!$E$3:$E$1000+0,0)),0)</f>
      </c>
      <c r="H338" s="56"/>
      <c r="I338" s="95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57" t="str">
        <f>IF(C338&lt;&gt;"",_xlfn.XLOOKUP(TEXT(C338,"0"),TEXT(CC!$C$3:$C$1000,"0"),CC!$G$3:$G$1000,""),"")</f>
        <v/>
      </c>
    </row>
    <row r="339" spans="7:12" x14ac:dyDescent="0.25">
      <c r="G339" s="70">
        <f>IFERROR(SUMPRODUCT((TEXT(CC!$C$3:$C$1000,"0")=TEXT(C339,"0"))*IFERROR(CC!$E$3:$E$1000+0,0)),0)</f>
      </c>
      <c r="H339" s="56"/>
      <c r="I339" s="95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57" t="str">
        <f>IF(C339&lt;&gt;"",_xlfn.XLOOKUP(TEXT(C339,"0"),TEXT(CC!$C$3:$C$1000,"0"),CC!$G$3:$G$1000,""),"")</f>
        <v/>
      </c>
    </row>
    <row r="340" spans="7:12" x14ac:dyDescent="0.25">
      <c r="G340" s="70">
        <f>IFERROR(SUMPRODUCT((TEXT(CC!$C$3:$C$1000,"0")=TEXT(C340,"0"))*IFERROR(CC!$E$3:$E$1000+0,0)),0)</f>
      </c>
      <c r="H340" s="56"/>
      <c r="I340" s="95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57" t="str">
        <f>IF(C340&lt;&gt;"",_xlfn.XLOOKUP(TEXT(C340,"0"),TEXT(CC!$C$3:$C$1000,"0"),CC!$G$3:$G$1000,""),"")</f>
        <v/>
      </c>
    </row>
    <row r="341" spans="7:12" x14ac:dyDescent="0.25">
      <c r="G341" s="70">
        <f>IFERROR(SUMPRODUCT((TEXT(CC!$C$3:$C$1000,"0")=TEXT(C341,"0"))*IFERROR(CC!$E$3:$E$1000+0,0)),0)</f>
      </c>
      <c r="H341" s="56"/>
      <c r="I341" s="95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57" t="str">
        <f>IF(C341&lt;&gt;"",_xlfn.XLOOKUP(TEXT(C341,"0"),TEXT(CC!$C$3:$C$1000,"0"),CC!$G$3:$G$1000,""),"")</f>
        <v/>
      </c>
    </row>
    <row r="342" spans="7:12" x14ac:dyDescent="0.25">
      <c r="G342" s="70">
        <f>IFERROR(SUMPRODUCT((TEXT(CC!$C$3:$C$1000,"0")=TEXT(C342,"0"))*IFERROR(CC!$E$3:$E$1000+0,0)),0)</f>
      </c>
      <c r="H342" s="56"/>
      <c r="I342" s="95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57" t="str">
        <f>IF(C342&lt;&gt;"",_xlfn.XLOOKUP(TEXT(C342,"0"),TEXT(CC!$C$3:$C$1000,"0"),CC!$G$3:$G$1000,""),"")</f>
        <v/>
      </c>
    </row>
    <row r="343" spans="7:12" x14ac:dyDescent="0.25">
      <c r="G343" s="70">
        <f>IFERROR(SUMPRODUCT((TEXT(CC!$C$3:$C$1000,"0")=TEXT(C343,"0"))*IFERROR(CC!$E$3:$E$1000+0,0)),0)</f>
      </c>
      <c r="H343" s="56"/>
      <c r="I343" s="95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57" t="str">
        <f>IF(C343&lt;&gt;"",_xlfn.XLOOKUP(TEXT(C343,"0"),TEXT(CC!$C$3:$C$1000,"0"),CC!$G$3:$G$1000,""),"")</f>
        <v/>
      </c>
    </row>
    <row r="344" spans="7:12" x14ac:dyDescent="0.25">
      <c r="G344" s="70">
        <f>IFERROR(SUMPRODUCT((TEXT(CC!$C$3:$C$1000,"0")=TEXT(C344,"0"))*IFERROR(CC!$E$3:$E$1000+0,0)),0)</f>
      </c>
      <c r="H344" s="56"/>
      <c r="I344" s="95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57" t="str">
        <f>IF(C344&lt;&gt;"",_xlfn.XLOOKUP(TEXT(C344,"0"),TEXT(CC!$C$3:$C$1000,"0"),CC!$G$3:$G$1000,""),"")</f>
        <v/>
      </c>
    </row>
    <row r="345" spans="7:12" x14ac:dyDescent="0.25">
      <c r="G345" s="70">
        <f>IFERROR(SUMPRODUCT((TEXT(CC!$C$3:$C$1000,"0")=TEXT(C345,"0"))*IFERROR(CC!$E$3:$E$1000+0,0)),0)</f>
      </c>
      <c r="H345" s="56"/>
      <c r="I345" s="95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57" t="str">
        <f>IF(C345&lt;&gt;"",_xlfn.XLOOKUP(TEXT(C345,"0"),TEXT(CC!$C$3:$C$1000,"0"),CC!$G$3:$G$1000,""),"")</f>
        <v/>
      </c>
    </row>
    <row r="346" spans="7:12" x14ac:dyDescent="0.25">
      <c r="G346" s="70">
        <f>IFERROR(SUMPRODUCT((TEXT(CC!$C$3:$C$1000,"0")=TEXT(C346,"0"))*IFERROR(CC!$E$3:$E$1000+0,0)),0)</f>
      </c>
      <c r="H346" s="56"/>
      <c r="I346" s="95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57" t="str">
        <f>IF(C346&lt;&gt;"",_xlfn.XLOOKUP(TEXT(C346,"0"),TEXT(CC!$C$3:$C$1000,"0"),CC!$G$3:$G$1000,""),"")</f>
        <v/>
      </c>
    </row>
    <row r="347" spans="7:12" x14ac:dyDescent="0.25">
      <c r="G347" s="70">
        <f>IFERROR(SUMPRODUCT((TEXT(CC!$C$3:$C$1000,"0")=TEXT(C347,"0"))*IFERROR(CC!$E$3:$E$1000+0,0)),0)</f>
      </c>
      <c r="H347" s="56"/>
      <c r="I347" s="95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57" t="str">
        <f>IF(C347&lt;&gt;"",_xlfn.XLOOKUP(TEXT(C347,"0"),TEXT(CC!$C$3:$C$1000,"0"),CC!$G$3:$G$1000,""),"")</f>
        <v/>
      </c>
    </row>
    <row r="348" spans="7:12" x14ac:dyDescent="0.25">
      <c r="G348" s="70">
        <f>IFERROR(SUMPRODUCT((TEXT(CC!$C$3:$C$1000,"0")=TEXT(C348,"0"))*IFERROR(CC!$E$3:$E$1000+0,0)),0)</f>
      </c>
      <c r="H348" s="56"/>
      <c r="I348" s="95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57" t="str">
        <f>IF(C348&lt;&gt;"",_xlfn.XLOOKUP(TEXT(C348,"0"),TEXT(CC!$C$3:$C$1000,"0"),CC!$G$3:$G$1000,""),"")</f>
        <v/>
      </c>
    </row>
    <row r="349" spans="7:12" x14ac:dyDescent="0.25">
      <c r="G349" s="70">
        <f>IFERROR(SUMPRODUCT((TEXT(CC!$C$3:$C$1000,"0")=TEXT(C349,"0"))*IFERROR(CC!$E$3:$E$1000+0,0)),0)</f>
      </c>
      <c r="H349" s="56"/>
      <c r="I349" s="95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57" t="str">
        <f>IF(C349&lt;&gt;"",_xlfn.XLOOKUP(TEXT(C349,"0"),TEXT(CC!$C$3:$C$1000,"0"),CC!$G$3:$G$1000,""),"")</f>
        <v/>
      </c>
    </row>
    <row r="350" spans="7:12" x14ac:dyDescent="0.25">
      <c r="G350" s="70">
        <f>IFERROR(SUMPRODUCT((TEXT(CC!$C$3:$C$1000,"0")=TEXT(C350,"0"))*IFERROR(CC!$E$3:$E$1000+0,0)),0)</f>
      </c>
      <c r="H350" s="56"/>
      <c r="I350" s="95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57" t="str">
        <f>IF(C350&lt;&gt;"",_xlfn.XLOOKUP(TEXT(C350,"0"),TEXT(CC!$C$3:$C$1000,"0"),CC!$G$3:$G$1000,""),"")</f>
        <v/>
      </c>
    </row>
    <row r="351" spans="7:12" x14ac:dyDescent="0.25">
      <c r="G351" s="70">
        <f>IFERROR(SUMPRODUCT((TEXT(CC!$C$3:$C$1000,"0")=TEXT(C351,"0"))*IFERROR(CC!$E$3:$E$1000+0,0)),0)</f>
      </c>
      <c r="H351" s="56"/>
      <c r="I351" s="95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57" t="str">
        <f>IF(C351&lt;&gt;"",_xlfn.XLOOKUP(TEXT(C351,"0"),TEXT(CC!$C$3:$C$1000,"0"),CC!$G$3:$G$1000,""),"")</f>
        <v/>
      </c>
    </row>
    <row r="352" spans="7:12" x14ac:dyDescent="0.25">
      <c r="G352" s="70">
        <f>IFERROR(SUMPRODUCT((TEXT(CC!$C$3:$C$1000,"0")=TEXT(C352,"0"))*IFERROR(CC!$E$3:$E$1000+0,0)),0)</f>
      </c>
      <c r="H352" s="56"/>
      <c r="I352" s="95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57" t="str">
        <f>IF(C352&lt;&gt;"",_xlfn.XLOOKUP(TEXT(C352,"0"),TEXT(CC!$C$3:$C$1000,"0"),CC!$G$3:$G$1000,""),"")</f>
        <v/>
      </c>
    </row>
    <row r="353" spans="7:12" x14ac:dyDescent="0.25">
      <c r="G353" s="70">
        <f>IFERROR(SUMPRODUCT((TEXT(CC!$C$3:$C$1000,"0")=TEXT(C353,"0"))*IFERROR(CC!$E$3:$E$1000+0,0)),0)</f>
      </c>
      <c r="H353" s="56"/>
      <c r="I353" s="95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57" t="str">
        <f>IF(C353&lt;&gt;"",_xlfn.XLOOKUP(TEXT(C353,"0"),TEXT(CC!$C$3:$C$1000,"0"),CC!$G$3:$G$1000,""),"")</f>
        <v/>
      </c>
    </row>
    <row r="354" spans="7:12" x14ac:dyDescent="0.25">
      <c r="G354" s="70">
        <f>IFERROR(SUMPRODUCT((TEXT(CC!$C$3:$C$1000,"0")=TEXT(C354,"0"))*IFERROR(CC!$E$3:$E$1000+0,0)),0)</f>
      </c>
      <c r="H354" s="56"/>
      <c r="I354" s="95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57" t="str">
        <f>IF(C354&lt;&gt;"",_xlfn.XLOOKUP(TEXT(C354,"0"),TEXT(CC!$C$3:$C$1000,"0"),CC!$G$3:$G$1000,""),"")</f>
        <v/>
      </c>
    </row>
    <row r="355" spans="7:12" x14ac:dyDescent="0.25">
      <c r="G355" s="70">
        <f>IFERROR(SUMPRODUCT((TEXT(CC!$C$3:$C$1000,"0")=TEXT(C355,"0"))*IFERROR(CC!$E$3:$E$1000+0,0)),0)</f>
      </c>
      <c r="H355" s="56"/>
      <c r="I355" s="95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57" t="str">
        <f>IF(C355&lt;&gt;"",_xlfn.XLOOKUP(TEXT(C355,"0"),TEXT(CC!$C$3:$C$1000,"0"),CC!$G$3:$G$1000,""),"")</f>
        <v/>
      </c>
    </row>
    <row r="356" spans="7:12" x14ac:dyDescent="0.25">
      <c r="G356" s="70">
        <f>IFERROR(SUMPRODUCT((TEXT(CC!$C$3:$C$1000,"0")=TEXT(C356,"0"))*IFERROR(CC!$E$3:$E$1000+0,0)),0)</f>
      </c>
      <c r="H356" s="56"/>
      <c r="I356" s="95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57" t="str">
        <f>IF(C356&lt;&gt;"",_xlfn.XLOOKUP(TEXT(C356,"0"),TEXT(CC!$C$3:$C$1000,"0"),CC!$G$3:$G$1000,""),"")</f>
        <v/>
      </c>
    </row>
    <row r="357" spans="7:12" x14ac:dyDescent="0.25">
      <c r="G357" s="70">
        <f>IFERROR(SUMPRODUCT((TEXT(CC!$C$3:$C$1000,"0")=TEXT(C357,"0"))*IFERROR(CC!$E$3:$E$1000+0,0)),0)</f>
      </c>
      <c r="H357" s="56"/>
      <c r="I357" s="95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57" t="str">
        <f>IF(C357&lt;&gt;"",_xlfn.XLOOKUP(TEXT(C357,"0"),TEXT(CC!$C$3:$C$1000,"0"),CC!$G$3:$G$1000,""),"")</f>
        <v/>
      </c>
    </row>
    <row r="358" spans="7:12" x14ac:dyDescent="0.25">
      <c r="G358" s="70">
        <f>IFERROR(SUMPRODUCT((TEXT(CC!$C$3:$C$1000,"0")=TEXT(C358,"0"))*IFERROR(CC!$E$3:$E$1000+0,0)),0)</f>
      </c>
      <c r="H358" s="56"/>
      <c r="I358" s="95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57" t="str">
        <f>IF(C358&lt;&gt;"",_xlfn.XLOOKUP(TEXT(C358,"0"),TEXT(CC!$C$3:$C$1000,"0"),CC!$G$3:$G$1000,""),"")</f>
        <v/>
      </c>
    </row>
    <row r="359" spans="7:12" x14ac:dyDescent="0.25">
      <c r="G359" s="70">
        <f>IFERROR(SUMPRODUCT((TEXT(CC!$C$3:$C$1000,"0")=TEXT(C359,"0"))*IFERROR(CC!$E$3:$E$1000+0,0)),0)</f>
      </c>
      <c r="H359" s="56"/>
      <c r="I359" s="95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57" t="str">
        <f>IF(C359&lt;&gt;"",_xlfn.XLOOKUP(TEXT(C359,"0"),TEXT(CC!$C$3:$C$1000,"0"),CC!$G$3:$G$1000,""),"")</f>
        <v/>
      </c>
    </row>
    <row r="360" spans="7:12" x14ac:dyDescent="0.25">
      <c r="G360" s="70">
        <f>IFERROR(SUMPRODUCT((TEXT(CC!$C$3:$C$1000,"0")=TEXT(C360,"0"))*IFERROR(CC!$E$3:$E$1000+0,0)),0)</f>
      </c>
      <c r="H360" s="56"/>
      <c r="I360" s="95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57" t="str">
        <f>IF(C360&lt;&gt;"",_xlfn.XLOOKUP(TEXT(C360,"0"),TEXT(CC!$C$3:$C$1000,"0"),CC!$G$3:$G$1000,""),"")</f>
        <v/>
      </c>
    </row>
    <row r="361" spans="7:12" x14ac:dyDescent="0.25">
      <c r="G361" s="70">
        <f>IFERROR(SUMPRODUCT((TEXT(CC!$C$3:$C$1000,"0")=TEXT(C361,"0"))*IFERROR(CC!$E$3:$E$1000+0,0)),0)</f>
      </c>
      <c r="H361" s="56"/>
      <c r="I361" s="95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57" t="str">
        <f>IF(C361&lt;&gt;"",_xlfn.XLOOKUP(TEXT(C361,"0"),TEXT(CC!$C$3:$C$1000,"0"),CC!$G$3:$G$1000,""),"")</f>
        <v/>
      </c>
    </row>
    <row r="362" spans="7:12" x14ac:dyDescent="0.25">
      <c r="G362" s="70">
        <f>IFERROR(SUMPRODUCT((TEXT(CC!$C$3:$C$1000,"0")=TEXT(C362,"0"))*IFERROR(CC!$E$3:$E$1000+0,0)),0)</f>
      </c>
      <c r="H362" s="56"/>
      <c r="I362" s="95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57" t="str">
        <f>IF(C362&lt;&gt;"",_xlfn.XLOOKUP(TEXT(C362,"0"),TEXT(CC!$C$3:$C$1000,"0"),CC!$G$3:$G$1000,""),"")</f>
        <v/>
      </c>
    </row>
    <row r="363" spans="7:12" x14ac:dyDescent="0.25">
      <c r="G363" s="70">
        <f>IFERROR(SUMPRODUCT((TEXT(CC!$C$3:$C$1000,"0")=TEXT(C363,"0"))*IFERROR(CC!$E$3:$E$1000+0,0)),0)</f>
      </c>
      <c r="H363" s="56"/>
      <c r="I363" s="95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57" t="str">
        <f>IF(C363&lt;&gt;"",_xlfn.XLOOKUP(TEXT(C363,"0"),TEXT(CC!$C$3:$C$1000,"0"),CC!$G$3:$G$1000,""),"")</f>
        <v/>
      </c>
    </row>
    <row r="364" spans="7:12" x14ac:dyDescent="0.25">
      <c r="G364" s="70">
        <f>IFERROR(SUMPRODUCT((TEXT(CC!$C$3:$C$1000,"0")=TEXT(C364,"0"))*IFERROR(CC!$E$3:$E$1000+0,0)),0)</f>
      </c>
      <c r="H364" s="56"/>
      <c r="I364" s="95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57" t="str">
        <f>IF(C364&lt;&gt;"",_xlfn.XLOOKUP(TEXT(C364,"0"),TEXT(CC!$C$3:$C$1000,"0"),CC!$G$3:$G$1000,""),"")</f>
        <v/>
      </c>
    </row>
    <row r="365" spans="7:12" x14ac:dyDescent="0.25">
      <c r="G365" s="70">
        <f>IFERROR(SUMPRODUCT((TEXT(CC!$C$3:$C$1000,"0")=TEXT(C365,"0"))*IFERROR(CC!$E$3:$E$1000+0,0)),0)</f>
      </c>
      <c r="H365" s="56"/>
      <c r="I365" s="95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57" t="str">
        <f>IF(C365&lt;&gt;"",_xlfn.XLOOKUP(TEXT(C365,"0"),TEXT(CC!$C$3:$C$1000,"0"),CC!$G$3:$G$1000,""),"")</f>
        <v/>
      </c>
    </row>
    <row r="366" spans="7:12" x14ac:dyDescent="0.25">
      <c r="G366" s="70">
        <f>IFERROR(SUMPRODUCT((TEXT(CC!$C$3:$C$1000,"0")=TEXT(C366,"0"))*IFERROR(CC!$E$3:$E$1000+0,0)),0)</f>
      </c>
      <c r="H366" s="56"/>
      <c r="I366" s="95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57" t="str">
        <f>IF(C366&lt;&gt;"",_xlfn.XLOOKUP(TEXT(C366,"0"),TEXT(CC!$C$3:$C$1000,"0"),CC!$G$3:$G$1000,""),"")</f>
        <v/>
      </c>
    </row>
    <row r="367" spans="7:12" x14ac:dyDescent="0.25">
      <c r="G367" s="70">
        <f>IFERROR(SUMPRODUCT((TEXT(CC!$C$3:$C$1000,"0")=TEXT(C367,"0"))*IFERROR(CC!$E$3:$E$1000+0,0)),0)</f>
      </c>
      <c r="H367" s="56"/>
      <c r="I367" s="95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57" t="str">
        <f>IF(C367&lt;&gt;"",_xlfn.XLOOKUP(TEXT(C367,"0"),TEXT(CC!$C$3:$C$1000,"0"),CC!$G$3:$G$1000,""),"")</f>
        <v/>
      </c>
    </row>
    <row r="368" spans="7:12" x14ac:dyDescent="0.25">
      <c r="G368" s="70">
        <f>IFERROR(SUMPRODUCT((TEXT(CC!$C$3:$C$1000,"0")=TEXT(C368,"0"))*IFERROR(CC!$E$3:$E$1000+0,0)),0)</f>
      </c>
      <c r="H368" s="56"/>
      <c r="I368" s="95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57" t="str">
        <f>IF(C368&lt;&gt;"",_xlfn.XLOOKUP(TEXT(C368,"0"),TEXT(CC!$C$3:$C$1000,"0"),CC!$G$3:$G$1000,""),"")</f>
        <v/>
      </c>
    </row>
    <row r="369" spans="7:12" x14ac:dyDescent="0.25">
      <c r="G369" s="70">
        <f>IFERROR(SUMPRODUCT((TEXT(CC!$C$3:$C$1000,"0")=TEXT(C369,"0"))*IFERROR(CC!$E$3:$E$1000+0,0)),0)</f>
      </c>
      <c r="H369" s="56"/>
      <c r="I369" s="95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57" t="str">
        <f>IF(C369&lt;&gt;"",_xlfn.XLOOKUP(TEXT(C369,"0"),TEXT(CC!$C$3:$C$1000,"0"),CC!$G$3:$G$1000,""),"")</f>
        <v/>
      </c>
    </row>
    <row r="370" spans="7:12" x14ac:dyDescent="0.25">
      <c r="G370" s="70">
        <f>IFERROR(SUMPRODUCT((TEXT(CC!$C$3:$C$1000,"0")=TEXT(C370,"0"))*IFERROR(CC!$E$3:$E$1000+0,0)),0)</f>
      </c>
      <c r="H370" s="56"/>
      <c r="I370" s="95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57" t="str">
        <f>IF(C370&lt;&gt;"",_xlfn.XLOOKUP(TEXT(C370,"0"),TEXT(CC!$C$3:$C$1000,"0"),CC!$G$3:$G$1000,""),"")</f>
        <v/>
      </c>
    </row>
    <row r="371" spans="7:12" x14ac:dyDescent="0.25">
      <c r="G371" s="70">
        <f>IFERROR(SUMPRODUCT((TEXT(CC!$C$3:$C$1000,"0")=TEXT(C371,"0"))*IFERROR(CC!$E$3:$E$1000+0,0)),0)</f>
      </c>
      <c r="H371" s="56"/>
      <c r="I371" s="95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57" t="str">
        <f>IF(C371&lt;&gt;"",_xlfn.XLOOKUP(TEXT(C371,"0"),TEXT(CC!$C$3:$C$1000,"0"),CC!$G$3:$G$1000,""),"")</f>
        <v/>
      </c>
    </row>
    <row r="372" spans="7:12" x14ac:dyDescent="0.25">
      <c r="G372" s="70">
        <f>IFERROR(SUMPRODUCT((TEXT(CC!$C$3:$C$1000,"0")=TEXT(C372,"0"))*IFERROR(CC!$E$3:$E$1000+0,0)),0)</f>
      </c>
      <c r="H372" s="56"/>
      <c r="I372" s="95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57" t="str">
        <f>IF(C372&lt;&gt;"",_xlfn.XLOOKUP(TEXT(C372,"0"),TEXT(CC!$C$3:$C$1000,"0"),CC!$G$3:$G$1000,""),"")</f>
        <v/>
      </c>
    </row>
    <row r="373" spans="7:12" x14ac:dyDescent="0.25">
      <c r="G373" s="70">
        <f>IFERROR(SUMPRODUCT((TEXT(CC!$C$3:$C$1000,"0")=TEXT(C373,"0"))*IFERROR(CC!$E$3:$E$1000+0,0)),0)</f>
      </c>
      <c r="H373" s="56"/>
      <c r="I373" s="95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57" t="str">
        <f>IF(C373&lt;&gt;"",_xlfn.XLOOKUP(TEXT(C373,"0"),TEXT(CC!$C$3:$C$1000,"0"),CC!$G$3:$G$1000,""),"")</f>
        <v/>
      </c>
    </row>
    <row r="374" spans="7:12" x14ac:dyDescent="0.25">
      <c r="G374" s="70">
        <f>IFERROR(SUMPRODUCT((TEXT(CC!$C$3:$C$1000,"0")=TEXT(C374,"0"))*IFERROR(CC!$E$3:$E$1000+0,0)),0)</f>
      </c>
      <c r="H374" s="56"/>
      <c r="I374" s="95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57" t="str">
        <f>IF(C374&lt;&gt;"",_xlfn.XLOOKUP(TEXT(C374,"0"),TEXT(CC!$C$3:$C$1000,"0"),CC!$G$3:$G$1000,""),"")</f>
        <v/>
      </c>
    </row>
    <row r="375" spans="7:12" x14ac:dyDescent="0.25">
      <c r="G375" s="70">
        <f>IFERROR(SUMPRODUCT((TEXT(CC!$C$3:$C$1000,"0")=TEXT(C375,"0"))*IFERROR(CC!$E$3:$E$1000+0,0)),0)</f>
      </c>
      <c r="H375" s="56"/>
      <c r="I375" s="95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57" t="str">
        <f>IF(C375&lt;&gt;"",_xlfn.XLOOKUP(TEXT(C375,"0"),TEXT(CC!$C$3:$C$1000,"0"),CC!$G$3:$G$1000,""),"")</f>
        <v/>
      </c>
    </row>
    <row r="376" spans="7:12" x14ac:dyDescent="0.25">
      <c r="G376" s="70">
        <f>IFERROR(SUMPRODUCT((TEXT(CC!$C$3:$C$1000,"0")=TEXT(C376,"0"))*IFERROR(CC!$E$3:$E$1000+0,0)),0)</f>
      </c>
      <c r="H376" s="56"/>
      <c r="I376" s="95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57" t="str">
        <f>IF(C376&lt;&gt;"",_xlfn.XLOOKUP(TEXT(C376,"0"),TEXT(CC!$C$3:$C$1000,"0"),CC!$G$3:$G$1000,""),"")</f>
        <v/>
      </c>
    </row>
    <row r="377" spans="7:12" x14ac:dyDescent="0.25">
      <c r="G377" s="70">
        <f>IFERROR(SUMPRODUCT((TEXT(CC!$C$3:$C$1000,"0")=TEXT(C377,"0"))*IFERROR(CC!$E$3:$E$1000+0,0)),0)</f>
      </c>
      <c r="H377" s="56"/>
      <c r="I377" s="95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57" t="str">
        <f>IF(C377&lt;&gt;"",_xlfn.XLOOKUP(TEXT(C377,"0"),TEXT(CC!$C$3:$C$1000,"0"),CC!$G$3:$G$1000,""),"")</f>
        <v/>
      </c>
    </row>
    <row r="378" spans="7:12" x14ac:dyDescent="0.25">
      <c r="G378" s="70">
        <f>IFERROR(SUMPRODUCT((TEXT(CC!$C$3:$C$1000,"0")=TEXT(C378,"0"))*IFERROR(CC!$E$3:$E$1000+0,0)),0)</f>
      </c>
      <c r="H378" s="56"/>
      <c r="I378" s="95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57" t="str">
        <f>IF(C378&lt;&gt;"",_xlfn.XLOOKUP(TEXT(C378,"0"),TEXT(CC!$C$3:$C$1000,"0"),CC!$G$3:$G$1000,""),"")</f>
        <v/>
      </c>
    </row>
    <row r="379" spans="7:12" x14ac:dyDescent="0.25">
      <c r="G379" s="70">
        <f>IFERROR(SUMPRODUCT((TEXT(CC!$C$3:$C$1000,"0")=TEXT(C379,"0"))*IFERROR(CC!$E$3:$E$1000+0,0)),0)</f>
      </c>
      <c r="H379" s="56"/>
      <c r="I379" s="95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57" t="str">
        <f>IF(C379&lt;&gt;"",_xlfn.XLOOKUP(TEXT(C379,"0"),TEXT(CC!$C$3:$C$1000,"0"),CC!$G$3:$G$1000,""),"")</f>
        <v/>
      </c>
    </row>
    <row r="380" spans="7:12" x14ac:dyDescent="0.25">
      <c r="G380" s="70">
        <f>IFERROR(SUMPRODUCT((TEXT(CC!$C$3:$C$1000,"0")=TEXT(C380,"0"))*IFERROR(CC!$E$3:$E$1000+0,0)),0)</f>
      </c>
      <c r="H380" s="56"/>
      <c r="I380" s="95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57" t="str">
        <f>IF(C380&lt;&gt;"",_xlfn.XLOOKUP(TEXT(C380,"0"),TEXT(CC!$C$3:$C$1000,"0"),CC!$G$3:$G$1000,""),"")</f>
        <v/>
      </c>
    </row>
    <row r="381" spans="7:12" x14ac:dyDescent="0.25">
      <c r="G381" s="70">
        <f>IFERROR(SUMPRODUCT((TEXT(CC!$C$3:$C$1000,"0")=TEXT(C381,"0"))*IFERROR(CC!$E$3:$E$1000+0,0)),0)</f>
      </c>
      <c r="H381" s="56"/>
      <c r="I381" s="95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57" t="str">
        <f>IF(C381&lt;&gt;"",_xlfn.XLOOKUP(TEXT(C381,"0"),TEXT(CC!$C$3:$C$1000,"0"),CC!$G$3:$G$1000,""),"")</f>
        <v/>
      </c>
    </row>
    <row r="382" spans="7:12" x14ac:dyDescent="0.25">
      <c r="G382" s="70">
        <f>IFERROR(SUMPRODUCT((TEXT(CC!$C$3:$C$1000,"0")=TEXT(C382,"0"))*IFERROR(CC!$E$3:$E$1000+0,0)),0)</f>
      </c>
      <c r="H382" s="56"/>
      <c r="I382" s="95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57" t="str">
        <f>IF(C382&lt;&gt;"",_xlfn.XLOOKUP(TEXT(C382,"0"),TEXT(CC!$C$3:$C$1000,"0"),CC!$G$3:$G$1000,""),"")</f>
        <v/>
      </c>
    </row>
    <row r="383" spans="7:12" x14ac:dyDescent="0.25">
      <c r="G383" s="70">
        <f>IFERROR(SUMPRODUCT((TEXT(CC!$C$3:$C$1000,"0")=TEXT(C383,"0"))*IFERROR(CC!$E$3:$E$1000+0,0)),0)</f>
      </c>
      <c r="H383" s="56"/>
      <c r="I383" s="95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57" t="str">
        <f>IF(C383&lt;&gt;"",_xlfn.XLOOKUP(TEXT(C383,"0"),TEXT(CC!$C$3:$C$1000,"0"),CC!$G$3:$G$1000,""),"")</f>
        <v/>
      </c>
    </row>
    <row r="384" spans="7:12" x14ac:dyDescent="0.25">
      <c r="G384" s="70">
        <f>IFERROR(SUMPRODUCT((TEXT(CC!$C$3:$C$1000,"0")=TEXT(C384,"0"))*IFERROR(CC!$E$3:$E$1000+0,0)),0)</f>
      </c>
      <c r="H384" s="56"/>
      <c r="I384" s="95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57" t="str">
        <f>IF(C384&lt;&gt;"",_xlfn.XLOOKUP(TEXT(C384,"0"),TEXT(CC!$C$3:$C$1000,"0"),CC!$G$3:$G$1000,""),"")</f>
        <v/>
      </c>
    </row>
    <row r="385" spans="7:12" x14ac:dyDescent="0.25">
      <c r="G385" s="70">
        <f>IFERROR(SUMPRODUCT((TEXT(CC!$C$3:$C$1000,"0")=TEXT(C385,"0"))*IFERROR(CC!$E$3:$E$1000+0,0)),0)</f>
      </c>
      <c r="H385" s="56"/>
      <c r="I385" s="95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57" t="str">
        <f>IF(C385&lt;&gt;"",_xlfn.XLOOKUP(TEXT(C385,"0"),TEXT(CC!$C$3:$C$1000,"0"),CC!$G$3:$G$1000,""),"")</f>
        <v/>
      </c>
    </row>
    <row r="386" spans="7:12" x14ac:dyDescent="0.25">
      <c r="G386" s="70">
        <f>IFERROR(SUMPRODUCT((TEXT(CC!$C$3:$C$1000,"0")=TEXT(C386,"0"))*IFERROR(CC!$E$3:$E$1000+0,0)),0)</f>
      </c>
      <c r="H386" s="56"/>
      <c r="I386" s="95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57" t="str">
        <f>IF(C386&lt;&gt;"",_xlfn.XLOOKUP(TEXT(C386,"0"),TEXT(CC!$C$3:$C$1000,"0"),CC!$G$3:$G$1000,""),"")</f>
        <v/>
      </c>
    </row>
    <row r="387" spans="7:12" x14ac:dyDescent="0.25">
      <c r="G387" s="70">
        <f>IFERROR(SUMPRODUCT((TEXT(CC!$C$3:$C$1000,"0")=TEXT(C387,"0"))*IFERROR(CC!$E$3:$E$1000+0,0)),0)</f>
      </c>
      <c r="H387" s="56"/>
      <c r="I387" s="95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57" t="str">
        <f>IF(C387&lt;&gt;"",_xlfn.XLOOKUP(TEXT(C387,"0"),TEXT(CC!$C$3:$C$1000,"0"),CC!$G$3:$G$1000,""),"")</f>
        <v/>
      </c>
    </row>
    <row r="388" spans="7:12" x14ac:dyDescent="0.25">
      <c r="G388" s="70">
        <f>IFERROR(SUMPRODUCT((TEXT(CC!$C$3:$C$1000,"0")=TEXT(C388,"0"))*IFERROR(CC!$E$3:$E$1000+0,0)),0)</f>
      </c>
      <c r="H388" s="56"/>
      <c r="I388" s="95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57" t="str">
        <f>IF(C388&lt;&gt;"",_xlfn.XLOOKUP(TEXT(C388,"0"),TEXT(CC!$C$3:$C$1000,"0"),CC!$G$3:$G$1000,""),"")</f>
        <v/>
      </c>
    </row>
    <row r="389" spans="7:12" x14ac:dyDescent="0.25">
      <c r="G389" s="70">
        <f>IFERROR(SUMPRODUCT((TEXT(CC!$C$3:$C$1000,"0")=TEXT(C389,"0"))*IFERROR(CC!$E$3:$E$1000+0,0)),0)</f>
      </c>
      <c r="H389" s="56"/>
      <c r="I389" s="95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57" t="str">
        <f>IF(C389&lt;&gt;"",_xlfn.XLOOKUP(TEXT(C389,"0"),TEXT(CC!$C$3:$C$1000,"0"),CC!$G$3:$G$1000,""),"")</f>
        <v/>
      </c>
    </row>
    <row r="390" spans="7:12" x14ac:dyDescent="0.25">
      <c r="G390" s="70">
        <f>IFERROR(SUMPRODUCT((TEXT(CC!$C$3:$C$1000,"0")=TEXT(C390,"0"))*IFERROR(CC!$E$3:$E$1000+0,0)),0)</f>
      </c>
      <c r="H390" s="56"/>
      <c r="I390" s="95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57" t="str">
        <f>IF(C390&lt;&gt;"",_xlfn.XLOOKUP(TEXT(C390,"0"),TEXT(CC!$C$3:$C$1000,"0"),CC!$G$3:$G$1000,""),"")</f>
        <v/>
      </c>
    </row>
    <row r="391" spans="7:12" x14ac:dyDescent="0.25">
      <c r="G391" s="70">
        <f>IFERROR(SUMPRODUCT((TEXT(CC!$C$3:$C$1000,"0")=TEXT(C391,"0"))*IFERROR(CC!$E$3:$E$1000+0,0)),0)</f>
      </c>
      <c r="H391" s="56"/>
      <c r="I391" s="95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57" t="str">
        <f>IF(C391&lt;&gt;"",_xlfn.XLOOKUP(TEXT(C391,"0"),TEXT(CC!$C$3:$C$1000,"0"),CC!$G$3:$G$1000,""),"")</f>
        <v/>
      </c>
    </row>
    <row r="392" spans="7:12" x14ac:dyDescent="0.25">
      <c r="G392" s="70">
        <f>IFERROR(SUMPRODUCT((TEXT(CC!$C$3:$C$1000,"0")=TEXT(C392,"0"))*IFERROR(CC!$E$3:$E$1000+0,0)),0)</f>
      </c>
      <c r="H392" s="56"/>
      <c r="I392" s="95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57" t="str">
        <f>IF(C392&lt;&gt;"",_xlfn.XLOOKUP(TEXT(C392,"0"),TEXT(CC!$C$3:$C$1000,"0"),CC!$G$3:$G$1000,""),"")</f>
        <v/>
      </c>
    </row>
    <row r="393" spans="7:12" x14ac:dyDescent="0.25">
      <c r="G393" s="70">
        <f>IFERROR(SUMPRODUCT((TEXT(CC!$C$3:$C$1000,"0")=TEXT(C393,"0"))*IFERROR(CC!$E$3:$E$1000+0,0)),0)</f>
      </c>
      <c r="H393" s="56"/>
      <c r="I393" s="95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57" t="str">
        <f>IF(C393&lt;&gt;"",_xlfn.XLOOKUP(TEXT(C393,"0"),TEXT(CC!$C$3:$C$1000,"0"),CC!$G$3:$G$1000,""),"")</f>
        <v/>
      </c>
    </row>
    <row r="394" spans="7:12" x14ac:dyDescent="0.25">
      <c r="G394" s="70">
        <f>IFERROR(SUMPRODUCT((TEXT(CC!$C$3:$C$1000,"0")=TEXT(C394,"0"))*IFERROR(CC!$E$3:$E$1000+0,0)),0)</f>
      </c>
      <c r="H394" s="56"/>
      <c r="I394" s="95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57" t="str">
        <f>IF(C394&lt;&gt;"",_xlfn.XLOOKUP(TEXT(C394,"0"),TEXT(CC!$C$3:$C$1000,"0"),CC!$G$3:$G$1000,""),"")</f>
        <v/>
      </c>
    </row>
    <row r="395" spans="7:12" x14ac:dyDescent="0.25">
      <c r="G395" s="70">
        <f>IFERROR(SUMPRODUCT((TEXT(CC!$C$3:$C$1000,"0")=TEXT(C395,"0"))*IFERROR(CC!$E$3:$E$1000+0,0)),0)</f>
      </c>
      <c r="H395" s="56"/>
      <c r="I395" s="95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57" t="str">
        <f>IF(C395&lt;&gt;"",_xlfn.XLOOKUP(TEXT(C395,"0"),TEXT(CC!$C$3:$C$1000,"0"),CC!$G$3:$G$1000,""),"")</f>
        <v/>
      </c>
    </row>
    <row r="396" spans="7:12" x14ac:dyDescent="0.25">
      <c r="G396" s="70">
        <f>IFERROR(SUMPRODUCT((TEXT(CC!$C$3:$C$1000,"0")=TEXT(C396,"0"))*IFERROR(CC!$E$3:$E$1000+0,0)),0)</f>
      </c>
      <c r="H396" s="56"/>
      <c r="I396" s="95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57" t="str">
        <f>IF(C396&lt;&gt;"",_xlfn.XLOOKUP(TEXT(C396,"0"),TEXT(CC!$C$3:$C$1000,"0"),CC!$G$3:$G$1000,""),"")</f>
        <v/>
      </c>
    </row>
    <row r="397" spans="7:12" x14ac:dyDescent="0.25">
      <c r="G397" s="70">
        <f>IFERROR(SUMPRODUCT((TEXT(CC!$C$3:$C$1000,"0")=TEXT(C397,"0"))*IFERROR(CC!$E$3:$E$1000+0,0)),0)</f>
      </c>
      <c r="H397" s="56"/>
      <c r="I397" s="95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57" t="str">
        <f>IF(C397&lt;&gt;"",_xlfn.XLOOKUP(TEXT(C397,"0"),TEXT(CC!$C$3:$C$1000,"0"),CC!$G$3:$G$1000,""),"")</f>
        <v/>
      </c>
    </row>
    <row r="398" spans="7:12" x14ac:dyDescent="0.25">
      <c r="G398" s="70">
        <f>IFERROR(SUMPRODUCT((TEXT(CC!$C$3:$C$1000,"0")=TEXT(C398,"0"))*IFERROR(CC!$E$3:$E$1000+0,0)),0)</f>
      </c>
      <c r="H398" s="56"/>
      <c r="I398" s="95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57" t="str">
        <f>IF(C398&lt;&gt;"",_xlfn.XLOOKUP(TEXT(C398,"0"),TEXT(CC!$C$3:$C$1000,"0"),CC!$G$3:$G$1000,""),"")</f>
        <v/>
      </c>
    </row>
    <row r="399" spans="7:12" x14ac:dyDescent="0.25">
      <c r="G399" s="70">
        <f>IFERROR(SUMPRODUCT((TEXT(CC!$C$3:$C$1000,"0")=TEXT(C399,"0"))*IFERROR(CC!$E$3:$E$1000+0,0)),0)</f>
      </c>
      <c r="H399" s="56"/>
      <c r="I399" s="95" t="str">
        <f t="shared" ref="I399:I462" si="22">IF(J399&lt;&gt;0,"511011","")</f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57" t="str">
        <f>IF(C399&lt;&gt;"",_xlfn.XLOOKUP(TEXT(C399,"0"),TEXT(CC!$C$3:$C$1000,"0"),CC!$G$3:$G$1000,""),"")</f>
        <v/>
      </c>
    </row>
    <row r="400" spans="7:12" x14ac:dyDescent="0.25">
      <c r="G400" s="70">
        <f>IFERROR(SUMPRODUCT((TEXT(CC!$C$3:$C$1000,"0")=TEXT(C400,"0"))*IFERROR(CC!$E$3:$E$1000+0,0)),0)</f>
      </c>
      <c r="H400" s="56"/>
      <c r="I400" s="95" t="str">
        <f t="shared" si="22"/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57" t="str">
        <f>IF(C400&lt;&gt;"",_xlfn.XLOOKUP(TEXT(C400,"0"),TEXT(CC!$C$3:$C$1000,"0"),CC!$G$3:$G$1000,""),"")</f>
        <v/>
      </c>
    </row>
    <row r="401" spans="7:12" x14ac:dyDescent="0.25">
      <c r="G401" s="70">
        <f>IFERROR(SUMPRODUCT((TEXT(CC!$C$3:$C$1000,"0")=TEXT(C401,"0"))*IFERROR(CC!$E$3:$E$1000+0,0)),0)</f>
      </c>
      <c r="H401" s="56"/>
      <c r="I401" s="95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57" t="str">
        <f>IF(C401&lt;&gt;"",_xlfn.XLOOKUP(TEXT(C401,"0"),TEXT(CC!$C$3:$C$1000,"0"),CC!$G$3:$G$1000,""),"")</f>
        <v/>
      </c>
    </row>
    <row r="402" spans="7:12" x14ac:dyDescent="0.25">
      <c r="G402" s="70">
        <f>IFERROR(SUMPRODUCT((TEXT(CC!$C$3:$C$1000,"0")=TEXT(C402,"0"))*IFERROR(CC!$E$3:$E$1000+0,0)),0)</f>
      </c>
      <c r="H402" s="56"/>
      <c r="I402" s="95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57" t="str">
        <f>IF(C402&lt;&gt;"",_xlfn.XLOOKUP(TEXT(C402,"0"),TEXT(CC!$C$3:$C$1000,"0"),CC!$G$3:$G$1000,""),"")</f>
        <v/>
      </c>
    </row>
    <row r="403" spans="7:12" x14ac:dyDescent="0.25">
      <c r="G403" s="70">
        <f>IFERROR(SUMPRODUCT((TEXT(CC!$C$3:$C$1000,"0")=TEXT(C403,"0"))*IFERROR(CC!$E$3:$E$1000+0,0)),0)</f>
      </c>
      <c r="H403" s="56"/>
      <c r="I403" s="95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57" t="str">
        <f>IF(C403&lt;&gt;"",_xlfn.XLOOKUP(TEXT(C403,"0"),TEXT(CC!$C$3:$C$1000,"0"),CC!$G$3:$G$1000,""),"")</f>
        <v/>
      </c>
    </row>
    <row r="404" spans="7:12" x14ac:dyDescent="0.25">
      <c r="G404" s="70">
        <f>IFERROR(SUMPRODUCT((TEXT(CC!$C$3:$C$1000,"0")=TEXT(C404,"0"))*IFERROR(CC!$E$3:$E$1000+0,0)),0)</f>
      </c>
      <c r="H404" s="56"/>
      <c r="I404" s="95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57" t="str">
        <f>IF(C404&lt;&gt;"",_xlfn.XLOOKUP(TEXT(C404,"0"),TEXT(CC!$C$3:$C$1000,"0"),CC!$G$3:$G$1000,""),"")</f>
        <v/>
      </c>
    </row>
    <row r="405" spans="7:12" x14ac:dyDescent="0.25">
      <c r="G405" s="70">
        <f>IFERROR(SUMPRODUCT((TEXT(CC!$C$3:$C$1000,"0")=TEXT(C405,"0"))*IFERROR(CC!$E$3:$E$1000+0,0)),0)</f>
      </c>
      <c r="H405" s="56"/>
      <c r="I405" s="95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57" t="str">
        <f>IF(C405&lt;&gt;"",_xlfn.XLOOKUP(TEXT(C405,"0"),TEXT(CC!$C$3:$C$1000,"0"),CC!$G$3:$G$1000,""),"")</f>
        <v/>
      </c>
    </row>
    <row r="406" spans="7:12" x14ac:dyDescent="0.25">
      <c r="G406" s="70">
        <f>IFERROR(SUMPRODUCT((TEXT(CC!$C$3:$C$1000,"0")=TEXT(C406,"0"))*IFERROR(CC!$E$3:$E$1000+0,0)),0)</f>
      </c>
      <c r="H406" s="56"/>
      <c r="I406" s="95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57" t="str">
        <f>IF(C406&lt;&gt;"",_xlfn.XLOOKUP(TEXT(C406,"0"),TEXT(CC!$C$3:$C$1000,"0"),CC!$G$3:$G$1000,""),"")</f>
        <v/>
      </c>
    </row>
    <row r="407" spans="7:12" x14ac:dyDescent="0.25">
      <c r="G407" s="70">
        <f>IFERROR(SUMPRODUCT((TEXT(CC!$C$3:$C$1000,"0")=TEXT(C407,"0"))*IFERROR(CC!$E$3:$E$1000+0,0)),0)</f>
      </c>
      <c r="H407" s="56"/>
      <c r="I407" s="95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57" t="str">
        <f>IF(C407&lt;&gt;"",_xlfn.XLOOKUP(TEXT(C407,"0"),TEXT(CC!$C$3:$C$1000,"0"),CC!$G$3:$G$1000,""),"")</f>
        <v/>
      </c>
    </row>
    <row r="408" spans="7:12" x14ac:dyDescent="0.25">
      <c r="G408" s="70">
        <f>IFERROR(SUMPRODUCT((TEXT(CC!$C$3:$C$1000,"0")=TEXT(C408,"0"))*IFERROR(CC!$E$3:$E$1000+0,0)),0)</f>
      </c>
      <c r="H408" s="56"/>
      <c r="I408" s="95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57" t="str">
        <f>IF(C408&lt;&gt;"",_xlfn.XLOOKUP(TEXT(C408,"0"),TEXT(CC!$C$3:$C$1000,"0"),CC!$G$3:$G$1000,""),"")</f>
        <v/>
      </c>
    </row>
    <row r="409" spans="7:12" x14ac:dyDescent="0.25">
      <c r="G409" s="70">
        <f>IFERROR(SUMPRODUCT((TEXT(CC!$C$3:$C$1000,"0")=TEXT(C409,"0"))*IFERROR(CC!$E$3:$E$1000+0,0)),0)</f>
      </c>
      <c r="H409" s="56"/>
      <c r="I409" s="95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57" t="str">
        <f>IF(C409&lt;&gt;"",_xlfn.XLOOKUP(TEXT(C409,"0"),TEXT(CC!$C$3:$C$1000,"0"),CC!$G$3:$G$1000,""),"")</f>
        <v/>
      </c>
    </row>
    <row r="410" spans="7:12" x14ac:dyDescent="0.25">
      <c r="G410" s="70">
        <f>IFERROR(SUMPRODUCT((TEXT(CC!$C$3:$C$1000,"0")=TEXT(C410,"0"))*IFERROR(CC!$E$3:$E$1000+0,0)),0)</f>
      </c>
      <c r="H410" s="56"/>
      <c r="I410" s="95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57" t="str">
        <f>IF(C410&lt;&gt;"",_xlfn.XLOOKUP(TEXT(C410,"0"),TEXT(CC!$C$3:$C$1000,"0"),CC!$G$3:$G$1000,""),"")</f>
        <v/>
      </c>
    </row>
    <row r="411" spans="7:12" x14ac:dyDescent="0.25">
      <c r="G411" s="70">
        <f>IFERROR(SUMPRODUCT((TEXT(CC!$C$3:$C$1000,"0")=TEXT(C411,"0"))*IFERROR(CC!$E$3:$E$1000+0,0)),0)</f>
      </c>
      <c r="H411" s="56"/>
      <c r="I411" s="95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57" t="str">
        <f>IF(C411&lt;&gt;"",_xlfn.XLOOKUP(TEXT(C411,"0"),TEXT(CC!$C$3:$C$1000,"0"),CC!$G$3:$G$1000,""),"")</f>
        <v/>
      </c>
    </row>
    <row r="412" spans="7:12" x14ac:dyDescent="0.25">
      <c r="G412" s="70">
        <f>IFERROR(SUMPRODUCT((TEXT(CC!$C$3:$C$1000,"0")=TEXT(C412,"0"))*IFERROR(CC!$E$3:$E$1000+0,0)),0)</f>
      </c>
      <c r="H412" s="56"/>
      <c r="I412" s="95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57" t="str">
        <f>IF(C412&lt;&gt;"",_xlfn.XLOOKUP(TEXT(C412,"0"),TEXT(CC!$C$3:$C$1000,"0"),CC!$G$3:$G$1000,""),"")</f>
        <v/>
      </c>
    </row>
    <row r="413" spans="7:12" x14ac:dyDescent="0.25">
      <c r="G413" s="70">
        <f>IFERROR(SUMPRODUCT((TEXT(CC!$C$3:$C$1000,"0")=TEXT(C413,"0"))*IFERROR(CC!$E$3:$E$1000+0,0)),0)</f>
      </c>
      <c r="H413" s="56"/>
      <c r="I413" s="95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57" t="str">
        <f>IF(C413&lt;&gt;"",_xlfn.XLOOKUP(TEXT(C413,"0"),TEXT(CC!$C$3:$C$1000,"0"),CC!$G$3:$G$1000,""),"")</f>
        <v/>
      </c>
    </row>
    <row r="414" spans="7:12" x14ac:dyDescent="0.25">
      <c r="G414" s="70">
        <f>IFERROR(SUMPRODUCT((TEXT(CC!$C$3:$C$1000,"0")=TEXT(C414,"0"))*IFERROR(CC!$E$3:$E$1000+0,0)),0)</f>
      </c>
      <c r="H414" s="56"/>
      <c r="I414" s="95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57" t="str">
        <f>IF(C414&lt;&gt;"",_xlfn.XLOOKUP(TEXT(C414,"0"),TEXT(CC!$C$3:$C$1000,"0"),CC!$G$3:$G$1000,""),"")</f>
        <v/>
      </c>
    </row>
    <row r="415" spans="7:12" x14ac:dyDescent="0.25">
      <c r="G415" s="70">
        <f>IFERROR(SUMPRODUCT((TEXT(CC!$C$3:$C$1000,"0")=TEXT(C415,"0"))*IFERROR(CC!$E$3:$E$1000+0,0)),0)</f>
      </c>
      <c r="H415" s="56"/>
      <c r="I415" s="95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57" t="str">
        <f>IF(C415&lt;&gt;"",_xlfn.XLOOKUP(TEXT(C415,"0"),TEXT(CC!$C$3:$C$1000,"0"),CC!$G$3:$G$1000,""),"")</f>
        <v/>
      </c>
    </row>
    <row r="416" spans="7:12" x14ac:dyDescent="0.25">
      <c r="G416" s="70">
        <f>IFERROR(SUMPRODUCT((TEXT(CC!$C$3:$C$1000,"0")=TEXT(C416,"0"))*IFERROR(CC!$E$3:$E$1000+0,0)),0)</f>
      </c>
      <c r="H416" s="56"/>
      <c r="I416" s="95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57" t="str">
        <f>IF(C416&lt;&gt;"",_xlfn.XLOOKUP(TEXT(C416,"0"),TEXT(CC!$C$3:$C$1000,"0"),CC!$G$3:$G$1000,""),"")</f>
        <v/>
      </c>
    </row>
    <row r="417" spans="7:12" x14ac:dyDescent="0.25">
      <c r="G417" s="70">
        <f>IFERROR(SUMPRODUCT((TEXT(CC!$C$3:$C$1000,"0")=TEXT(C417,"0"))*IFERROR(CC!$E$3:$E$1000+0,0)),0)</f>
      </c>
      <c r="H417" s="56"/>
      <c r="I417" s="95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57" t="str">
        <f>IF(C417&lt;&gt;"",_xlfn.XLOOKUP(TEXT(C417,"0"),TEXT(CC!$C$3:$C$1000,"0"),CC!$G$3:$G$1000,""),"")</f>
        <v/>
      </c>
    </row>
    <row r="418" spans="7:12" x14ac:dyDescent="0.25">
      <c r="G418" s="70">
        <f>IFERROR(SUMPRODUCT((TEXT(CC!$C$3:$C$1000,"0")=TEXT(C418,"0"))*IFERROR(CC!$E$3:$E$1000+0,0)),0)</f>
      </c>
      <c r="H418" s="56"/>
      <c r="I418" s="95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57" t="str">
        <f>IF(C418&lt;&gt;"",_xlfn.XLOOKUP(TEXT(C418,"0"),TEXT(CC!$C$3:$C$1000,"0"),CC!$G$3:$G$1000,""),"")</f>
        <v/>
      </c>
    </row>
    <row r="419" spans="7:12" x14ac:dyDescent="0.25">
      <c r="G419" s="70">
        <f>IFERROR(SUMPRODUCT((TEXT(CC!$C$3:$C$1000,"0")=TEXT(C419,"0"))*IFERROR(CC!$E$3:$E$1000+0,0)),0)</f>
      </c>
      <c r="H419" s="56"/>
      <c r="I419" s="95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57" t="str">
        <f>IF(C419&lt;&gt;"",_xlfn.XLOOKUP(TEXT(C419,"0"),TEXT(CC!$C$3:$C$1000,"0"),CC!$G$3:$G$1000,""),"")</f>
        <v/>
      </c>
    </row>
    <row r="420" spans="7:12" x14ac:dyDescent="0.25">
      <c r="G420" s="70">
        <f>IFERROR(SUMPRODUCT((TEXT(CC!$C$3:$C$1000,"0")=TEXT(C420,"0"))*IFERROR(CC!$E$3:$E$1000+0,0)),0)</f>
      </c>
      <c r="H420" s="56"/>
      <c r="I420" s="95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57" t="str">
        <f>IF(C420&lt;&gt;"",_xlfn.XLOOKUP(TEXT(C420,"0"),TEXT(CC!$C$3:$C$1000,"0"),CC!$G$3:$G$1000,""),"")</f>
        <v/>
      </c>
    </row>
    <row r="421" spans="7:12" x14ac:dyDescent="0.25">
      <c r="G421" s="70">
        <f>IFERROR(SUMPRODUCT((TEXT(CC!$C$3:$C$1000,"0")=TEXT(C421,"0"))*IFERROR(CC!$E$3:$E$1000+0,0)),0)</f>
      </c>
      <c r="H421" s="56"/>
      <c r="I421" s="95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57" t="str">
        <f>IF(C421&lt;&gt;"",_xlfn.XLOOKUP(TEXT(C421,"0"),TEXT(CC!$C$3:$C$1000,"0"),CC!$G$3:$G$1000,""),"")</f>
        <v/>
      </c>
    </row>
    <row r="422" spans="7:12" x14ac:dyDescent="0.25">
      <c r="G422" s="70">
        <f>IFERROR(SUMPRODUCT((TEXT(CC!$C$3:$C$1000,"0")=TEXT(C422,"0"))*IFERROR(CC!$E$3:$E$1000+0,0)),0)</f>
      </c>
      <c r="H422" s="56"/>
      <c r="I422" s="95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57" t="str">
        <f>IF(C422&lt;&gt;"",_xlfn.XLOOKUP(TEXT(C422,"0"),TEXT(CC!$C$3:$C$1000,"0"),CC!$G$3:$G$1000,""),"")</f>
        <v/>
      </c>
    </row>
    <row r="423" spans="7:12" x14ac:dyDescent="0.25">
      <c r="G423" s="70">
        <f>IFERROR(SUMPRODUCT((TEXT(CC!$C$3:$C$1000,"0")=TEXT(C423,"0"))*IFERROR(CC!$E$3:$E$1000+0,0)),0)</f>
      </c>
      <c r="H423" s="56"/>
      <c r="I423" s="95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57" t="str">
        <f>IF(C423&lt;&gt;"",_xlfn.XLOOKUP(TEXT(C423,"0"),TEXT(CC!$C$3:$C$1000,"0"),CC!$G$3:$G$1000,""),"")</f>
        <v/>
      </c>
    </row>
    <row r="424" spans="7:12" x14ac:dyDescent="0.25">
      <c r="G424" s="70">
        <f>IFERROR(SUMPRODUCT((TEXT(CC!$C$3:$C$1000,"0")=TEXT(C424,"0"))*IFERROR(CC!$E$3:$E$1000+0,0)),0)</f>
      </c>
      <c r="H424" s="56"/>
      <c r="I424" s="95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57" t="str">
        <f>IF(C424&lt;&gt;"",_xlfn.XLOOKUP(TEXT(C424,"0"),TEXT(CC!$C$3:$C$1000,"0"),CC!$G$3:$G$1000,""),"")</f>
        <v/>
      </c>
    </row>
    <row r="425" spans="7:12" x14ac:dyDescent="0.25">
      <c r="G425" s="70">
        <f>IFERROR(SUMPRODUCT((TEXT(CC!$C$3:$C$1000,"0")=TEXT(C425,"0"))*IFERROR(CC!$E$3:$E$1000+0,0)),0)</f>
      </c>
      <c r="H425" s="56"/>
      <c r="I425" s="95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57" t="str">
        <f>IF(C425&lt;&gt;"",_xlfn.XLOOKUP(TEXT(C425,"0"),TEXT(CC!$C$3:$C$1000,"0"),CC!$G$3:$G$1000,""),"")</f>
        <v/>
      </c>
    </row>
    <row r="426" spans="7:12" x14ac:dyDescent="0.25">
      <c r="G426" s="70">
        <f>IFERROR(SUMPRODUCT((TEXT(CC!$C$3:$C$1000,"0")=TEXT(C426,"0"))*IFERROR(CC!$E$3:$E$1000+0,0)),0)</f>
      </c>
      <c r="H426" s="56"/>
      <c r="I426" s="95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57" t="str">
        <f>IF(C426&lt;&gt;"",_xlfn.XLOOKUP(TEXT(C426,"0"),TEXT(CC!$C$3:$C$1000,"0"),CC!$G$3:$G$1000,""),"")</f>
        <v/>
      </c>
    </row>
    <row r="427" spans="7:12" x14ac:dyDescent="0.25">
      <c r="G427" s="70">
        <f>IFERROR(SUMPRODUCT((TEXT(CC!$C$3:$C$1000,"0")=TEXT(C427,"0"))*IFERROR(CC!$E$3:$E$1000+0,0)),0)</f>
      </c>
      <c r="H427" s="56"/>
      <c r="I427" s="95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57" t="str">
        <f>IF(C427&lt;&gt;"",_xlfn.XLOOKUP(TEXT(C427,"0"),TEXT(CC!$C$3:$C$1000,"0"),CC!$G$3:$G$1000,""),"")</f>
        <v/>
      </c>
    </row>
    <row r="428" spans="7:12" x14ac:dyDescent="0.25">
      <c r="G428" s="70">
        <f>IFERROR(SUMPRODUCT((TEXT(CC!$C$3:$C$1000,"0")=TEXT(C428,"0"))*IFERROR(CC!$E$3:$E$1000+0,0)),0)</f>
      </c>
      <c r="H428" s="56"/>
      <c r="I428" s="95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57" t="str">
        <f>IF(C428&lt;&gt;"",_xlfn.XLOOKUP(TEXT(C428,"0"),TEXT(CC!$C$3:$C$1000,"0"),CC!$G$3:$G$1000,""),"")</f>
        <v/>
      </c>
    </row>
    <row r="429" spans="7:12" x14ac:dyDescent="0.25">
      <c r="G429" s="70">
        <f>IFERROR(SUMPRODUCT((TEXT(CC!$C$3:$C$1000,"0")=TEXT(C429,"0"))*IFERROR(CC!$E$3:$E$1000+0,0)),0)</f>
      </c>
      <c r="H429" s="56"/>
      <c r="I429" s="95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57" t="str">
        <f>IF(C429&lt;&gt;"",_xlfn.XLOOKUP(TEXT(C429,"0"),TEXT(CC!$C$3:$C$1000,"0"),CC!$G$3:$G$1000,""),"")</f>
        <v/>
      </c>
    </row>
    <row r="430" spans="7:12" x14ac:dyDescent="0.25">
      <c r="G430" s="70">
        <f>IFERROR(SUMPRODUCT((TEXT(CC!$C$3:$C$1000,"0")=TEXT(C430,"0"))*IFERROR(CC!$E$3:$E$1000+0,0)),0)</f>
      </c>
      <c r="H430" s="56"/>
      <c r="I430" s="95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57" t="str">
        <f>IF(C430&lt;&gt;"",_xlfn.XLOOKUP(TEXT(C430,"0"),TEXT(CC!$C$3:$C$1000,"0"),CC!$G$3:$G$1000,""),"")</f>
        <v/>
      </c>
    </row>
    <row r="431" spans="7:12" x14ac:dyDescent="0.25">
      <c r="G431" s="70">
        <f>IFERROR(SUMPRODUCT((TEXT(CC!$C$3:$C$1000,"0")=TEXT(C431,"0"))*IFERROR(CC!$E$3:$E$1000+0,0)),0)</f>
      </c>
      <c r="H431" s="56"/>
      <c r="I431" s="95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57" t="str">
        <f>IF(C431&lt;&gt;"",_xlfn.XLOOKUP(TEXT(C431,"0"),TEXT(CC!$C$3:$C$1000,"0"),CC!$G$3:$G$1000,""),"")</f>
        <v/>
      </c>
    </row>
    <row r="432" spans="7:12" x14ac:dyDescent="0.25">
      <c r="G432" s="70">
        <f>IFERROR(SUMPRODUCT((TEXT(CC!$C$3:$C$1000,"0")=TEXT(C432,"0"))*IFERROR(CC!$E$3:$E$1000+0,0)),0)</f>
      </c>
      <c r="H432" s="56"/>
      <c r="I432" s="95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57" t="str">
        <f>IF(C432&lt;&gt;"",_xlfn.XLOOKUP(TEXT(C432,"0"),TEXT(CC!$C$3:$C$1000,"0"),CC!$G$3:$G$1000,""),"")</f>
        <v/>
      </c>
    </row>
    <row r="433" spans="7:12" x14ac:dyDescent="0.25">
      <c r="G433" s="70">
        <f>IFERROR(SUMPRODUCT((TEXT(CC!$C$3:$C$1000,"0")=TEXT(C433,"0"))*IFERROR(CC!$E$3:$E$1000+0,0)),0)</f>
      </c>
      <c r="H433" s="56"/>
      <c r="I433" s="95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57" t="str">
        <f>IF(C433&lt;&gt;"",_xlfn.XLOOKUP(TEXT(C433,"0"),TEXT(CC!$C$3:$C$1000,"0"),CC!$G$3:$G$1000,""),"")</f>
        <v/>
      </c>
    </row>
    <row r="434" spans="7:12" x14ac:dyDescent="0.25">
      <c r="G434" s="70">
        <f>IFERROR(SUMPRODUCT((TEXT(CC!$C$3:$C$1000,"0")=TEXT(C434,"0"))*IFERROR(CC!$E$3:$E$1000+0,0)),0)</f>
      </c>
      <c r="H434" s="56"/>
      <c r="I434" s="95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57" t="str">
        <f>IF(C434&lt;&gt;"",_xlfn.XLOOKUP(TEXT(C434,"0"),TEXT(CC!$C$3:$C$1000,"0"),CC!$G$3:$G$1000,""),"")</f>
        <v/>
      </c>
    </row>
    <row r="435" spans="7:12" x14ac:dyDescent="0.25">
      <c r="G435" s="70">
        <f>IFERROR(SUMPRODUCT((TEXT(CC!$C$3:$C$1000,"0")=TEXT(C435,"0"))*IFERROR(CC!$E$3:$E$1000+0,0)),0)</f>
      </c>
      <c r="H435" s="56"/>
      <c r="I435" s="95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57" t="str">
        <f>IF(C435&lt;&gt;"",_xlfn.XLOOKUP(TEXT(C435,"0"),TEXT(CC!$C$3:$C$1000,"0"),CC!$G$3:$G$1000,""),"")</f>
        <v/>
      </c>
    </row>
    <row r="436" spans="7:12" x14ac:dyDescent="0.25">
      <c r="G436" s="70">
        <f>IFERROR(SUMPRODUCT((TEXT(CC!$C$3:$C$1000,"0")=TEXT(C436,"0"))*IFERROR(CC!$E$3:$E$1000+0,0)),0)</f>
      </c>
      <c r="H436" s="56"/>
      <c r="I436" s="95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57" t="str">
        <f>IF(C436&lt;&gt;"",_xlfn.XLOOKUP(TEXT(C436,"0"),TEXT(CC!$C$3:$C$1000,"0"),CC!$G$3:$G$1000,""),"")</f>
        <v/>
      </c>
    </row>
    <row r="437" spans="7:12" x14ac:dyDescent="0.25">
      <c r="G437" s="70">
        <f>IFERROR(SUMPRODUCT((TEXT(CC!$C$3:$C$1000,"0")=TEXT(C437,"0"))*IFERROR(CC!$E$3:$E$1000+0,0)),0)</f>
      </c>
      <c r="H437" s="56"/>
      <c r="I437" s="95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57" t="str">
        <f>IF(C437&lt;&gt;"",_xlfn.XLOOKUP(TEXT(C437,"0"),TEXT(CC!$C$3:$C$1000,"0"),CC!$G$3:$G$1000,""),"")</f>
        <v/>
      </c>
    </row>
    <row r="438" spans="7:12" x14ac:dyDescent="0.25">
      <c r="G438" s="70">
        <f>IFERROR(SUMPRODUCT((TEXT(CC!$C$3:$C$1000,"0")=TEXT(C438,"0"))*IFERROR(CC!$E$3:$E$1000+0,0)),0)</f>
      </c>
      <c r="H438" s="56"/>
      <c r="I438" s="95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57" t="str">
        <f>IF(C438&lt;&gt;"",_xlfn.XLOOKUP(TEXT(C438,"0"),TEXT(CC!$C$3:$C$1000,"0"),CC!$G$3:$G$1000,""),"")</f>
        <v/>
      </c>
    </row>
    <row r="439" spans="7:12" x14ac:dyDescent="0.25">
      <c r="G439" s="70">
        <f>IFERROR(SUMPRODUCT((TEXT(CC!$C$3:$C$1000,"0")=TEXT(C439,"0"))*IFERROR(CC!$E$3:$E$1000+0,0)),0)</f>
      </c>
      <c r="H439" s="56"/>
      <c r="I439" s="95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57" t="str">
        <f>IF(C439&lt;&gt;"",_xlfn.XLOOKUP(TEXT(C439,"0"),TEXT(CC!$C$3:$C$1000,"0"),CC!$G$3:$G$1000,""),"")</f>
        <v/>
      </c>
    </row>
    <row r="440" spans="7:12" x14ac:dyDescent="0.25">
      <c r="G440" s="70">
        <f>IFERROR(SUMPRODUCT((TEXT(CC!$C$3:$C$1000,"0")=TEXT(C440,"0"))*IFERROR(CC!$E$3:$E$1000+0,0)),0)</f>
      </c>
      <c r="H440" s="56"/>
      <c r="I440" s="95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57" t="str">
        <f>IF(C440&lt;&gt;"",_xlfn.XLOOKUP(TEXT(C440,"0"),TEXT(CC!$C$3:$C$1000,"0"),CC!$G$3:$G$1000,""),"")</f>
        <v/>
      </c>
    </row>
    <row r="441" spans="7:12" x14ac:dyDescent="0.25">
      <c r="G441" s="70">
        <f>IFERROR(SUMPRODUCT((TEXT(CC!$C$3:$C$1000,"0")=TEXT(C441,"0"))*IFERROR(CC!$E$3:$E$1000+0,0)),0)</f>
      </c>
      <c r="H441" s="56"/>
      <c r="I441" s="95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57" t="str">
        <f>IF(C441&lt;&gt;"",_xlfn.XLOOKUP(TEXT(C441,"0"),TEXT(CC!$C$3:$C$1000,"0"),CC!$G$3:$G$1000,""),"")</f>
        <v/>
      </c>
    </row>
    <row r="442" spans="7:12" x14ac:dyDescent="0.25">
      <c r="G442" s="70">
        <f>IFERROR(SUMPRODUCT((TEXT(CC!$C$3:$C$1000,"0")=TEXT(C442,"0"))*IFERROR(CC!$E$3:$E$1000+0,0)),0)</f>
      </c>
      <c r="H442" s="56"/>
      <c r="I442" s="95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57" t="str">
        <f>IF(C442&lt;&gt;"",_xlfn.XLOOKUP(TEXT(C442,"0"),TEXT(CC!$C$3:$C$1000,"0"),CC!$G$3:$G$1000,""),"")</f>
        <v/>
      </c>
    </row>
    <row r="443" spans="7:12" x14ac:dyDescent="0.25">
      <c r="G443" s="70">
        <f>IFERROR(SUMPRODUCT((TEXT(CC!$C$3:$C$1000,"0")=TEXT(C443,"0"))*IFERROR(CC!$E$3:$E$1000+0,0)),0)</f>
      </c>
      <c r="H443" s="56"/>
      <c r="I443" s="95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57" t="str">
        <f>IF(C443&lt;&gt;"",_xlfn.XLOOKUP(TEXT(C443,"0"),TEXT(CC!$C$3:$C$1000,"0"),CC!$G$3:$G$1000,""),"")</f>
        <v/>
      </c>
    </row>
    <row r="444" spans="7:12" x14ac:dyDescent="0.25">
      <c r="G444" s="70">
        <f>IFERROR(SUMPRODUCT((TEXT(CC!$C$3:$C$1000,"0")=TEXT(C444,"0"))*IFERROR(CC!$E$3:$E$1000+0,0)),0)</f>
      </c>
      <c r="H444" s="56"/>
      <c r="I444" s="95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57" t="str">
        <f>IF(C444&lt;&gt;"",_xlfn.XLOOKUP(TEXT(C444,"0"),TEXT(CC!$C$3:$C$1000,"0"),CC!$G$3:$G$1000,""),"")</f>
        <v/>
      </c>
    </row>
    <row r="445" spans="7:12" x14ac:dyDescent="0.25">
      <c r="G445" s="70">
        <f>IFERROR(SUMPRODUCT((TEXT(CC!$C$3:$C$1000,"0")=TEXT(C445,"0"))*IFERROR(CC!$E$3:$E$1000+0,0)),0)</f>
      </c>
      <c r="H445" s="56"/>
      <c r="I445" s="95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57" t="str">
        <f>IF(C445&lt;&gt;"",_xlfn.XLOOKUP(TEXT(C445,"0"),TEXT(CC!$C$3:$C$1000,"0"),CC!$G$3:$G$1000,""),"")</f>
        <v/>
      </c>
    </row>
    <row r="446" spans="7:12" x14ac:dyDescent="0.25">
      <c r="G446" s="70">
        <f>IFERROR(SUMPRODUCT((TEXT(CC!$C$3:$C$1000,"0")=TEXT(C446,"0"))*IFERROR(CC!$E$3:$E$1000+0,0)),0)</f>
      </c>
      <c r="H446" s="56"/>
      <c r="I446" s="95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57" t="str">
        <f>IF(C446&lt;&gt;"",_xlfn.XLOOKUP(TEXT(C446,"0"),TEXT(CC!$C$3:$C$1000,"0"),CC!$G$3:$G$1000,""),"")</f>
        <v/>
      </c>
    </row>
    <row r="447" spans="7:12" x14ac:dyDescent="0.25">
      <c r="G447" s="70">
        <f>IFERROR(SUMPRODUCT((TEXT(CC!$C$3:$C$1000,"0")=TEXT(C447,"0"))*IFERROR(CC!$E$3:$E$1000+0,0)),0)</f>
      </c>
      <c r="H447" s="56"/>
      <c r="I447" s="95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57" t="str">
        <f>IF(C447&lt;&gt;"",_xlfn.XLOOKUP(TEXT(C447,"0"),TEXT(CC!$C$3:$C$1000,"0"),CC!$G$3:$G$1000,""),"")</f>
        <v/>
      </c>
    </row>
    <row r="448" spans="7:12" x14ac:dyDescent="0.25">
      <c r="G448" s="70">
        <f>IFERROR(SUMPRODUCT((TEXT(CC!$C$3:$C$1000,"0")=TEXT(C448,"0"))*IFERROR(CC!$E$3:$E$1000+0,0)),0)</f>
      </c>
      <c r="H448" s="56"/>
      <c r="I448" s="95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57" t="str">
        <f>IF(C448&lt;&gt;"",_xlfn.XLOOKUP(TEXT(C448,"0"),TEXT(CC!$C$3:$C$1000,"0"),CC!$G$3:$G$1000,""),"")</f>
        <v/>
      </c>
    </row>
    <row r="449" spans="7:12" x14ac:dyDescent="0.25">
      <c r="G449" s="70">
        <f>IFERROR(SUMPRODUCT((TEXT(CC!$C$3:$C$1000,"0")=TEXT(C449,"0"))*IFERROR(CC!$E$3:$E$1000+0,0)),0)</f>
      </c>
      <c r="H449" s="56"/>
      <c r="I449" s="95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57" t="str">
        <f>IF(C449&lt;&gt;"",_xlfn.XLOOKUP(TEXT(C449,"0"),TEXT(CC!$C$3:$C$1000,"0"),CC!$G$3:$G$1000,""),"")</f>
        <v/>
      </c>
    </row>
    <row r="450" spans="7:12" x14ac:dyDescent="0.25">
      <c r="G450" s="70">
        <f>IFERROR(SUMPRODUCT((TEXT(CC!$C$3:$C$1000,"0")=TEXT(C450,"0"))*IFERROR(CC!$E$3:$E$1000+0,0)),0)</f>
      </c>
      <c r="H450" s="56"/>
      <c r="I450" s="95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57" t="str">
        <f>IF(C450&lt;&gt;"",_xlfn.XLOOKUP(TEXT(C450,"0"),TEXT(CC!$C$3:$C$1000,"0"),CC!$G$3:$G$1000,""),"")</f>
        <v/>
      </c>
    </row>
    <row r="451" spans="7:12" x14ac:dyDescent="0.25">
      <c r="G451" s="70">
        <f>IFERROR(SUMPRODUCT((TEXT(CC!$C$3:$C$1000,"0")=TEXT(C451,"0"))*IFERROR(CC!$E$3:$E$1000+0,0)),0)</f>
      </c>
      <c r="H451" s="56"/>
      <c r="I451" s="95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57" t="str">
        <f>IF(C451&lt;&gt;"",_xlfn.XLOOKUP(TEXT(C451,"0"),TEXT(CC!$C$3:$C$1000,"0"),CC!$G$3:$G$1000,""),"")</f>
        <v/>
      </c>
    </row>
    <row r="452" spans="7:12" x14ac:dyDescent="0.25">
      <c r="G452" s="70">
        <f>IFERROR(SUMPRODUCT((TEXT(CC!$C$3:$C$1000,"0")=TEXT(C452,"0"))*IFERROR(CC!$E$3:$E$1000+0,0)),0)</f>
      </c>
      <c r="H452" s="56"/>
      <c r="I452" s="95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57" t="str">
        <f>IF(C452&lt;&gt;"",_xlfn.XLOOKUP(TEXT(C452,"0"),TEXT(CC!$C$3:$C$1000,"0"),CC!$G$3:$G$1000,""),"")</f>
        <v/>
      </c>
    </row>
    <row r="453" spans="7:12" x14ac:dyDescent="0.25">
      <c r="G453" s="70">
        <f>IFERROR(SUMPRODUCT((TEXT(CC!$C$3:$C$1000,"0")=TEXT(C453,"0"))*IFERROR(CC!$E$3:$E$1000+0,0)),0)</f>
      </c>
      <c r="H453" s="56"/>
      <c r="I453" s="95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57" t="str">
        <f>IF(C453&lt;&gt;"",_xlfn.XLOOKUP(TEXT(C453,"0"),TEXT(CC!$C$3:$C$1000,"0"),CC!$G$3:$G$1000,""),"")</f>
        <v/>
      </c>
    </row>
    <row r="454" spans="7:12" x14ac:dyDescent="0.25">
      <c r="G454" s="70">
        <f>IFERROR(SUMPRODUCT((TEXT(CC!$C$3:$C$1000,"0")=TEXT(C454,"0"))*IFERROR(CC!$E$3:$E$1000+0,0)),0)</f>
      </c>
      <c r="H454" s="56"/>
      <c r="I454" s="95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57" t="str">
        <f>IF(C454&lt;&gt;"",_xlfn.XLOOKUP(TEXT(C454,"0"),TEXT(CC!$C$3:$C$1000,"0"),CC!$G$3:$G$1000,""),"")</f>
        <v/>
      </c>
    </row>
    <row r="455" spans="7:12" x14ac:dyDescent="0.25">
      <c r="G455" s="70">
        <f>IFERROR(SUMPRODUCT((TEXT(CC!$C$3:$C$1000,"0")=TEXT(C455,"0"))*IFERROR(CC!$E$3:$E$1000+0,0)),0)</f>
      </c>
      <c r="H455" s="56"/>
      <c r="I455" s="95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57" t="str">
        <f>IF(C455&lt;&gt;"",_xlfn.XLOOKUP(TEXT(C455,"0"),TEXT(CC!$C$3:$C$1000,"0"),CC!$G$3:$G$1000,""),"")</f>
        <v/>
      </c>
    </row>
    <row r="456" spans="7:12" x14ac:dyDescent="0.25">
      <c r="G456" s="70">
        <f>IFERROR(SUMPRODUCT((TEXT(CC!$C$3:$C$1000,"0")=TEXT(C456,"0"))*IFERROR(CC!$E$3:$E$1000+0,0)),0)</f>
      </c>
      <c r="H456" s="56"/>
      <c r="I456" s="95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57" t="str">
        <f>IF(C456&lt;&gt;"",_xlfn.XLOOKUP(TEXT(C456,"0"),TEXT(CC!$C$3:$C$1000,"0"),CC!$G$3:$G$1000,""),"")</f>
        <v/>
      </c>
    </row>
    <row r="457" spans="7:12" x14ac:dyDescent="0.25">
      <c r="G457" s="70">
        <f>IFERROR(SUMPRODUCT((TEXT(CC!$C$3:$C$1000,"0")=TEXT(C457,"0"))*IFERROR(CC!$E$3:$E$1000+0,0)),0)</f>
      </c>
      <c r="H457" s="56"/>
      <c r="I457" s="95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57" t="str">
        <f>IF(C457&lt;&gt;"",_xlfn.XLOOKUP(TEXT(C457,"0"),TEXT(CC!$C$3:$C$1000,"0"),CC!$G$3:$G$1000,""),"")</f>
        <v/>
      </c>
    </row>
    <row r="458" spans="7:12" x14ac:dyDescent="0.25">
      <c r="G458" s="70">
        <f>IFERROR(SUMPRODUCT((TEXT(CC!$C$3:$C$1000,"0")=TEXT(C458,"0"))*IFERROR(CC!$E$3:$E$1000+0,0)),0)</f>
      </c>
      <c r="H458" s="56"/>
      <c r="I458" s="95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57" t="str">
        <f>IF(C458&lt;&gt;"",_xlfn.XLOOKUP(TEXT(C458,"0"),TEXT(CC!$C$3:$C$1000,"0"),CC!$G$3:$G$1000,""),"")</f>
        <v/>
      </c>
    </row>
    <row r="459" spans="7:12" x14ac:dyDescent="0.25">
      <c r="G459" s="70">
        <f>IFERROR(SUMPRODUCT((TEXT(CC!$C$3:$C$1000,"0")=TEXT(C459,"0"))*IFERROR(CC!$E$3:$E$1000+0,0)),0)</f>
      </c>
      <c r="H459" s="56"/>
      <c r="I459" s="95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57" t="str">
        <f>IF(C459&lt;&gt;"",_xlfn.XLOOKUP(TEXT(C459,"0"),TEXT(CC!$C$3:$C$1000,"0"),CC!$G$3:$G$1000,""),"")</f>
        <v/>
      </c>
    </row>
    <row r="460" spans="7:12" x14ac:dyDescent="0.25">
      <c r="G460" s="70">
        <f>IFERROR(SUMPRODUCT((TEXT(CC!$C$3:$C$1000,"0")=TEXT(C460,"0"))*IFERROR(CC!$E$3:$E$1000+0,0)),0)</f>
      </c>
      <c r="H460" s="56"/>
      <c r="I460" s="95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57" t="str">
        <f>IF(C460&lt;&gt;"",_xlfn.XLOOKUP(TEXT(C460,"0"),TEXT(CC!$C$3:$C$1000,"0"),CC!$G$3:$G$1000,""),"")</f>
        <v/>
      </c>
    </row>
    <row r="461" spans="7:12" x14ac:dyDescent="0.25">
      <c r="G461" s="70">
        <f>IFERROR(SUMPRODUCT((TEXT(CC!$C$3:$C$1000,"0")=TEXT(C461,"0"))*IFERROR(CC!$E$3:$E$1000+0,0)),0)</f>
      </c>
      <c r="H461" s="56"/>
      <c r="I461" s="95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57" t="str">
        <f>IF(C461&lt;&gt;"",_xlfn.XLOOKUP(TEXT(C461,"0"),TEXT(CC!$C$3:$C$1000,"0"),CC!$G$3:$G$1000,""),"")</f>
        <v/>
      </c>
    </row>
    <row r="462" spans="7:12" x14ac:dyDescent="0.25">
      <c r="G462" s="70">
        <f>IFERROR(SUMPRODUCT((TEXT(CC!$C$3:$C$1000,"0")=TEXT(C462,"0"))*IFERROR(CC!$E$3:$E$1000+0,0)),0)</f>
      </c>
      <c r="H462" s="56"/>
      <c r="I462" s="95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57" t="str">
        <f>IF(C462&lt;&gt;"",_xlfn.XLOOKUP(TEXT(C462,"0"),TEXT(CC!$C$3:$C$1000,"0"),CC!$G$3:$G$1000,""),"")</f>
        <v/>
      </c>
    </row>
    <row r="463" spans="7:12" x14ac:dyDescent="0.25">
      <c r="G463" s="70">
        <f>IFERROR(SUMPRODUCT((TEXT(CC!$C$3:$C$1000,"0")=TEXT(C463,"0"))*IFERROR(CC!$E$3:$E$1000+0,0)),0)</f>
      </c>
      <c r="H463" s="56"/>
      <c r="I463" s="95" t="str">
        <f t="shared" ref="I463:I493" si="24">IF(J463&lt;&gt;0,"511011","")</f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57" t="str">
        <f>IF(C463&lt;&gt;"",_xlfn.XLOOKUP(TEXT(C463,"0"),TEXT(CC!$C$3:$C$1000,"0"),CC!$G$3:$G$1000,""),"")</f>
        <v/>
      </c>
    </row>
    <row r="464" spans="7:12" x14ac:dyDescent="0.25">
      <c r="G464" s="70">
        <f>IFERROR(SUMPRODUCT((TEXT(CC!$C$3:$C$1000,"0")=TEXT(C464,"0"))*IFERROR(CC!$E$3:$E$1000+0,0)),0)</f>
      </c>
      <c r="H464" s="56"/>
      <c r="I464" s="95" t="str">
        <f t="shared" si="24"/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57" t="str">
        <f>IF(C464&lt;&gt;"",_xlfn.XLOOKUP(TEXT(C464,"0"),TEXT(CC!$C$3:$C$1000,"0"),CC!$G$3:$G$1000,""),"")</f>
        <v/>
      </c>
    </row>
    <row r="465" spans="7:12" x14ac:dyDescent="0.25">
      <c r="G465" s="70">
        <f>IFERROR(SUMPRODUCT((TEXT(CC!$C$3:$C$1000,"0")=TEXT(C465,"0"))*IFERROR(CC!$E$3:$E$1000+0,0)),0)</f>
      </c>
      <c r="H465" s="56"/>
      <c r="I465" s="95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57" t="str">
        <f>IF(C465&lt;&gt;"",_xlfn.XLOOKUP(TEXT(C465,"0"),TEXT(CC!$C$3:$C$1000,"0"),CC!$G$3:$G$1000,""),"")</f>
        <v/>
      </c>
    </row>
    <row r="466" spans="7:12" x14ac:dyDescent="0.25">
      <c r="G466" s="70">
        <f>IFERROR(SUMPRODUCT((TEXT(CC!$C$3:$C$1000,"0")=TEXT(C466,"0"))*IFERROR(CC!$E$3:$E$1000+0,0)),0)</f>
      </c>
      <c r="H466" s="56"/>
      <c r="I466" s="95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57" t="str">
        <f>IF(C466&lt;&gt;"",_xlfn.XLOOKUP(TEXT(C466,"0"),TEXT(CC!$C$3:$C$1000,"0"),CC!$G$3:$G$1000,""),"")</f>
        <v/>
      </c>
    </row>
    <row r="467" spans="7:12" x14ac:dyDescent="0.25">
      <c r="G467" s="70">
        <f>IFERROR(SUMPRODUCT((TEXT(CC!$C$3:$C$1000,"0")=TEXT(C467,"0"))*IFERROR(CC!$E$3:$E$1000+0,0)),0)</f>
      </c>
      <c r="H467" s="56"/>
      <c r="I467" s="95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57" t="str">
        <f>IF(C467&lt;&gt;"",_xlfn.XLOOKUP(TEXT(C467,"0"),TEXT(CC!$C$3:$C$1000,"0"),CC!$G$3:$G$1000,""),"")</f>
        <v/>
      </c>
    </row>
    <row r="468" spans="7:12" x14ac:dyDescent="0.25">
      <c r="G468" s="70">
        <f>IFERROR(SUMPRODUCT((TEXT(CC!$C$3:$C$1000,"0")=TEXT(C468,"0"))*IFERROR(CC!$E$3:$E$1000+0,0)),0)</f>
      </c>
      <c r="H468" s="56"/>
      <c r="I468" s="95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57" t="str">
        <f>IF(C468&lt;&gt;"",_xlfn.XLOOKUP(TEXT(C468,"0"),TEXT(CC!$C$3:$C$1000,"0"),CC!$G$3:$G$1000,""),"")</f>
        <v/>
      </c>
    </row>
    <row r="469" spans="7:12" x14ac:dyDescent="0.25">
      <c r="G469" s="70">
        <f>IFERROR(SUMPRODUCT((TEXT(CC!$C$3:$C$1000,"0")=TEXT(C469,"0"))*IFERROR(CC!$E$3:$E$1000+0,0)),0)</f>
      </c>
      <c r="H469" s="56"/>
      <c r="I469" s="95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57" t="str">
        <f>IF(C469&lt;&gt;"",_xlfn.XLOOKUP(TEXT(C469,"0"),TEXT(CC!$C$3:$C$1000,"0"),CC!$G$3:$G$1000,""),"")</f>
        <v/>
      </c>
    </row>
    <row r="470" spans="7:12" x14ac:dyDescent="0.25">
      <c r="G470" s="70">
        <f>IFERROR(SUMPRODUCT((TEXT(CC!$C$3:$C$1000,"0")=TEXT(C470,"0"))*IFERROR(CC!$E$3:$E$1000+0,0)),0)</f>
      </c>
      <c r="H470" s="56"/>
      <c r="I470" s="95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57" t="str">
        <f>IF(C470&lt;&gt;"",_xlfn.XLOOKUP(TEXT(C470,"0"),TEXT(CC!$C$3:$C$1000,"0"),CC!$G$3:$G$1000,""),"")</f>
        <v/>
      </c>
    </row>
    <row r="471" spans="7:12" x14ac:dyDescent="0.25">
      <c r="G471" s="70">
        <f>IFERROR(SUMPRODUCT((TEXT(CC!$C$3:$C$1000,"0")=TEXT(C471,"0"))*IFERROR(CC!$E$3:$E$1000+0,0)),0)</f>
      </c>
      <c r="H471" s="56"/>
      <c r="I471" s="95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57" t="str">
        <f>IF(C471&lt;&gt;"",_xlfn.XLOOKUP(TEXT(C471,"0"),TEXT(CC!$C$3:$C$1000,"0"),CC!$G$3:$G$1000,""),"")</f>
        <v/>
      </c>
    </row>
    <row r="472" spans="7:12" x14ac:dyDescent="0.25">
      <c r="G472" s="70">
        <f>IFERROR(SUMPRODUCT((TEXT(CC!$C$3:$C$1000,"0")=TEXT(C472,"0"))*IFERROR(CC!$E$3:$E$1000+0,0)),0)</f>
      </c>
      <c r="H472" s="56"/>
      <c r="I472" s="95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57" t="str">
        <f>IF(C472&lt;&gt;"",_xlfn.XLOOKUP(TEXT(C472,"0"),TEXT(CC!$C$3:$C$1000,"0"),CC!$G$3:$G$1000,""),"")</f>
        <v/>
      </c>
    </row>
    <row r="473" spans="7:12" x14ac:dyDescent="0.25">
      <c r="G473" s="70">
        <f>IFERROR(SUMPRODUCT((TEXT(CC!$C$3:$C$1000,"0")=TEXT(C473,"0"))*IFERROR(CC!$E$3:$E$1000+0,0)),0)</f>
      </c>
      <c r="H473" s="56"/>
      <c r="I473" s="95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57" t="str">
        <f>IF(C473&lt;&gt;"",_xlfn.XLOOKUP(TEXT(C473,"0"),TEXT(CC!$C$3:$C$1000,"0"),CC!$G$3:$G$1000,""),"")</f>
        <v/>
      </c>
    </row>
    <row r="474" spans="7:12" x14ac:dyDescent="0.25">
      <c r="G474" s="70">
        <f>IFERROR(SUMPRODUCT((TEXT(CC!$C$3:$C$1000,"0")=TEXT(C474,"0"))*IFERROR(CC!$E$3:$E$1000+0,0)),0)</f>
      </c>
      <c r="H474" s="56"/>
      <c r="I474" s="95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57" t="str">
        <f>IF(C474&lt;&gt;"",_xlfn.XLOOKUP(TEXT(C474,"0"),TEXT(CC!$C$3:$C$1000,"0"),CC!$G$3:$G$1000,""),"")</f>
        <v/>
      </c>
    </row>
    <row r="475" spans="7:12" x14ac:dyDescent="0.25">
      <c r="G475" s="70">
        <f>IFERROR(SUMPRODUCT((TEXT(CC!$C$3:$C$1000,"0")=TEXT(C475,"0"))*IFERROR(CC!$E$3:$E$1000+0,0)),0)</f>
      </c>
      <c r="H475" s="56"/>
      <c r="I475" s="95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57" t="str">
        <f>IF(C475&lt;&gt;"",_xlfn.XLOOKUP(TEXT(C475,"0"),TEXT(CC!$C$3:$C$1000,"0"),CC!$G$3:$G$1000,""),"")</f>
        <v/>
      </c>
    </row>
    <row r="476" spans="7:12" x14ac:dyDescent="0.25">
      <c r="G476" s="70">
        <f>IFERROR(SUMPRODUCT((TEXT(CC!$C$3:$C$1000,"0")=TEXT(C476,"0"))*IFERROR(CC!$E$3:$E$1000+0,0)),0)</f>
      </c>
      <c r="H476" s="56"/>
      <c r="I476" s="95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57" t="str">
        <f>IF(C476&lt;&gt;"",_xlfn.XLOOKUP(TEXT(C476,"0"),TEXT(CC!$C$3:$C$1000,"0"),CC!$G$3:$G$1000,""),"")</f>
        <v/>
      </c>
    </row>
    <row r="477" spans="7:12" x14ac:dyDescent="0.25">
      <c r="G477" s="70">
        <f>IFERROR(SUMPRODUCT((TEXT(CC!$C$3:$C$1000,"0")=TEXT(C477,"0"))*IFERROR(CC!$E$3:$E$1000+0,0)),0)</f>
      </c>
      <c r="H477" s="56"/>
      <c r="I477" s="95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57" t="str">
        <f>IF(C477&lt;&gt;"",_xlfn.XLOOKUP(TEXT(C477,"0"),TEXT(CC!$C$3:$C$1000,"0"),CC!$G$3:$G$1000,""),"")</f>
        <v/>
      </c>
    </row>
    <row r="478" spans="7:12" x14ac:dyDescent="0.25">
      <c r="G478" s="70">
        <f>IFERROR(SUMPRODUCT((TEXT(CC!$C$3:$C$1000,"0")=TEXT(C478,"0"))*IFERROR(CC!$E$3:$E$1000+0,0)),0)</f>
      </c>
      <c r="H478" s="56"/>
      <c r="I478" s="95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57" t="str">
        <f>IF(C478&lt;&gt;"",_xlfn.XLOOKUP(TEXT(C478,"0"),TEXT(CC!$C$3:$C$1000,"0"),CC!$G$3:$G$1000,""),"")</f>
        <v/>
      </c>
    </row>
    <row r="479" spans="7:12" x14ac:dyDescent="0.25">
      <c r="G479" s="70">
        <f>IFERROR(SUMPRODUCT((TEXT(CC!$C$3:$C$1000,"0")=TEXT(C479,"0"))*IFERROR(CC!$E$3:$E$1000+0,0)),0)</f>
      </c>
      <c r="H479" s="56"/>
      <c r="I479" s="95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57" t="str">
        <f>IF(C479&lt;&gt;"",_xlfn.XLOOKUP(TEXT(C479,"0"),TEXT(CC!$C$3:$C$1000,"0"),CC!$G$3:$G$1000,""),"")</f>
        <v/>
      </c>
    </row>
    <row r="480" spans="7:12" x14ac:dyDescent="0.25">
      <c r="G480" s="70">
        <f>IFERROR(SUMPRODUCT((TEXT(CC!$C$3:$C$1000,"0")=TEXT(C480,"0"))*IFERROR(CC!$E$3:$E$1000+0,0)),0)</f>
      </c>
      <c r="H480" s="56"/>
      <c r="I480" s="95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57" t="str">
        <f>IF(C480&lt;&gt;"",_xlfn.XLOOKUP(TEXT(C480,"0"),TEXT(CC!$C$3:$C$1000,"0"),CC!$G$3:$G$1000,""),"")</f>
        <v/>
      </c>
    </row>
    <row r="481" spans="7:12" x14ac:dyDescent="0.25">
      <c r="G481" s="70">
        <f>IFERROR(SUMPRODUCT((TEXT(CC!$C$3:$C$1000,"0")=TEXT(C481,"0"))*IFERROR(CC!$E$3:$E$1000+0,0)),0)</f>
      </c>
      <c r="H481" s="56"/>
      <c r="I481" s="95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57" t="str">
        <f>IF(C481&lt;&gt;"",_xlfn.XLOOKUP(TEXT(C481,"0"),TEXT(CC!$C$3:$C$1000,"0"),CC!$G$3:$G$1000,""),"")</f>
        <v/>
      </c>
    </row>
    <row r="482" spans="7:12" x14ac:dyDescent="0.25">
      <c r="G482" s="70">
        <f>IFERROR(SUMPRODUCT((TEXT(CC!$C$3:$C$1000,"0")=TEXT(C482,"0"))*IFERROR(CC!$E$3:$E$1000+0,0)),0)</f>
      </c>
      <c r="H482" s="56"/>
      <c r="I482" s="95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57" t="str">
        <f>IF(C482&lt;&gt;"",_xlfn.XLOOKUP(TEXT(C482,"0"),TEXT(CC!$C$3:$C$1000,"0"),CC!$G$3:$G$1000,""),"")</f>
        <v/>
      </c>
    </row>
    <row r="483" spans="7:12" x14ac:dyDescent="0.25">
      <c r="G483" s="70">
        <f>IFERROR(SUMPRODUCT((TEXT(CC!$C$3:$C$1000,"0")=TEXT(C483,"0"))*IFERROR(CC!$E$3:$E$1000+0,0)),0)</f>
      </c>
      <c r="H483" s="56"/>
      <c r="I483" s="95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57" t="str">
        <f>IF(C483&lt;&gt;"",_xlfn.XLOOKUP(TEXT(C483,"0"),TEXT(CC!$C$3:$C$1000,"0"),CC!$G$3:$G$1000,""),"")</f>
        <v/>
      </c>
    </row>
    <row r="484" spans="7:12" x14ac:dyDescent="0.25">
      <c r="G484" s="70">
        <f>IFERROR(SUMPRODUCT((TEXT(CC!$C$3:$C$1000,"0")=TEXT(C484,"0"))*IFERROR(CC!$E$3:$E$1000+0,0)),0)</f>
      </c>
      <c r="H484" s="56"/>
      <c r="I484" s="95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57" t="str">
        <f>IF(C484&lt;&gt;"",_xlfn.XLOOKUP(TEXT(C484,"0"),TEXT(CC!$C$3:$C$1000,"0"),CC!$G$3:$G$1000,""),"")</f>
        <v/>
      </c>
    </row>
    <row r="485" spans="7:12" x14ac:dyDescent="0.25">
      <c r="G485" s="70">
        <f>IFERROR(SUMPRODUCT((TEXT(CC!$C$3:$C$1000,"0")=TEXT(C485,"0"))*IFERROR(CC!$E$3:$E$1000+0,0)),0)</f>
      </c>
      <c r="H485" s="56"/>
      <c r="I485" s="95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57" t="str">
        <f>IF(C485&lt;&gt;"",_xlfn.XLOOKUP(TEXT(C485,"0"),TEXT(CC!$C$3:$C$1000,"0"),CC!$G$3:$G$1000,""),"")</f>
        <v/>
      </c>
    </row>
    <row r="486" spans="7:12" x14ac:dyDescent="0.25">
      <c r="G486" s="70">
        <f>IFERROR(SUMPRODUCT((TEXT(CC!$C$3:$C$1000,"0")=TEXT(C486,"0"))*IFERROR(CC!$E$3:$E$1000+0,0)),0)</f>
      </c>
      <c r="H486" s="56"/>
      <c r="I486" s="95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57" t="str">
        <f>IF(C486&lt;&gt;"",_xlfn.XLOOKUP(TEXT(C486,"0"),TEXT(CC!$C$3:$C$1000,"0"),CC!$G$3:$G$1000,""),"")</f>
        <v/>
      </c>
    </row>
    <row r="487" spans="7:12" x14ac:dyDescent="0.25">
      <c r="G487" s="70">
        <f>IFERROR(SUMPRODUCT((TEXT(CC!$C$3:$C$1000,"0")=TEXT(C487,"0"))*IFERROR(CC!$E$3:$E$1000+0,0)),0)</f>
      </c>
      <c r="H487" s="56"/>
      <c r="I487" s="95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57" t="str">
        <f>IF(C487&lt;&gt;"",_xlfn.XLOOKUP(TEXT(C487,"0"),TEXT(CC!$C$3:$C$1000,"0"),CC!$G$3:$G$1000,""),"")</f>
        <v/>
      </c>
    </row>
    <row r="488" spans="7:12" x14ac:dyDescent="0.25">
      <c r="G488" s="70">
        <f>IFERROR(SUMPRODUCT((TEXT(CC!$C$3:$C$1000,"0")=TEXT(C488,"0"))*IFERROR(CC!$E$3:$E$1000+0,0)),0)</f>
      </c>
      <c r="H488" s="56"/>
      <c r="I488" s="95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57" t="str">
        <f>IF(C488&lt;&gt;"",_xlfn.XLOOKUP(TEXT(C488,"0"),TEXT(CC!$C$3:$C$1000,"0"),CC!$G$3:$G$1000,""),"")</f>
        <v/>
      </c>
    </row>
    <row r="489" spans="7:12" x14ac:dyDescent="0.25">
      <c r="G489" s="70">
        <f>IFERROR(SUMPRODUCT((TEXT(CC!$C$3:$C$1000,"0")=TEXT(C489,"0"))*IFERROR(CC!$E$3:$E$1000+0,0)),0)</f>
      </c>
      <c r="H489" s="56"/>
      <c r="I489" s="95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57" t="str">
        <f>IF(C489&lt;&gt;"",_xlfn.XLOOKUP(TEXT(C489,"0"),TEXT(CC!$C$3:$C$1000,"0"),CC!$G$3:$G$1000,""),"")</f>
        <v/>
      </c>
    </row>
    <row r="490" spans="7:12" x14ac:dyDescent="0.25">
      <c r="G490" s="70">
        <f>IFERROR(SUMPRODUCT((TEXT(CC!$C$3:$C$1000,"0")=TEXT(C490,"0"))*IFERROR(CC!$E$3:$E$1000+0,0)),0)</f>
      </c>
      <c r="H490" s="56"/>
      <c r="I490" s="95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57" t="str">
        <f>IF(C490&lt;&gt;"",_xlfn.XLOOKUP(TEXT(C490,"0"),TEXT(CC!$C$3:$C$1000,"0"),CC!$G$3:$G$1000,""),"")</f>
        <v/>
      </c>
    </row>
    <row r="491" spans="7:12" x14ac:dyDescent="0.25">
      <c r="G491" s="70">
        <f>IFERROR(SUMPRODUCT((TEXT(CC!$C$3:$C$1000,"0")=TEXT(C491,"0"))*IFERROR(CC!$E$3:$E$1000+0,0)),0)</f>
      </c>
      <c r="H491" s="56"/>
      <c r="I491" s="95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57" t="str">
        <f>IF(C491&lt;&gt;"",_xlfn.XLOOKUP(TEXT(C491,"0"),TEXT(CC!$C$3:$C$1000,"0"),CC!$G$3:$G$1000,""),"")</f>
        <v/>
      </c>
    </row>
    <row r="492" spans="7:12" x14ac:dyDescent="0.25">
      <c r="G492" s="70">
        <f>IFERROR(SUMPRODUCT((TEXT(CC!$C$3:$C$1000,"0")=TEXT(C492,"0"))*IFERROR(CC!$E$3:$E$1000+0,0)),0)</f>
      </c>
      <c r="H492" s="56"/>
      <c r="I492" s="95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57" t="str">
        <f>IF(C492&lt;&gt;"",_xlfn.XLOOKUP(TEXT(C492,"0"),TEXT(CC!$C$3:$C$1000,"0"),CC!$G$3:$G$1000,""),"")</f>
        <v/>
      </c>
    </row>
    <row r="493" spans="7:12" x14ac:dyDescent="0.25">
      <c r="G493" s="70">
        <f>IFERROR(SUMPRODUCT((TEXT(CC!$C$3:$C$1000,"0")=TEXT(C493,"0"))*IFERROR(CC!$E$3:$E$1000+0,0)),0)</f>
      </c>
      <c r="H493" s="56"/>
      <c r="I493" s="95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57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4">
    <mergeCell ref="N2:T2"/>
    <mergeCell ref="B9"/>
    <mergeCell ref="N37:T37"/>
    <mergeCell ref="N12:S12"/>
  </mergeCells>
  <conditionalFormatting sqref="T39:T60">
    <cfRule type="expression" dxfId="31" priority="4">
      <formula>AND($Q39&lt;&gt;0,$T39&lt;&gt;"")</formula>
    </cfRule>
    <cfRule type="expression" dxfId="30" priority="6">
      <formula>AND($Q39&lt;&gt;0,$T39="")</formula>
    </cfRule>
  </conditionalFormatting>
  <conditionalFormatting sqref="L8">
    <cfRule type="cellIs" dxfId="29" priority="2" operator="equal">
      <formula>0</formula>
    </cfRule>
    <cfRule type="cellIs" dxfId="28" priority="3" operator="notEqual">
      <formula>0</formula>
    </cfRule>
  </conditionalFormatting>
  <conditionalFormatting sqref="G14:G493">
    <cfRule type="expression" dxfId="27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J13" sqref="J13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84" t="s">
        <v>48</v>
      </c>
      <c r="B3" s="84"/>
      <c r="C3" s="85" t="str">
        <f>"DD"&amp;TEXT('Schedule&amp;Rec'!L3,"mmddyy")</f>
        <v>DD032426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84"/>
      <c r="B4" s="84"/>
      <c r="C4" s="86"/>
      <c r="D4" s="4"/>
      <c r="E4" s="4"/>
      <c r="F4" s="4"/>
      <c r="G4" s="5"/>
      <c r="H4" s="4"/>
      <c r="I4" s="4"/>
      <c r="J4" s="4"/>
      <c r="K4" s="4"/>
      <c r="L4" s="4"/>
      <c r="M4" s="6" t="s">
        <v>49</v>
      </c>
      <c r="N4" s="4"/>
    </row>
    <row r="5" spans="1:14" ht="15.75" thickBot="1" x14ac:dyDescent="0.3">
      <c r="A5" s="84"/>
      <c r="B5" s="84"/>
      <c r="C5" s="87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-3580.4600000000009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50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51</v>
      </c>
      <c r="D9" s="15"/>
      <c r="E9" s="15" t="s">
        <v>52</v>
      </c>
      <c r="F9" s="15" t="s">
        <v>53</v>
      </c>
      <c r="G9" s="16" t="s">
        <v>54</v>
      </c>
      <c r="H9" s="15" t="s">
        <v>10</v>
      </c>
      <c r="I9" s="15" t="s">
        <v>55</v>
      </c>
      <c r="J9" s="15" t="s">
        <v>56</v>
      </c>
      <c r="K9" s="15" t="s">
        <v>57</v>
      </c>
      <c r="L9" s="15"/>
      <c r="M9" s="15" t="s">
        <v>58</v>
      </c>
      <c r="N9" s="14"/>
    </row>
    <row r="10" spans="1:14" x14ac:dyDescent="0.25">
      <c r="A10" s="4"/>
      <c r="B10" s="14"/>
      <c r="C10" s="17" t="str">
        <f>IF(G10=0,"",(E10&amp;"."&amp;F10&amp;"."&amp;G10*100&amp;"."&amp;H10&amp;"."&amp;I10&amp;"."&amp;J10&amp;"."&amp;K10))</f>
        <v>18.501001.2500000.CA0324..CASH.</v>
      </c>
      <c r="D10" s="14"/>
      <c r="E10">
        <v>18</v>
      </c>
      <c r="F10">
        <v>501001</v>
      </c>
      <c r="G10" s="1">
        <v>25000</v>
      </c>
      <c r="H10" t="s">
        <v>237</v>
      </c>
      <c r="J10" s="18" t="s">
        <v>63</v>
      </c>
      <c r="K10" s="18"/>
      <c r="L10" s="14"/>
      <c r="N10" s="14"/>
    </row>
    <row r="11" spans="1:14" x14ac:dyDescent="0.25">
      <c r="A11" s="4"/>
      <c r="B11" s="14"/>
      <c r="C11" s="17" t="str">
        <f t="shared" ref="C11:C74" si="0">IF(G11=0,"",(E11&amp;"."&amp;F11&amp;"."&amp;G11*100&amp;"."&amp;H11&amp;"."&amp;I11&amp;"."&amp;J11&amp;"."&amp;K11))</f>
        <v>18.501010.-800000.213835...</v>
      </c>
      <c r="D11" s="14"/>
      <c r="E11">
        <v>18</v>
      </c>
      <c r="F11">
        <v>501010</v>
      </c>
      <c r="G11" s="2">
        <v>-8000</v>
      </c>
      <c r="H11">
        <v>213835</v>
      </c>
      <c r="J11" s="18"/>
      <c r="K11" s="18"/>
      <c r="L11" s="14"/>
      <c r="N11" s="14"/>
    </row>
    <row r="12" spans="1:14" x14ac:dyDescent="0.25">
      <c r="A12" s="4"/>
      <c r="B12" s="14"/>
      <c r="C12" s="17" t="str">
        <f t="shared" si="0"/>
        <v>18.501010.-50000.213838...</v>
      </c>
      <c r="D12" s="14"/>
      <c r="E12">
        <v>18</v>
      </c>
      <c r="F12">
        <v>501010</v>
      </c>
      <c r="G12" s="1">
        <v>-500</v>
      </c>
      <c r="H12">
        <v>213838</v>
      </c>
      <c r="J12" s="18"/>
      <c r="K12" s="18"/>
      <c r="L12" s="14"/>
      <c r="N12" s="14"/>
    </row>
    <row r="13" spans="1:14" x14ac:dyDescent="0.25">
      <c r="A13" s="4"/>
      <c r="B13" s="14"/>
      <c r="C13" s="17" t="str">
        <f t="shared" si="0"/>
        <v>18.501010.-11661.346894...</v>
      </c>
      <c r="D13" s="14"/>
      <c r="E13">
        <v>18</v>
      </c>
      <c r="F13">
        <v>501010</v>
      </c>
      <c r="G13" s="2">
        <v>-116.61</v>
      </c>
      <c r="H13">
        <v>346894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18.501010.-5935.347139...</v>
      </c>
      <c r="D14" s="14"/>
      <c r="E14">
        <v>18</v>
      </c>
      <c r="F14">
        <v>501010</v>
      </c>
      <c r="G14" s="1">
        <v>-59.35</v>
      </c>
      <c r="H14">
        <v>347139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18.501010.-4260.347140...</v>
      </c>
      <c r="D15" s="14"/>
      <c r="E15">
        <v>18</v>
      </c>
      <c r="F15">
        <v>501010</v>
      </c>
      <c r="G15" s="1">
        <v>-42.6</v>
      </c>
      <c r="H15">
        <v>347140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18.501010.-53334.347148...</v>
      </c>
      <c r="D16" s="14"/>
      <c r="E16">
        <v>18</v>
      </c>
      <c r="F16">
        <v>501010</v>
      </c>
      <c r="G16" s="1">
        <v>-533.34</v>
      </c>
      <c r="H16">
        <v>347148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18.501010.-2897.347151...</v>
      </c>
      <c r="D17" s="14"/>
      <c r="E17">
        <v>18</v>
      </c>
      <c r="F17">
        <v>501010</v>
      </c>
      <c r="G17" s="1">
        <v>-28.97</v>
      </c>
      <c r="H17">
        <v>347151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18.501010.-22851.347154...</v>
      </c>
      <c r="D18" s="14"/>
      <c r="E18">
        <v>18</v>
      </c>
      <c r="F18">
        <v>501010</v>
      </c>
      <c r="G18" s="1">
        <v>-228.51</v>
      </c>
      <c r="H18">
        <v>347154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18.501010.-11793.347155...</v>
      </c>
      <c r="D19" s="14"/>
      <c r="E19">
        <v>18</v>
      </c>
      <c r="F19">
        <v>501010</v>
      </c>
      <c r="G19" s="1">
        <v>-117.93</v>
      </c>
      <c r="H19">
        <v>347155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18.501010.-1884.347161...</v>
      </c>
      <c r="D20" s="14"/>
      <c r="E20">
        <v>18</v>
      </c>
      <c r="F20">
        <v>501010</v>
      </c>
      <c r="G20" s="1">
        <v>-18.84</v>
      </c>
      <c r="H20">
        <v>347161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18.501010.-2675.347162...</v>
      </c>
      <c r="D21" s="14"/>
      <c r="E21">
        <v>18</v>
      </c>
      <c r="F21">
        <v>501010</v>
      </c>
      <c r="G21" s="1">
        <v>-26.75</v>
      </c>
      <c r="H21">
        <v>347162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18.501010.-46925.809485...</v>
      </c>
      <c r="D22" s="14"/>
      <c r="E22">
        <v>18</v>
      </c>
      <c r="F22">
        <v>501010</v>
      </c>
      <c r="G22" s="1">
        <v>-469.25</v>
      </c>
      <c r="H22">
        <v>809485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18.501010.-182780.809614...</v>
      </c>
      <c r="D23" s="14"/>
      <c r="E23">
        <v>18</v>
      </c>
      <c r="F23">
        <v>501010</v>
      </c>
      <c r="G23" s="1">
        <v>-1827.8</v>
      </c>
      <c r="H23">
        <v>809614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18.501010.-80625.809619...</v>
      </c>
      <c r="D24" s="14"/>
      <c r="E24">
        <v>18</v>
      </c>
      <c r="F24">
        <v>501010</v>
      </c>
      <c r="G24" s="1">
        <v>-806.25</v>
      </c>
      <c r="H24">
        <v>809619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18.501010.-8300.809777...</v>
      </c>
      <c r="D25" s="14"/>
      <c r="E25">
        <v>18</v>
      </c>
      <c r="F25">
        <v>501010</v>
      </c>
      <c r="G25" s="1">
        <v>-83</v>
      </c>
      <c r="H25">
        <v>809777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18.501010.-2000.809800...</v>
      </c>
      <c r="D26" s="14"/>
      <c r="E26">
        <v>18</v>
      </c>
      <c r="F26">
        <v>501010</v>
      </c>
      <c r="G26" s="1">
        <v>-20</v>
      </c>
      <c r="H26">
        <v>809800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18.501010.-23324.809801...</v>
      </c>
      <c r="D27" s="14"/>
      <c r="E27">
        <v>18</v>
      </c>
      <c r="F27">
        <v>501010</v>
      </c>
      <c r="G27" s="1">
        <v>-233.24</v>
      </c>
      <c r="H27">
        <v>809801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18.501010.-10446.809804...</v>
      </c>
      <c r="D28" s="14"/>
      <c r="E28">
        <v>18</v>
      </c>
      <c r="F28">
        <v>501010</v>
      </c>
      <c r="G28" s="1">
        <v>-104.46</v>
      </c>
      <c r="H28">
        <v>809804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18.501010.-58934.809806...</v>
      </c>
      <c r="D29" s="14"/>
      <c r="E29">
        <v>18</v>
      </c>
      <c r="F29">
        <v>501010</v>
      </c>
      <c r="G29" s="1">
        <v>-589.34</v>
      </c>
      <c r="H29">
        <v>809806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18.501010.-34683.809808...</v>
      </c>
      <c r="D30" s="14"/>
      <c r="E30">
        <v>18</v>
      </c>
      <c r="F30">
        <v>501010</v>
      </c>
      <c r="G30" s="1">
        <v>-346.83</v>
      </c>
      <c r="H30">
        <v>809808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18.501010.-31904.809809...</v>
      </c>
      <c r="D31" s="14"/>
      <c r="E31">
        <v>18</v>
      </c>
      <c r="F31">
        <v>501010</v>
      </c>
      <c r="G31" s="1">
        <v>-319.04000000000002</v>
      </c>
      <c r="H31">
        <v>809809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18.501010.-27707.809810...</v>
      </c>
      <c r="D32" s="14"/>
      <c r="E32">
        <v>18</v>
      </c>
      <c r="F32">
        <v>501010</v>
      </c>
      <c r="G32" s="1">
        <v>-277.07</v>
      </c>
      <c r="H32">
        <v>809810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18.501010.-10271.809814...</v>
      </c>
      <c r="D33" s="14"/>
      <c r="E33">
        <v>18</v>
      </c>
      <c r="F33">
        <v>501010</v>
      </c>
      <c r="G33" s="1">
        <v>-102.71</v>
      </c>
      <c r="H33">
        <v>809814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18.501010.-9329.809815...</v>
      </c>
      <c r="D34" s="14"/>
      <c r="E34">
        <v>18</v>
      </c>
      <c r="F34">
        <v>501010</v>
      </c>
      <c r="G34" s="1">
        <v>-93.29</v>
      </c>
      <c r="H34">
        <v>809815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18.501010.-2000.809818...</v>
      </c>
      <c r="D35" s="14"/>
      <c r="E35">
        <v>18</v>
      </c>
      <c r="F35">
        <v>501010</v>
      </c>
      <c r="G35" s="1">
        <v>-20</v>
      </c>
      <c r="H35">
        <v>809818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18.501010.-138486.809819...</v>
      </c>
      <c r="D36" s="14"/>
      <c r="E36">
        <v>18</v>
      </c>
      <c r="F36">
        <v>501010</v>
      </c>
      <c r="G36" s="1">
        <v>-1384.86</v>
      </c>
      <c r="H36">
        <v>809819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18.501010.-10897.809820...</v>
      </c>
      <c r="D37" s="14"/>
      <c r="E37">
        <v>18</v>
      </c>
      <c r="F37">
        <v>501010</v>
      </c>
      <c r="G37" s="1">
        <v>-108.97</v>
      </c>
      <c r="H37">
        <v>809820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18.501010.-13995.809821...</v>
      </c>
      <c r="D38" s="14"/>
      <c r="E38">
        <v>18</v>
      </c>
      <c r="F38">
        <v>501010</v>
      </c>
      <c r="G38" s="1">
        <v>-139.94999999999999</v>
      </c>
      <c r="H38">
        <v>809821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18.501010.-21627.809822...</v>
      </c>
      <c r="D39" s="14"/>
      <c r="E39">
        <v>18</v>
      </c>
      <c r="F39">
        <v>501010</v>
      </c>
      <c r="G39" s="1">
        <v>-216.27</v>
      </c>
      <c r="H39">
        <v>809822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18.501010.-84140.809825...</v>
      </c>
      <c r="D40" s="14"/>
      <c r="E40">
        <v>18</v>
      </c>
      <c r="F40">
        <v>501010</v>
      </c>
      <c r="G40" s="1">
        <v>-841.4</v>
      </c>
      <c r="H40">
        <v>809825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18.501010.-2000.809828...</v>
      </c>
      <c r="D41" s="14"/>
      <c r="E41">
        <v>18</v>
      </c>
      <c r="F41">
        <v>501010</v>
      </c>
      <c r="G41" s="1">
        <v>-20</v>
      </c>
      <c r="H41">
        <v>809828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si="0"/>
        <v>18.501010.-45378.809829...</v>
      </c>
      <c r="D42" s="14"/>
      <c r="E42">
        <v>18</v>
      </c>
      <c r="F42">
        <v>501010</v>
      </c>
      <c r="G42" s="1">
        <v>-453.78</v>
      </c>
      <c r="H42">
        <v>809829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0"/>
        <v>18.501010.-17810.809830...</v>
      </c>
      <c r="D43" s="14"/>
      <c r="E43">
        <v>18</v>
      </c>
      <c r="F43">
        <v>501010</v>
      </c>
      <c r="G43" s="1">
        <v>-178.1</v>
      </c>
      <c r="H43">
        <v>809830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0"/>
        <v>18.501010.-2000.809831...</v>
      </c>
      <c r="D44" s="14"/>
      <c r="E44">
        <v>18</v>
      </c>
      <c r="F44">
        <v>501010</v>
      </c>
      <c r="G44" s="1">
        <v>-20</v>
      </c>
      <c r="H44">
        <v>809831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0"/>
        <v>18.501010.-11557.809832...</v>
      </c>
      <c r="D45" s="14"/>
      <c r="E45">
        <v>18</v>
      </c>
      <c r="F45">
        <v>501010</v>
      </c>
      <c r="G45" s="1">
        <v>-115.57</v>
      </c>
      <c r="H45">
        <v>809832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0"/>
        <v>18.501010.-34832.809833...</v>
      </c>
      <c r="D46" s="14"/>
      <c r="E46">
        <v>18</v>
      </c>
      <c r="F46">
        <v>501010</v>
      </c>
      <c r="G46" s="1">
        <v>-348.32</v>
      </c>
      <c r="H46">
        <v>809833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0"/>
        <v>18.501010.-10897.809835...</v>
      </c>
      <c r="D47" s="14"/>
      <c r="E47">
        <v>18</v>
      </c>
      <c r="F47">
        <v>501010</v>
      </c>
      <c r="G47" s="1">
        <v>-108.97</v>
      </c>
      <c r="H47">
        <v>809835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0"/>
        <v>18.501010.-35838.809836...</v>
      </c>
      <c r="D48" s="14"/>
      <c r="E48">
        <v>18</v>
      </c>
      <c r="F48">
        <v>501010</v>
      </c>
      <c r="G48" s="1">
        <v>-358.38</v>
      </c>
      <c r="H48">
        <v>809836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0"/>
        <v>18.501010.-54993.809837...</v>
      </c>
      <c r="D49" s="14"/>
      <c r="E49">
        <v>18</v>
      </c>
      <c r="F49">
        <v>501010</v>
      </c>
      <c r="G49" s="1">
        <v>-549.92999999999995</v>
      </c>
      <c r="H49">
        <v>809837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0"/>
        <v>18.501010.-2000.809838...</v>
      </c>
      <c r="D50" s="14"/>
      <c r="E50">
        <v>18</v>
      </c>
      <c r="F50">
        <v>501010</v>
      </c>
      <c r="G50" s="1">
        <v>-20</v>
      </c>
      <c r="H50">
        <v>809838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0"/>
        <v>18.501010.-40513.809840...</v>
      </c>
      <c r="D51" s="14"/>
      <c r="E51">
        <v>18</v>
      </c>
      <c r="F51">
        <v>501010</v>
      </c>
      <c r="G51" s="1">
        <v>-405.13</v>
      </c>
      <c r="H51">
        <v>809840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0"/>
        <v>18.501010.-7905.809844...</v>
      </c>
      <c r="D52" s="14"/>
      <c r="E52">
        <v>18</v>
      </c>
      <c r="F52">
        <v>501010</v>
      </c>
      <c r="G52" s="1">
        <v>-79.05</v>
      </c>
      <c r="H52">
        <v>809844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0"/>
        <v>18.501010.-13995.809847...</v>
      </c>
      <c r="D53" s="14"/>
      <c r="E53">
        <v>18</v>
      </c>
      <c r="F53">
        <v>501010</v>
      </c>
      <c r="G53" s="1">
        <v>-139.94999999999999</v>
      </c>
      <c r="H53">
        <v>809847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0"/>
        <v>18.501010.-193803.809851...</v>
      </c>
      <c r="D54" s="14"/>
      <c r="E54">
        <v>18</v>
      </c>
      <c r="F54">
        <v>501010</v>
      </c>
      <c r="G54" s="1">
        <v>-1938.03</v>
      </c>
      <c r="H54">
        <v>809851</v>
      </c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0"/>
        <v>18.501010.-8698.809852...</v>
      </c>
      <c r="D55" s="14"/>
      <c r="E55">
        <v>18</v>
      </c>
      <c r="F55">
        <v>501010</v>
      </c>
      <c r="G55" s="1">
        <v>-86.98</v>
      </c>
      <c r="H55">
        <v>809852</v>
      </c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0"/>
        <v>18.501010.-48794.809853...</v>
      </c>
      <c r="D56" s="14"/>
      <c r="E56">
        <v>18</v>
      </c>
      <c r="F56">
        <v>501010</v>
      </c>
      <c r="G56" s="1">
        <v>-487.94</v>
      </c>
      <c r="H56">
        <v>809853</v>
      </c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0"/>
        <v>18.501010.-28130.809856...</v>
      </c>
      <c r="D57" s="14"/>
      <c r="E57">
        <v>18</v>
      </c>
      <c r="F57">
        <v>501010</v>
      </c>
      <c r="G57" s="1">
        <v>-281.3</v>
      </c>
      <c r="H57">
        <v>809856</v>
      </c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0"/>
        <v>18.501010.-52891.809857...</v>
      </c>
      <c r="D58" s="14"/>
      <c r="E58">
        <v>18</v>
      </c>
      <c r="F58">
        <v>501010</v>
      </c>
      <c r="G58" s="1">
        <v>-528.91</v>
      </c>
      <c r="H58">
        <v>809857</v>
      </c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0"/>
        <v>18.501010.-50648.809858...</v>
      </c>
      <c r="D59" s="14"/>
      <c r="E59">
        <v>18</v>
      </c>
      <c r="F59">
        <v>501010</v>
      </c>
      <c r="G59" s="1">
        <v>-506.48</v>
      </c>
      <c r="H59">
        <v>809858</v>
      </c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0"/>
        <v>18.501010.-10897.809864...</v>
      </c>
      <c r="D60" s="14"/>
      <c r="E60">
        <v>18</v>
      </c>
      <c r="F60">
        <v>501010</v>
      </c>
      <c r="G60" s="1">
        <v>-108.97</v>
      </c>
      <c r="H60">
        <v>809864</v>
      </c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0"/>
        <v>18.501010.-30039.809868...</v>
      </c>
      <c r="D61" s="14"/>
      <c r="E61">
        <v>18</v>
      </c>
      <c r="F61">
        <v>501010</v>
      </c>
      <c r="G61" s="1">
        <v>-300.39</v>
      </c>
      <c r="H61">
        <v>809868</v>
      </c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0"/>
        <v>18.501010.-12361.809871...</v>
      </c>
      <c r="D62" s="14"/>
      <c r="E62">
        <v>18</v>
      </c>
      <c r="F62">
        <v>501010</v>
      </c>
      <c r="G62" s="1">
        <v>-123.61</v>
      </c>
      <c r="H62">
        <v>809871</v>
      </c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0"/>
        <v>18.501010.-10897.809873...</v>
      </c>
      <c r="D63" s="14"/>
      <c r="E63">
        <v>18</v>
      </c>
      <c r="F63">
        <v>501010</v>
      </c>
      <c r="G63" s="1">
        <v>-108.97</v>
      </c>
      <c r="H63">
        <v>809873</v>
      </c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0"/>
        <v>18.501010.-12897.809874...</v>
      </c>
      <c r="D64" s="14"/>
      <c r="E64">
        <v>18</v>
      </c>
      <c r="F64">
        <v>501010</v>
      </c>
      <c r="G64" s="1">
        <v>-128.97</v>
      </c>
      <c r="H64">
        <v>809874</v>
      </c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0"/>
        <v>18.501010.-8067.809875...</v>
      </c>
      <c r="D65" s="14"/>
      <c r="E65">
        <v>18</v>
      </c>
      <c r="F65">
        <v>501010</v>
      </c>
      <c r="G65" s="1">
        <v>-80.67</v>
      </c>
      <c r="H65">
        <v>809875</v>
      </c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0"/>
        <v>18.501010.-21011.809876...</v>
      </c>
      <c r="D66" s="14"/>
      <c r="E66">
        <v>18</v>
      </c>
      <c r="F66">
        <v>501010</v>
      </c>
      <c r="G66" s="1">
        <v>-210.11</v>
      </c>
      <c r="H66">
        <v>809876</v>
      </c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0"/>
        <v>18.501010.11000.787969...</v>
      </c>
      <c r="D67" s="14"/>
      <c r="E67">
        <v>18</v>
      </c>
      <c r="F67">
        <v>501010</v>
      </c>
      <c r="G67" s="1">
        <v>110</v>
      </c>
      <c r="H67">
        <v>787969</v>
      </c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0"/>
        <v>18.501010.-50000.788031...</v>
      </c>
      <c r="D68" s="14"/>
      <c r="E68">
        <v>18</v>
      </c>
      <c r="F68">
        <v>501010</v>
      </c>
      <c r="G68" s="1">
        <v>-500</v>
      </c>
      <c r="H68">
        <v>788031</v>
      </c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0"/>
        <v>18.501010.-50000.204078.Cash..</v>
      </c>
      <c r="D69" s="14"/>
      <c r="E69">
        <v>18</v>
      </c>
      <c r="F69">
        <v>501010</v>
      </c>
      <c r="G69" s="1">
        <v>-500</v>
      </c>
      <c r="H69">
        <v>204078</v>
      </c>
      <c r="I69" t="s">
        <v>216</v>
      </c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0"/>
        <v>18.501010.-837.347157.Cash..</v>
      </c>
      <c r="D70" s="14"/>
      <c r="E70">
        <v>18</v>
      </c>
      <c r="F70">
        <v>501010</v>
      </c>
      <c r="G70" s="1">
        <v>-8.3699999999999992</v>
      </c>
      <c r="H70">
        <v>347157</v>
      </c>
      <c r="I70" t="s">
        <v>216</v>
      </c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0"/>
        <v>18.501010.-11999.809452.Cash..</v>
      </c>
      <c r="D71" s="14"/>
      <c r="E71">
        <v>18</v>
      </c>
      <c r="F71">
        <v>501010</v>
      </c>
      <c r="G71" s="1">
        <v>-119.99</v>
      </c>
      <c r="H71">
        <v>809452</v>
      </c>
      <c r="I71" t="s">
        <v>216</v>
      </c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0"/>
        <v>18.501010.-2000.809805.Cash..</v>
      </c>
      <c r="D72" s="14"/>
      <c r="E72">
        <v>18</v>
      </c>
      <c r="F72">
        <v>501010</v>
      </c>
      <c r="G72" s="1">
        <v>-20</v>
      </c>
      <c r="H72">
        <v>809805</v>
      </c>
      <c r="I72" t="s">
        <v>216</v>
      </c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0"/>
        <v>18.501010.-8067.809827.Cash..</v>
      </c>
      <c r="D73" s="14"/>
      <c r="E73">
        <v>18</v>
      </c>
      <c r="F73">
        <v>501010</v>
      </c>
      <c r="G73" s="1">
        <v>-80.67</v>
      </c>
      <c r="H73">
        <v>809827</v>
      </c>
      <c r="I73" t="s">
        <v>216</v>
      </c>
      <c r="J73" s="18"/>
      <c r="K73" s="18"/>
      <c r="L73" s="14"/>
      <c r="N73" s="14"/>
    </row>
    <row r="74" spans="1:14" x14ac:dyDescent="0.25">
      <c r="A74" s="4"/>
      <c r="B74" s="14"/>
      <c r="C74" s="17" t="str">
        <f t="shared" si="0"/>
        <v>18.501010.-2000.809849.Cash..</v>
      </c>
      <c r="D74" s="14"/>
      <c r="E74">
        <v>18</v>
      </c>
      <c r="F74">
        <v>501010</v>
      </c>
      <c r="G74" s="1">
        <v>-20</v>
      </c>
      <c r="H74">
        <v>809849</v>
      </c>
      <c r="I74" t="s">
        <v>216</v>
      </c>
      <c r="J74" s="18"/>
      <c r="K74" s="18"/>
      <c r="L74" s="14"/>
      <c r="N74" s="14"/>
    </row>
    <row r="75" spans="1:14" x14ac:dyDescent="0.25">
      <c r="A75" s="4"/>
      <c r="B75" s="14"/>
      <c r="C75" s="17" t="str">
        <f t="shared" ref="C75:C138" si="1">IF(G75=0,"",(E75&amp;"."&amp;F75&amp;"."&amp;G75*100&amp;"."&amp;H75&amp;"."&amp;I75&amp;"."&amp;J75&amp;"."&amp;K75))</f>
        <v>18.501010.-63043.347089.Check..</v>
      </c>
      <c r="D75" s="14"/>
      <c r="E75">
        <v>18</v>
      </c>
      <c r="F75">
        <v>501010</v>
      </c>
      <c r="G75" s="1">
        <v>-630.42999999999995</v>
      </c>
      <c r="H75">
        <v>347089</v>
      </c>
      <c r="I75" t="s">
        <v>227</v>
      </c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1"/>
        <v>18.501010.-1822.347091.Check..</v>
      </c>
      <c r="D76" s="14"/>
      <c r="E76">
        <v>18</v>
      </c>
      <c r="F76">
        <v>501010</v>
      </c>
      <c r="G76" s="1">
        <v>-18.22</v>
      </c>
      <c r="H76">
        <v>347091</v>
      </c>
      <c r="I76" t="s">
        <v>227</v>
      </c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1"/>
        <v>18.501010.-136579.347127.Check..</v>
      </c>
      <c r="D77" s="14"/>
      <c r="E77">
        <v>18</v>
      </c>
      <c r="F77">
        <v>501010</v>
      </c>
      <c r="G77" s="1">
        <v>-1365.79</v>
      </c>
      <c r="H77">
        <v>347127</v>
      </c>
      <c r="I77" t="s">
        <v>227</v>
      </c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1"/>
        <v>18.501010.-4663.347153.Check..</v>
      </c>
      <c r="D78" s="14"/>
      <c r="E78">
        <v>18</v>
      </c>
      <c r="F78">
        <v>501010</v>
      </c>
      <c r="G78" s="1">
        <v>-46.63</v>
      </c>
      <c r="H78">
        <v>347153</v>
      </c>
      <c r="I78" t="s">
        <v>227</v>
      </c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1"/>
        <v>18.501010.-3522.347156.Check..</v>
      </c>
      <c r="D79" s="14"/>
      <c r="E79">
        <v>18</v>
      </c>
      <c r="F79">
        <v>501010</v>
      </c>
      <c r="G79" s="1">
        <v>-35.22</v>
      </c>
      <c r="H79">
        <v>347156</v>
      </c>
      <c r="I79" t="s">
        <v>227</v>
      </c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1"/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1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1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1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1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1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1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1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1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1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1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1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1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1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1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1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1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1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1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1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1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1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1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1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1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1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1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1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1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1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1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1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1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1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1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1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1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1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1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1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1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1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1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1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1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1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1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1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1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1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1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1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1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1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1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1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1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1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1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2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2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2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2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2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2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2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2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2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2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2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2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2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2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2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2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2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2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2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2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2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2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2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2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2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2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2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2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2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2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2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2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2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2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2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2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2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2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2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2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2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2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2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2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2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2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2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2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2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2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2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2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2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2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2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2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2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2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2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2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2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2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2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2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3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3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3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3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3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3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3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3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3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3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3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3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3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3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3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3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3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3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3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3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3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3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3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3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3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3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3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3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3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3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3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3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3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3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3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3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3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3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3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3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3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3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3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3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3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3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3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3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3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3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3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3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3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3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3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3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3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3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3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3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3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3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3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3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4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4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4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4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4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4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4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4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4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4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4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4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4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4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4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4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4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4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4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4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4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4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4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4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4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4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4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4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4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4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4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4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4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4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4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4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4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4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4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4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4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4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4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4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4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4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4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4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4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4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4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4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4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4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4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4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4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4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4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4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4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4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4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4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5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5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5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5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5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5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5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5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5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5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5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5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5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5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5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5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5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5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5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5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5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5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5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5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5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5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5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5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5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5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5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5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5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5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5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5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5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5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5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5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5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5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5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5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5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5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5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5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5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5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5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5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5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5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5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5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5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5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5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5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5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5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5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5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6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6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6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6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6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6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6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6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6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6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6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6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6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6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33" priority="1" operator="notEqual">
      <formula>0</formula>
    </cfRule>
    <cfRule type="cellIs" dxfId="32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Neary, Nicole</cp:lastModifiedBy>
  <dcterms:created xsi:type="dcterms:W3CDTF">2025-07-30T15:20:09Z</dcterms:created>
  <dcterms:modified xsi:type="dcterms:W3CDTF">2026-03-27T15:15:06Z</dcterms:modified>
</cp:coreProperties>
</file>