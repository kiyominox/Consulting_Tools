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balcdk-my.sharepoint.com/personal/nicole_neary_cdk_com/Documents/Desktop/Consulting/CMA/2026 03 23/"/>
    </mc:Choice>
  </mc:AlternateContent>
  <xr:revisionPtr revIDLastSave="1328" documentId="8_{0A524D0B-D147-4275-956E-8A71A0AF0279}" xr6:coauthVersionLast="47" xr6:coauthVersionMax="47" xr10:uidLastSave="{D502E793-5DBE-4BD8-B7BD-29B731042320}"/>
  <bookViews>
    <workbookView xWindow="-120" yWindow="-120" windowWidth="29040" windowHeight="15720" activeTab="1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<sst xmlns="http://schemas.openxmlformats.org/spreadsheetml/2006/main" count="8971" uniqueCount="4328">
  <si>
    <t>MoreInfo</t>
  </si>
  <si>
    <t>Amount $:</t>
  </si>
  <si>
    <t>Control</t>
  </si>
  <si>
    <t>Detail</t>
  </si>
  <si>
    <t>Days</t>
  </si>
  <si>
    <t>At-a-Glance</t>
  </si>
  <si>
    <t>Accounting Schedule Report 1 - CASH CLEARING - SUMMARY</t>
  </si>
  <si>
    <t>Amount $</t>
  </si>
  <si>
    <t>Include Current Month:YES / Include Post-ahead Month:YES / Include Zero-balanced Controls:NO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</si>
  <si>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</si>
  <si>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</si>
  <si>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</si>
  <si>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</si>
  <si>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</si>
  <si>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</si>
  <si>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</si>
  <si>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</si>
  <si>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</si>
  <si>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</si>
  <si>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</si>
  <si>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</si>
  <si>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</si>
  <si>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</si>
  <si>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</si>
  <si>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</si>
  <si>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</si>
  <si>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</si>
  <si>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</si>
  <si>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</si>
  <si>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</si>
  <si>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</si>
  <si>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</si>
  <si>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</si>
  <si>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</si>
  <si>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</si>
  <si>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</si>
  <si>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</si>
  <si>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</si>
  <si>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</si>
  <si>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UPDATE DATE -&gt;</t>
  </si>
  <si>
    <t>Type Y or the amount received in received column</t>
  </si>
  <si>
    <t>**Do not type in green columns</t>
  </si>
  <si>
    <t>User</t>
  </si>
  <si>
    <t>Department</t>
  </si>
  <si>
    <t>Sale</t>
  </si>
  <si>
    <t>Card</t>
  </si>
  <si>
    <t>Sales</t>
  </si>
  <si>
    <t>Keyed-in</t>
  </si>
  <si>
    <t>Parts</t>
  </si>
  <si>
    <t>Service</t>
  </si>
  <si>
    <t>Remote Pay</t>
  </si>
  <si>
    <t>Cash</t>
  </si>
  <si>
    <t>Check</t>
  </si>
  <si>
    <t>On CC Stmnt</t>
  </si>
  <si>
    <t>PARTS POLICY</t>
  </si>
  <si>
    <t>SERVICE POLICY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</si>
  <si>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</si>
  <si>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</si>
  <si>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</si>
  <si>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</si>
  <si>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</si>
  <si>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</si>
  <si>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</si>
  <si>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</si>
  <si>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</si>
  <si>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</si>
  <si>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</si>
  <si>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</si>
  <si>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</si>
  <si>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</si>
  <si>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</si>
  <si>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</si>
  <si>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</si>
  <si>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</si>
  <si>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</si>
  <si>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</si>
  <si>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</si>
  <si>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</si>
  <si>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</si>
  <si>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</si>
  <si>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</si>
  <si>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</si>
  <si>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</si>
  <si>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</si>
  <si>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</si>
  <si>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</si>
  <si>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</si>
  <si>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</si>
  <si>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</si>
  <si>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</si>
  <si>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</si>
  <si>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</si>
  <si>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</si>
  <si>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</si>
  <si>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</si>
  <si>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</si>
  <si>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</si>
  <si>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</si>
  <si>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</si>
  <si>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</si>
  <si>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</si>
  <si>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</si>
  <si>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</si>
  <si>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</si>
  <si>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</si>
  <si>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</si>
  <si>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</si>
  <si>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</si>
  <si>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</si>
  <si>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</si>
  <si>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</si>
  <si>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</si>
  <si>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</si>
  <si>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</si>
  <si>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</si>
  <si>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</si>
  <si>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</si>
  <si>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</si>
  <si>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</si>
  <si>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</si>
  <si>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</si>
  <si>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</si>
  <si>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</si>
  <si>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</si>
  <si>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</si>
  <si>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</si>
  <si>
    <t>3.  In Excel, select cells starting from C10 down on the PowerPost sheet. OR</t>
  </si>
  <si>
    <t>▶  Click the black  "POST"  button on the PowerPost sheet.</t>
  </si>
  <si>
    <t>4.  Open the exported file, copy columns A through F, and paste into cell A1 of the Schedule&amp;Rec sheet.</t>
  </si>
  <si>
    <t>TYPE</t>
  </si>
  <si>
    <t>Company: 21   CMA'S TOYOTA CHEVROLET OF MART</t>
  </si>
  <si>
    <t>Account: 531011 CASH SALES CLEARING</t>
  </si>
  <si>
    <t>84570</t>
  </si>
  <si>
    <t>84571</t>
  </si>
  <si>
    <t>84572</t>
  </si>
  <si>
    <t>84573</t>
  </si>
  <si>
    <t>84574</t>
  </si>
  <si>
    <t>84575</t>
  </si>
  <si>
    <t>84576</t>
  </si>
  <si>
    <t>84577</t>
  </si>
  <si>
    <t>84578</t>
  </si>
  <si>
    <t>84579</t>
  </si>
  <si>
    <t>84580</t>
  </si>
  <si>
    <t>84581</t>
  </si>
  <si>
    <t>448598</t>
  </si>
  <si>
    <t>448658</t>
  </si>
  <si>
    <t>448663</t>
  </si>
  <si>
    <t>448670</t>
  </si>
  <si>
    <t>448678</t>
  </si>
  <si>
    <t>448682</t>
  </si>
  <si>
    <t>448688</t>
  </si>
  <si>
    <t>448701</t>
  </si>
  <si>
    <t>448704</t>
  </si>
  <si>
    <t>448706</t>
  </si>
  <si>
    <t>448707</t>
  </si>
  <si>
    <t>448709</t>
  </si>
  <si>
    <t>448713</t>
  </si>
  <si>
    <t>801121</t>
  </si>
  <si>
    <t>801326</t>
  </si>
  <si>
    <t>801673</t>
  </si>
  <si>
    <t>802172</t>
  </si>
  <si>
    <t>802263</t>
  </si>
  <si>
    <t>802654</t>
  </si>
  <si>
    <t>802656</t>
  </si>
  <si>
    <t>802661</t>
  </si>
  <si>
    <t>802664</t>
  </si>
  <si>
    <t>802665</t>
  </si>
  <si>
    <t>802670</t>
  </si>
  <si>
    <t>802671</t>
  </si>
  <si>
    <t>802672</t>
  </si>
  <si>
    <t>802675</t>
  </si>
  <si>
    <t>802678</t>
  </si>
  <si>
    <t>802679</t>
  </si>
  <si>
    <t>802680</t>
  </si>
  <si>
    <t>802685</t>
  </si>
  <si>
    <t>802686</t>
  </si>
  <si>
    <t>802690</t>
  </si>
  <si>
    <t>802691</t>
  </si>
  <si>
    <t>802692</t>
  </si>
  <si>
    <t>802693</t>
  </si>
  <si>
    <t>802694</t>
  </si>
  <si>
    <t>802697</t>
  </si>
  <si>
    <t>802698</t>
  </si>
  <si>
    <t>802699</t>
  </si>
  <si>
    <t>802701</t>
  </si>
  <si>
    <t>802705</t>
  </si>
  <si>
    <t>Transaction List</t>
  </si>
  <si>
    <t>Doc No.</t>
  </si>
  <si>
    <t>Cust ID</t>
  </si>
  <si>
    <t>Cust Name</t>
  </si>
  <si>
    <t>Pay Mode</t>
  </si>
  <si>
    <t>RFD Amt</t>
  </si>
  <si>
    <t>Paid Amt</t>
  </si>
  <si>
    <t>Surcharge Amt</t>
  </si>
  <si>
    <t>Approval No</t>
  </si>
  <si>
    <t>S/C Flag</t>
  </si>
  <si>
    <t>Date</t>
  </si>
  <si>
    <t>TXN ID</t>
  </si>
  <si>
    <t>Dealer</t>
  </si>
  <si>
    <t>TXN For</t>
  </si>
  <si>
    <t>Card Brand</t>
  </si>
  <si>
    <t>Last 4 CC</t>
  </si>
  <si>
    <t>ReceiptNo</t>
  </si>
  <si>
    <t>JENNIFER MARIE CRAWFORD</t>
  </si>
  <si>
    <t>N/A</t>
  </si>
  <si>
    <t>D</t>
  </si>
  <si>
    <t>03-26-26 08:25 PM</t>
  </si>
  <si>
    <t>Nick Harbaugh</t>
  </si>
  <si>
    <t>Toyota Of Martinsburg</t>
  </si>
  <si>
    <t>Visa</t>
  </si>
  <si>
    <t>0182</t>
  </si>
  <si>
    <t>TERA Y ROYSTON</t>
  </si>
  <si>
    <t>013443</t>
  </si>
  <si>
    <t>03-26-26 07:38 PM</t>
  </si>
  <si>
    <t>Garland See</t>
  </si>
  <si>
    <t>006278</t>
  </si>
  <si>
    <t>03-26-26 07:37 PM</t>
  </si>
  <si>
    <t>GENERAL ERROR : ACC error</t>
  </si>
  <si>
    <t>ERIC SHANE HART</t>
  </si>
  <si>
    <t>03-26-26 07:00 PM</t>
  </si>
  <si>
    <t>MICHAEL E BOGGS JR</t>
  </si>
  <si>
    <t>03-26-26 06:42 PM</t>
  </si>
  <si>
    <t>Charity Polatty</t>
  </si>
  <si>
    <t>0967</t>
  </si>
  <si>
    <t>michael campbell</t>
  </si>
  <si>
    <t>011928</t>
  </si>
  <si>
    <t>03-26-26 06:36 PM</t>
  </si>
  <si>
    <t>p1_txn_69c5b4ed1eaf6694dfac0d8</t>
  </si>
  <si>
    <t>Keith Barrow</t>
  </si>
  <si>
    <t>visa</t>
  </si>
  <si>
    <t>CHRISTIAN WASKOW</t>
  </si>
  <si>
    <t>04002Z</t>
  </si>
  <si>
    <t>C</t>
  </si>
  <si>
    <t>03-26-26 06:31 PM</t>
  </si>
  <si>
    <t>Mastercard</t>
  </si>
  <si>
    <t>OLUFISAYO FAKUNLE</t>
  </si>
  <si>
    <t>03-26-26 06:23 PM</t>
  </si>
  <si>
    <t>SHAMIKA LACHELLE PAGE</t>
  </si>
  <si>
    <t>071917</t>
  </si>
  <si>
    <t>03-26-26 06:19 PM</t>
  </si>
  <si>
    <t>ANDREW JOSEPH HENRY</t>
  </si>
  <si>
    <t>03-26-26 06:04 PM</t>
  </si>
  <si>
    <t>Mikell Walker</t>
  </si>
  <si>
    <t>KEVIN DERRETT</t>
  </si>
  <si>
    <t>02451D</t>
  </si>
  <si>
    <t>03-26-26 06:01 PM</t>
  </si>
  <si>
    <t>MCKENZIE ELIZABETH MYERS</t>
  </si>
  <si>
    <t>03-26-26 05:39 PM</t>
  </si>
  <si>
    <t>051128</t>
  </si>
  <si>
    <t>03-26-26 05:37 PM</t>
  </si>
  <si>
    <t>0000</t>
  </si>
  <si>
    <t>SCOT BARLOW</t>
  </si>
  <si>
    <t>017447</t>
  </si>
  <si>
    <t>03-26-26 05:34 PM</t>
  </si>
  <si>
    <t>SEAN ANTHONY GLENN</t>
  </si>
  <si>
    <t>03-26-26 05:24 PM</t>
  </si>
  <si>
    <t>Trinity Princler</t>
  </si>
  <si>
    <t>GABRIELLA GLEASON</t>
  </si>
  <si>
    <t>01451P</t>
  </si>
  <si>
    <t>03-26-26 05:07 PM</t>
  </si>
  <si>
    <t>03-26-26 05:06 PM</t>
  </si>
  <si>
    <t>DOE ANNE MORIARTY</t>
  </si>
  <si>
    <t>05065I</t>
  </si>
  <si>
    <t>03-26-26 05:05 PM</t>
  </si>
  <si>
    <t>03-26-26 05:04 PM</t>
  </si>
  <si>
    <t>03-26-26 05:03 PM</t>
  </si>
  <si>
    <t>SUSAN POOLE</t>
  </si>
  <si>
    <t>055622</t>
  </si>
  <si>
    <t>03-26-26 04:56 PM</t>
  </si>
  <si>
    <t>OMAR YEPES-ROMERO</t>
  </si>
  <si>
    <t>026628</t>
  </si>
  <si>
    <t>03-26-26 04:43 PM</t>
  </si>
  <si>
    <t>ERNEST NORRIS</t>
  </si>
  <si>
    <t>053426</t>
  </si>
  <si>
    <t>03-26-26 04:34 PM</t>
  </si>
  <si>
    <t>KENNY HAINES</t>
  </si>
  <si>
    <t>026966</t>
  </si>
  <si>
    <t>03-26-26 04:30 PM</t>
  </si>
  <si>
    <t>KELLY ELLINGTON</t>
  </si>
  <si>
    <t>08644I</t>
  </si>
  <si>
    <t>03-26-26 04:26 PM</t>
  </si>
  <si>
    <t>BRENDA J BRANNON</t>
  </si>
  <si>
    <t>03-26-26 04:14 PM</t>
  </si>
  <si>
    <t>CHRISTOPHER WALLACE</t>
  </si>
  <si>
    <t>03-26-26 04:00 PM</t>
  </si>
  <si>
    <t>AIMEE GEE</t>
  </si>
  <si>
    <t>04792C</t>
  </si>
  <si>
    <t>03-26-26 03:42 PM</t>
  </si>
  <si>
    <t>MICHAEL D LORENSEN</t>
  </si>
  <si>
    <t>03-26-26 03:26 PM</t>
  </si>
  <si>
    <t>CATHERINE BEELER</t>
  </si>
  <si>
    <t>03-26-26 03:15 PM</t>
  </si>
  <si>
    <t>TRAMPUS BOYLES</t>
  </si>
  <si>
    <t>03-26-26 02:53 PM</t>
  </si>
  <si>
    <t>Amex</t>
  </si>
  <si>
    <t>FLORES RIVERA</t>
  </si>
  <si>
    <t>008735</t>
  </si>
  <si>
    <t>03-26-26 02:29 PM</t>
  </si>
  <si>
    <t>Shawn Sheffler</t>
  </si>
  <si>
    <t>BRET I WILLIAMS</t>
  </si>
  <si>
    <t>03-26-26 02:11 PM</t>
  </si>
  <si>
    <t>MELISSA BENNETT</t>
  </si>
  <si>
    <t>03-26-26 02:07 PM</t>
  </si>
  <si>
    <t>03-26-26 02:06 PM</t>
  </si>
  <si>
    <t>03-26-26 02:03 PM</t>
  </si>
  <si>
    <t>Anita Zumbach</t>
  </si>
  <si>
    <t>ROGER RHINEHART</t>
  </si>
  <si>
    <t>04978D</t>
  </si>
  <si>
    <t>03-26-26 01:58 PM</t>
  </si>
  <si>
    <t>LEYLA RECHTOROVIC</t>
  </si>
  <si>
    <t>072727</t>
  </si>
  <si>
    <t>03-26-26 01:48 PM</t>
  </si>
  <si>
    <t>LAURA L CATHCART</t>
  </si>
  <si>
    <t>03-26-26 01:39 PM</t>
  </si>
  <si>
    <t>0107</t>
  </si>
  <si>
    <t>KOEN HEFFNER</t>
  </si>
  <si>
    <t>03-26-26 01:32 PM</t>
  </si>
  <si>
    <t>p1_txn_69c56dbe7cbdcdc71336715</t>
  </si>
  <si>
    <t>WYLIE THUNDER HAWK</t>
  </si>
  <si>
    <t>03-26-26 01:09 PM</t>
  </si>
  <si>
    <t>GLENN ZERBE</t>
  </si>
  <si>
    <t>09107D</t>
  </si>
  <si>
    <t>03-26-26 01:06 PM</t>
  </si>
  <si>
    <t>ADAM DELAROSA</t>
  </si>
  <si>
    <t>040786</t>
  </si>
  <si>
    <t>03-26-26 12:56 PM</t>
  </si>
  <si>
    <t>p1_txn_69c56549e3e44b31937d756</t>
  </si>
  <si>
    <t>Bethanie Rickett</t>
  </si>
  <si>
    <t>BYRON WILSON</t>
  </si>
  <si>
    <t>014632</t>
  </si>
  <si>
    <t>03-26-26 12:46 PM</t>
  </si>
  <si>
    <t>Discover</t>
  </si>
  <si>
    <t>JASMINE B MITCHELL</t>
  </si>
  <si>
    <t>043075</t>
  </si>
  <si>
    <t>03-26-26 12:41 PM</t>
  </si>
  <si>
    <t>GILBERT SCRIBA JR</t>
  </si>
  <si>
    <t>023346</t>
  </si>
  <si>
    <t>03-26-26 12:33 PM</t>
  </si>
  <si>
    <t>0902</t>
  </si>
  <si>
    <t>NANCY A OBERRY</t>
  </si>
  <si>
    <t>03-26-26 12:24 PM</t>
  </si>
  <si>
    <t>Amanda Boggs</t>
  </si>
  <si>
    <t>KRISTINE MARIE JANDORA</t>
  </si>
  <si>
    <t>00388D</t>
  </si>
  <si>
    <t>03-26-26 12:23 PM</t>
  </si>
  <si>
    <t>LORI CHANEY</t>
  </si>
  <si>
    <t>02069D</t>
  </si>
  <si>
    <t>03-26-26 12:14 PM</t>
  </si>
  <si>
    <t>WADE HAMPTON</t>
  </si>
  <si>
    <t>02686R</t>
  </si>
  <si>
    <t>03-26-26 11:48 AM</t>
  </si>
  <si>
    <t>DAKOTAH GAINES</t>
  </si>
  <si>
    <t>03770D</t>
  </si>
  <si>
    <t>03-26-26 11:45 AM</t>
  </si>
  <si>
    <t>03-26-26 11:44 AM</t>
  </si>
  <si>
    <t>AMNE ELTAHA</t>
  </si>
  <si>
    <t>03-26-26 11:38 AM</t>
  </si>
  <si>
    <t>MATTHEW CHURCH</t>
  </si>
  <si>
    <t>03-26-26 11:33 AM</t>
  </si>
  <si>
    <t>JAMES NORMAN HILEMAN JR</t>
  </si>
  <si>
    <t>03-26-26 11:25 AM</t>
  </si>
  <si>
    <t>MARY B CORNELL</t>
  </si>
  <si>
    <t>02690Q</t>
  </si>
  <si>
    <t>03-26-26 11:19 AM</t>
  </si>
  <si>
    <t>p1_txn_69c54e8ba3735569c0e1b5f</t>
  </si>
  <si>
    <t>discover</t>
  </si>
  <si>
    <t>03-26-26 11:18 AM</t>
  </si>
  <si>
    <t>ANNIS K WANGER JR</t>
  </si>
  <si>
    <t>029967</t>
  </si>
  <si>
    <t>03-26-26 11:13 AM</t>
  </si>
  <si>
    <t>WILLIAM JOSEPH WIRE JR</t>
  </si>
  <si>
    <t>03-26-26 10:34 AM</t>
  </si>
  <si>
    <t>PHILIP JAMES REGNER</t>
  </si>
  <si>
    <t>06537Z</t>
  </si>
  <si>
    <t>03-26-26 10:32 AM</t>
  </si>
  <si>
    <t>SHEBBRLE ANN BROWN</t>
  </si>
  <si>
    <t>66630C</t>
  </si>
  <si>
    <t>03-26-26 10:24 AM</t>
  </si>
  <si>
    <t>0888</t>
  </si>
  <si>
    <t>JOSEPH CANTER</t>
  </si>
  <si>
    <t>03-26-26 10:11 AM</t>
  </si>
  <si>
    <t>DEREK ROBERT CARSON</t>
  </si>
  <si>
    <t>03-26-26 10:07 AM</t>
  </si>
  <si>
    <t>LOUISE KEMP</t>
  </si>
  <si>
    <t>009257</t>
  </si>
  <si>
    <t>03-26-26 10:06 AM</t>
  </si>
  <si>
    <t>JACLYN FISHEL</t>
  </si>
  <si>
    <t>090617</t>
  </si>
  <si>
    <t>JOSHUA O WELLER</t>
  </si>
  <si>
    <t>03914S</t>
  </si>
  <si>
    <t>03-26-26 10:01 AM</t>
  </si>
  <si>
    <t>KENNETH L SWARTS</t>
  </si>
  <si>
    <t>076235</t>
  </si>
  <si>
    <t>03-26-26 08:58 AM</t>
  </si>
  <si>
    <t>0702</t>
  </si>
  <si>
    <t>KATHLEEN E JOHNS</t>
  </si>
  <si>
    <t>03-26-26 08:53 AM</t>
  </si>
  <si>
    <t>Barb Rowan</t>
  </si>
  <si>
    <t>Hedges Auto</t>
  </si>
  <si>
    <t>03-26-26 08:35 AM</t>
  </si>
  <si>
    <t>CRAIG ALLEN SUBLER</t>
  </si>
  <si>
    <t>02586D</t>
  </si>
  <si>
    <t>03-26-26 08:07 AM</t>
  </si>
  <si>
    <t>Shane Mitzel</t>
  </si>
  <si>
    <t>james Rowan</t>
  </si>
  <si>
    <t>041722</t>
  </si>
  <si>
    <t>03-26-26 05:17 AM</t>
  </si>
  <si>
    <t>p1_txn_69c4f9a0d2abe91dd3c21be</t>
  </si>
  <si>
    <t>1</t>
  </si>
  <si>
    <t>02FEB26</t>
  </si>
  <si>
    <t>03FEB26</t>
  </si>
  <si>
    <t>167</t>
  </si>
  <si>
    <t>277</t>
  </si>
  <si>
    <t>502</t>
  </si>
  <si>
    <t>511</t>
  </si>
  <si>
    <t>530</t>
  </si>
  <si>
    <t>547</t>
  </si>
  <si>
    <t>563</t>
  </si>
  <si>
    <t>581</t>
  </si>
  <si>
    <t>583</t>
  </si>
  <si>
    <t>601</t>
  </si>
  <si>
    <t>618</t>
  </si>
  <si>
    <t>626</t>
  </si>
  <si>
    <t>628</t>
  </si>
  <si>
    <t>634</t>
  </si>
  <si>
    <t>637</t>
  </si>
  <si>
    <t>644</t>
  </si>
  <si>
    <t>645</t>
  </si>
  <si>
    <t>646</t>
  </si>
  <si>
    <t>647</t>
  </si>
  <si>
    <t>649</t>
  </si>
  <si>
    <t>650</t>
  </si>
  <si>
    <t>651</t>
  </si>
  <si>
    <t>653</t>
  </si>
  <si>
    <t>654</t>
  </si>
  <si>
    <t>655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</si>
  <si>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</si>
  <si>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</si>
  <si>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</si>
  <si>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</si>
  <si>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</si>
  <si>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</si>
  <si>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</si>
  <si>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</si>
  <si>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</si>
  <si>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669</t>
  </si>
  <si>
    <t>670</t>
  </si>
  <si>
    <t>671</t>
  </si>
  <si>
    <t>672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</si>
  <si>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</si>
  <si>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</si>
  <si>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</si>
  <si>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</si>
  <si>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</si>
  <si>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</si>
  <si>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</si>
  <si>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</si>
  <si>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</si>
  <si>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</si>
  <si>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</si>
  <si>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</si>
  <si>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</si>
  <si>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</si>
  <si>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</si>
  <si>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</si>
  <si>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</si>
  <si>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695</t>
  </si>
  <si>
    <t>697</t>
  </si>
  <si>
    <t>699</t>
  </si>
  <si>
    <t>700</t>
  </si>
  <si>
    <t>701</t>
  </si>
  <si>
    <t>703</t>
  </si>
  <si>
    <t>704</t>
  </si>
  <si>
    <t>706</t>
  </si>
  <si>
    <t>709</t>
  </si>
  <si>
    <t>710</t>
  </si>
  <si>
    <t>711</t>
  </si>
  <si>
    <t>713</t>
  </si>
  <si>
    <t>714</t>
  </si>
  <si>
    <t>715</t>
  </si>
  <si>
    <t>716</t>
  </si>
  <si>
    <t>718</t>
  </si>
  <si>
    <t>720</t>
  </si>
  <si>
    <t>721</t>
  </si>
  <si>
    <t>722</t>
  </si>
  <si>
    <t>723</t>
  </si>
  <si>
    <t>724</t>
  </si>
  <si>
    <t>726</t>
  </si>
  <si>
    <t>727</t>
  </si>
  <si>
    <t>728</t>
  </si>
  <si>
    <t>729</t>
  </si>
  <si>
    <t>730</t>
  </si>
  <si>
    <t>731</t>
  </si>
  <si>
    <t>732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</si>
  <si>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</si>
  <si>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</si>
  <si>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</si>
  <si>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</si>
  <si>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</si>
  <si>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</si>
  <si>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</si>
  <si>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</si>
  <si>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</si>
  <si>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</si>
  <si>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</si>
  <si>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</si>
  <si>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</si>
  <si>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</si>
  <si>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</si>
  <si>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</si>
  <si>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752</t>
  </si>
  <si>
    <t>753</t>
  </si>
  <si>
    <t>754</t>
  </si>
  <si>
    <t>757</t>
  </si>
  <si>
    <t>759</t>
  </si>
  <si>
    <t>762</t>
  </si>
  <si>
    <t>763</t>
  </si>
  <si>
    <t>764</t>
  </si>
  <si>
    <t>765</t>
  </si>
  <si>
    <t>766</t>
  </si>
  <si>
    <t>767</t>
  </si>
  <si>
    <t>769</t>
  </si>
  <si>
    <t>771</t>
  </si>
  <si>
    <t>772</t>
  </si>
  <si>
    <t>773</t>
  </si>
  <si>
    <t>774</t>
  </si>
  <si>
    <t>775</t>
  </si>
  <si>
    <t>776</t>
  </si>
  <si>
    <t>777</t>
  </si>
  <si>
    <t>779</t>
  </si>
  <si>
    <t>780</t>
  </si>
  <si>
    <t>781</t>
  </si>
  <si>
    <t>782</t>
  </si>
  <si>
    <t>783</t>
  </si>
  <si>
    <t>784</t>
  </si>
  <si>
    <t>785</t>
  </si>
  <si>
    <t>787</t>
  </si>
  <si>
    <t>788</t>
  </si>
  <si>
    <t>790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</si>
  <si>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</si>
  <si>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</si>
  <si>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</si>
  <si>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</si>
  <si>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</si>
  <si>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</si>
  <si>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</si>
  <si>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</si>
  <si>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</si>
  <si>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</si>
  <si>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</si>
  <si>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</si>
  <si>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</si>
  <si>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</si>
  <si>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807</t>
  </si>
  <si>
    <t>808</t>
  </si>
  <si>
    <t>809</t>
  </si>
  <si>
    <t>810</t>
  </si>
  <si>
    <t>811</t>
  </si>
  <si>
    <t>813</t>
  </si>
  <si>
    <t>814</t>
  </si>
  <si>
    <t>815</t>
  </si>
  <si>
    <t>816</t>
  </si>
  <si>
    <t>817</t>
  </si>
  <si>
    <t>818</t>
  </si>
  <si>
    <t>820</t>
  </si>
  <si>
    <t>821</t>
  </si>
  <si>
    <t>822</t>
  </si>
  <si>
    <t>823</t>
  </si>
  <si>
    <t>824</t>
  </si>
  <si>
    <t>825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</si>
  <si>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</si>
  <si>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</si>
  <si>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</si>
  <si>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</si>
  <si>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</si>
  <si>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</si>
  <si>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</si>
  <si>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</si>
  <si>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</si>
  <si>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</si>
  <si>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</si>
  <si>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</si>
  <si>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</si>
  <si>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</si>
  <si>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</si>
  <si>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</si>
  <si>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844</t>
  </si>
  <si>
    <t>845</t>
  </si>
  <si>
    <t>846</t>
  </si>
  <si>
    <t>848</t>
  </si>
  <si>
    <t>849</t>
  </si>
  <si>
    <t>850</t>
  </si>
  <si>
    <t>851</t>
  </si>
  <si>
    <t>852</t>
  </si>
  <si>
    <t>853</t>
  </si>
  <si>
    <t>855</t>
  </si>
  <si>
    <t>856</t>
  </si>
  <si>
    <t>857</t>
  </si>
  <si>
    <t>858</t>
  </si>
  <si>
    <t>859</t>
  </si>
  <si>
    <t>861</t>
  </si>
  <si>
    <t>862</t>
  </si>
  <si>
    <t>863</t>
  </si>
  <si>
    <t>864</t>
  </si>
  <si>
    <t>865</t>
  </si>
  <si>
    <t>866</t>
  </si>
  <si>
    <t>867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</si>
  <si>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</si>
  <si>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</si>
  <si>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</si>
  <si>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</si>
  <si>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</si>
  <si>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</si>
  <si>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</si>
  <si>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</si>
  <si>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</si>
  <si>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</si>
  <si>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</si>
  <si>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881</t>
  </si>
  <si>
    <t>882</t>
  </si>
  <si>
    <t>883</t>
  </si>
  <si>
    <t>888</t>
  </si>
  <si>
    <t>891</t>
  </si>
  <si>
    <t>892</t>
  </si>
  <si>
    <t>894</t>
  </si>
  <si>
    <t>895</t>
  </si>
  <si>
    <t>898</t>
  </si>
  <si>
    <t>899</t>
  </si>
  <si>
    <t>900</t>
  </si>
  <si>
    <t>901</t>
  </si>
  <si>
    <t>902</t>
  </si>
  <si>
    <t>904</t>
  </si>
  <si>
    <t>905</t>
  </si>
  <si>
    <t>906</t>
  </si>
  <si>
    <t>907</t>
  </si>
  <si>
    <t>909</t>
  </si>
  <si>
    <t>911</t>
  </si>
  <si>
    <t>912</t>
  </si>
  <si>
    <t>914</t>
  </si>
  <si>
    <t>915</t>
  </si>
  <si>
    <t>916</t>
  </si>
  <si>
    <t>917</t>
  </si>
  <si>
    <t>918</t>
  </si>
  <si>
    <t>919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</si>
  <si>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</si>
  <si>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</si>
  <si>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</si>
  <si>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</si>
  <si>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</si>
  <si>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</si>
  <si>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</si>
  <si>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</si>
  <si>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</si>
  <si>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932</t>
  </si>
  <si>
    <t>933</t>
  </si>
  <si>
    <t>934</t>
  </si>
  <si>
    <t>935</t>
  </si>
  <si>
    <t>938</t>
  </si>
  <si>
    <t>939</t>
  </si>
  <si>
    <t>940</t>
  </si>
  <si>
    <t>941</t>
  </si>
  <si>
    <t>943</t>
  </si>
  <si>
    <t>944</t>
  </si>
  <si>
    <t>945</t>
  </si>
  <si>
    <t>946</t>
  </si>
  <si>
    <t>947</t>
  </si>
  <si>
    <t>948</t>
  </si>
  <si>
    <t>949</t>
  </si>
  <si>
    <t>951</t>
  </si>
  <si>
    <t>952</t>
  </si>
  <si>
    <t>953</t>
  </si>
  <si>
    <t>954</t>
  </si>
  <si>
    <t>955</t>
  </si>
  <si>
    <t>957</t>
  </si>
  <si>
    <t>958</t>
  </si>
  <si>
    <t>959</t>
  </si>
  <si>
    <t>960</t>
  </si>
  <si>
    <t>961</t>
  </si>
  <si>
    <t>962</t>
  </si>
  <si>
    <t>964</t>
  </si>
  <si>
    <t>966</t>
  </si>
  <si>
    <t>967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</si>
  <si>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</si>
  <si>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</si>
  <si>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</si>
  <si>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</si>
  <si>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</si>
  <si>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</si>
  <si>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</si>
  <si>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</si>
  <si>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</si>
  <si>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</si>
  <si>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</si>
  <si>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</si>
  <si>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</si>
  <si>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</si>
  <si>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</si>
  <si>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</si>
  <si>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</si>
  <si>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</si>
  <si>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</si>
  <si>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</si>
  <si>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</si>
  <si>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</si>
  <si>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</si>
  <si>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</si>
  <si>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</si>
  <si>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</si>
  <si>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998</t>
  </si>
  <si>
    <t>999</t>
  </si>
  <si>
    <t>1000</t>
  </si>
  <si>
    <t>1001</t>
  </si>
  <si>
    <t>1002</t>
  </si>
  <si>
    <t>1003</t>
  </si>
  <si>
    <t>1004</t>
  </si>
  <si>
    <t>1006</t>
  </si>
  <si>
    <t>1007</t>
  </si>
  <si>
    <t>1008</t>
  </si>
  <si>
    <t>1009</t>
  </si>
  <si>
    <t>1010</t>
  </si>
  <si>
    <t>1012</t>
  </si>
  <si>
    <t>1013</t>
  </si>
  <si>
    <t>1014</t>
  </si>
  <si>
    <t>1015</t>
  </si>
  <si>
    <t>1017</t>
  </si>
  <si>
    <t>1018</t>
  </si>
  <si>
    <t>1019</t>
  </si>
  <si>
    <t>1020</t>
  </si>
  <si>
    <t>1021</t>
  </si>
  <si>
    <t>1022</t>
  </si>
  <si>
    <t>1023</t>
  </si>
  <si>
    <t>1024</t>
  </si>
  <si>
    <t>1026</t>
  </si>
  <si>
    <t>1028</t>
  </si>
  <si>
    <t>1029</t>
  </si>
  <si>
    <t>1030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</si>
  <si>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</si>
  <si>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</si>
  <si>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</si>
  <si>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</si>
  <si>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</si>
  <si>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</si>
  <si>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</si>
  <si>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</si>
  <si>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</si>
  <si>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</si>
  <si>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</si>
  <si>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</si>
  <si>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</si>
  <si>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</si>
  <si>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</si>
  <si>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</si>
  <si>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</si>
  <si>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</si>
  <si>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</si>
  <si>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</si>
  <si>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</si>
  <si>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</si>
  <si>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</si>
  <si>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</si>
  <si>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</si>
  <si>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</si>
  <si>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</si>
  <si>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</si>
  <si>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</si>
  <si>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</si>
  <si>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</si>
  <si>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</si>
  <si>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</si>
  <si>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</si>
  <si>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</si>
  <si>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</si>
  <si>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</si>
  <si>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</si>
  <si>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</si>
  <si>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</si>
  <si>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</si>
  <si>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</si>
  <si>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</si>
  <si>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</si>
  <si>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</si>
  <si>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</si>
  <si>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</si>
  <si>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</si>
  <si>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</si>
  <si>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</si>
  <si>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</si>
  <si>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</si>
  <si>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</si>
  <si>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</si>
  <si>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</si>
  <si>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</si>
  <si>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</si>
  <si>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</si>
  <si>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</si>
  <si>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</si>
  <si>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</si>
  <si>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</si>
  <si>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</si>
  <si>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</si>
  <si>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</si>
  <si>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</si>
  <si>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</si>
  <si>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</si>
  <si>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</si>
  <si>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</si>
  <si>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</si>
  <si>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</si>
  <si>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</si>
  <si>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</si>
  <si>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</si>
  <si>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</si>
  <si>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</si>
  <si>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</si>
  <si>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</si>
  <si>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</si>
  <si>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</si>
  <si>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</si>
  <si>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</si>
  <si>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</si>
  <si>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</si>
  <si>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</si>
  <si>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</si>
  <si>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</si>
  <si>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</si>
  <si>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</si>
  <si>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</si>
  <si>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</si>
  <si>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</si>
  <si>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</si>
  <si>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</si>
  <si>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</si>
  <si>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</si>
  <si>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</si>
  <si>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</si>
  <si>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</si>
  <si>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</si>
  <si>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</si>
  <si>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</si>
  <si>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</si>
  <si>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</si>
  <si>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</si>
  <si>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</si>
  <si>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</si>
  <si>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</si>
  <si>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</si>
  <si>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</si>
  <si>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</si>
  <si>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</si>
  <si>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</si>
  <si>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</si>
  <si>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</si>
  <si>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</si>
  <si>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</si>
  <si>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</si>
  <si>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</si>
  <si>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</si>
  <si>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</si>
  <si>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</si>
  <si>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</si>
  <si>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</si>
  <si>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</si>
  <si>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</si>
  <si>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</si>
  <si>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</si>
  <si>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</si>
  <si>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</si>
  <si>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</si>
  <si>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</si>
  <si>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</si>
  <si>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</si>
  <si>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</si>
  <si>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</si>
  <si>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</si>
  <si>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</si>
  <si>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</si>
  <si>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</si>
  <si>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</si>
  <si>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</si>
  <si>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</si>
  <si>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</si>
  <si>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</si>
  <si>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</si>
  <si>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</si>
  <si>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</si>
  <si>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</si>
  <si>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</si>
  <si>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</si>
  <si>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</si>
  <si>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</si>
  <si>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</si>
  <si>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</si>
  <si>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</si>
  <si>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</si>
  <si>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</si>
  <si>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</si>
  <si>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</si>
  <si>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</si>
  <si>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</si>
  <si>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</si>
  <si>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</si>
  <si>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</si>
  <si>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</si>
  <si>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</si>
  <si>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</si>
  <si>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</si>
  <si>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</si>
  <si>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</si>
  <si>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</si>
  <si>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</si>
  <si>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</si>
  <si>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</si>
  <si>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</si>
  <si>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</si>
  <si>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</si>
  <si>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</si>
  <si>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</si>
  <si>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</si>
  <si>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</si>
  <si>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</si>
  <si>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</si>
  <si>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</si>
  <si>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</si>
  <si>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</si>
  <si>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</si>
  <si>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</si>
  <si>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</si>
  <si>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</si>
  <si>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</si>
  <si>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</si>
  <si>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</si>
  <si>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</si>
  <si>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</si>
  <si>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</si>
  <si>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</si>
  <si>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</si>
  <si>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</si>
  <si>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</si>
  <si>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</si>
  <si>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</si>
  <si>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</si>
  <si>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</si>
  <si>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</si>
  <si>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</si>
  <si>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</si>
  <si>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</si>
  <si>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</si>
  <si>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</si>
  <si>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</si>
  <si>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</si>
  <si>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</si>
  <si>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</si>
  <si>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</si>
  <si>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</si>
  <si>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</si>
  <si>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</si>
  <si>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</si>
  <si>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</si>
  <si>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</si>
  <si>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</si>
  <si>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</si>
  <si>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</si>
  <si>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</si>
  <si>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</si>
  <si>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</si>
  <si>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</si>
  <si>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</si>
  <si>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</si>
  <si>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</si>
  <si>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</si>
  <si>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</si>
  <si>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</si>
  <si>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</si>
  <si>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</si>
  <si>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</si>
  <si>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</si>
  <si>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</si>
  <si>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</si>
  <si>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</si>
  <si>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</si>
  <si>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</si>
  <si>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</si>
  <si>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</si>
  <si>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</si>
  <si>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</si>
  <si>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</si>
  <si>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</si>
  <si>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</si>
  <si>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</si>
  <si>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</si>
  <si>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</si>
  <si>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</si>
  <si>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</si>
  <si>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</si>
  <si>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</si>
  <si>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</si>
  <si>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</si>
  <si>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</si>
  <si>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</si>
  <si>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</si>
  <si>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</si>
  <si>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</si>
  <si>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</si>
  <si>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</si>
  <si>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</si>
  <si>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</si>
  <si>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</si>
  <si>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</si>
  <si>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</si>
  <si>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</si>
  <si>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</si>
  <si>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</si>
  <si>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</si>
  <si>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</si>
  <si>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</si>
  <si>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</si>
  <si>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</si>
  <si>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</si>
  <si>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</si>
  <si>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</si>
  <si>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</si>
  <si>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</si>
  <si>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</si>
  <si>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</si>
  <si>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</si>
  <si>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</si>
  <si>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</si>
  <si>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</si>
  <si>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</si>
  <si>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</si>
  <si>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</si>
  <si>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</si>
  <si>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</si>
  <si>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</si>
  <si>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</si>
  <si>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</si>
  <si>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</si>
  <si>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</si>
  <si>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</si>
  <si>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</si>
  <si>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</si>
  <si>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</si>
  <si>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</si>
  <si>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</si>
  <si>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</si>
  <si>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</si>
  <si>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</si>
  <si>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</si>
  <si>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</si>
  <si>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</si>
  <si>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</si>
  <si>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</si>
  <si>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</si>
  <si>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</si>
  <si>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</si>
  <si>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</si>
  <si>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</si>
  <si>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</si>
  <si>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</si>
  <si>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</si>
  <si>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</si>
  <si>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</si>
  <si>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</si>
  <si>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</si>
  <si>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</si>
  <si>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</si>
  <si>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</si>
  <si>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</si>
  <si>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</si>
  <si>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</si>
  <si>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</si>
  <si>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</si>
  <si>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</si>
  <si>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</si>
  <si>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</si>
  <si>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</si>
  <si>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</si>
  <si>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</si>
  <si>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</si>
  <si>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</si>
  <si>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</si>
  <si>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</si>
  <si>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</si>
  <si>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</si>
  <si>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</si>
  <si>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</si>
  <si>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</si>
  <si>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</si>
  <si>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</si>
  <si>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</si>
  <si>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</si>
  <si>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</si>
  <si>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</si>
  <si>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</si>
  <si>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</si>
  <si>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</si>
  <si>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</si>
  <si>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</si>
  <si>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</si>
  <si>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</si>
  <si>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</si>
  <si>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</si>
  <si>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</si>
  <si>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</si>
  <si>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</si>
  <si>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</si>
  <si>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</si>
  <si>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</si>
  <si>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</si>
  <si>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</si>
  <si>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</si>
  <si>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</si>
  <si>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</si>
  <si>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</si>
  <si>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</si>
  <si>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</si>
  <si>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</si>
  <si>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</si>
  <si>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</si>
  <si>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</si>
  <si>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</si>
  <si>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</si>
  <si>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</si>
  <si>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</si>
  <si>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</si>
  <si>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</si>
  <si>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</si>
  <si>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</si>
  <si>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</si>
  <si>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</si>
  <si>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</si>
  <si>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</si>
  <si>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</si>
  <si>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</si>
  <si>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</si>
  <si>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</si>
  <si>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</si>
  <si>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</si>
  <si>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</si>
  <si>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</si>
  <si>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</si>
  <si>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</si>
  <si>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</si>
  <si>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</si>
  <si>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</si>
  <si>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</si>
  <si>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</si>
  <si>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</si>
  <si>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</si>
  <si>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</si>
  <si>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</si>
  <si>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</si>
  <si>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</si>
  <si>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</si>
  <si>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</si>
  <si>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</si>
  <si>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</si>
  <si>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</si>
  <si>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</si>
  <si>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</si>
  <si>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</si>
  <si>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</si>
  <si>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</si>
  <si>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</si>
  <si>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</si>
  <si>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</si>
  <si>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</si>
  <si>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</si>
  <si>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</si>
  <si>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</si>
  <si>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</si>
  <si>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</si>
  <si>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</si>
  <si>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</si>
  <si>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</si>
  <si>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</si>
  <si>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</si>
  <si>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</si>
  <si>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</si>
  <si>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</si>
  <si>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</si>
  <si>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</si>
  <si>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</si>
  <si>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</si>
  <si>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</si>
  <si>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</si>
  <si>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</si>
  <si>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</si>
  <si>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</si>
  <si>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</si>
  <si>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</si>
  <si>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</si>
  <si>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</si>
  <si>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</si>
  <si>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</si>
  <si>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</si>
  <si>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</si>
  <si>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</si>
  <si>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</si>
  <si>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</si>
  <si>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</si>
  <si>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</si>
  <si>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1506</t>
  </si>
  <si>
    <t>1507</t>
  </si>
  <si>
    <t>1508</t>
  </si>
  <si>
    <t>1509</t>
  </si>
  <si>
    <t>1510</t>
  </si>
  <si>
    <t>1511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</si>
  <si>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</si>
  <si>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</si>
  <si>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</si>
  <si>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</si>
  <si>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</si>
  <si>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</si>
  <si>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</si>
  <si>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</si>
  <si>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</si>
  <si>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</si>
  <si>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</si>
  <si>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</si>
  <si>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</si>
  <si>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</si>
  <si>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</si>
  <si>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</si>
  <si>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</si>
  <si>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</si>
  <si>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1532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</si>
  <si>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</si>
  <si>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</si>
  <si>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</si>
  <si>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</si>
  <si>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</si>
  <si>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</si>
  <si>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</si>
  <si>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</si>
  <si>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</si>
  <si>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</si>
  <si>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</si>
  <si>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</si>
  <si>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</si>
  <si>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</si>
  <si>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</si>
  <si>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</si>
  <si>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</si>
  <si>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</si>
  <si>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</si>
  <si>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</si>
  <si>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</si>
  <si>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</si>
  <si>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</si>
  <si>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</si>
  <si>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</si>
  <si>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</si>
  <si>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</si>
  <si>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</si>
  <si>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</si>
  <si>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</si>
  <si>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</si>
  <si>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</si>
  <si>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</si>
  <si>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</si>
  <si>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</si>
  <si>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</si>
  <si>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</si>
  <si>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</si>
  <si>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</si>
  <si>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</si>
  <si>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</si>
  <si>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</si>
  <si>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</si>
  <si>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</si>
  <si>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</si>
  <si>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</si>
  <si>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</si>
  <si>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</si>
  <si>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</si>
  <si>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</si>
  <si>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</si>
  <si>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</si>
  <si>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</si>
  <si>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</si>
  <si>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</si>
  <si>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</si>
  <si>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</si>
  <si>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</si>
  <si>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</si>
  <si>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</si>
  <si>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</si>
  <si>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</si>
  <si>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</si>
  <si>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</si>
  <si>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</si>
  <si>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</si>
  <si>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</si>
  <si>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</si>
  <si>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</si>
  <si>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</si>
  <si>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</si>
  <si>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</si>
  <si>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</si>
  <si>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</si>
  <si>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</si>
  <si>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</si>
  <si>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</si>
  <si>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</si>
  <si>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</si>
  <si>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</si>
  <si>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</si>
  <si>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</si>
  <si>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</si>
  <si>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</si>
  <si>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</si>
  <si>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</si>
  <si>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</si>
  <si>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</si>
  <si>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</si>
  <si>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</si>
  <si>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</si>
  <si>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</si>
  <si>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</si>
  <si>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</si>
  <si>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</si>
  <si>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</si>
  <si>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</si>
  <si>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</si>
  <si>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</si>
  <si>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</si>
  <si>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</si>
  <si>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</si>
  <si>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</si>
  <si>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</si>
  <si>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</si>
  <si>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</si>
  <si>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</si>
  <si>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</si>
  <si>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</si>
  <si>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</si>
  <si>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</si>
  <si>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</si>
  <si>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</si>
  <si>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</si>
  <si>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</si>
  <si>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</si>
  <si>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</si>
  <si>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</si>
  <si>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</si>
  <si>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</si>
  <si>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</si>
  <si>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</si>
  <si>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</si>
  <si>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</si>
  <si>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</si>
  <si>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</si>
  <si>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</si>
  <si>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</si>
  <si>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</si>
  <si>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</si>
  <si>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</si>
  <si>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</si>
  <si>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</si>
  <si>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</si>
  <si>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</si>
  <si>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</si>
  <si>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</si>
  <si>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</si>
  <si>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</si>
  <si>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</si>
  <si>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</si>
  <si>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</si>
  <si>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</si>
  <si>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</si>
  <si>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</si>
  <si>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</si>
  <si>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</si>
  <si>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</si>
  <si>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</si>
  <si>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</si>
  <si>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</si>
  <si>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</si>
  <si>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</si>
  <si>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</si>
  <si>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</si>
  <si>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</si>
  <si>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</si>
  <si>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</si>
  <si>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</si>
  <si>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</si>
  <si>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</si>
  <si>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</si>
  <si>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</si>
  <si>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</si>
  <si>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</si>
  <si>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</si>
  <si>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</si>
  <si>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</si>
  <si>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</si>
  <si>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</si>
  <si>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</si>
  <si>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</si>
  <si>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</si>
  <si>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</si>
  <si>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</si>
  <si>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5003</t>
  </si>
  <si>
    <t>5008</t>
  </si>
  <si>
    <t>5026</t>
  </si>
  <si>
    <t>5036</t>
  </si>
  <si>
    <t>5038</t>
  </si>
  <si>
    <t>5046</t>
  </si>
  <si>
    <t>5055</t>
  </si>
  <si>
    <t>5092</t>
  </si>
  <si>
    <t>5093</t>
  </si>
  <si>
    <t>5113</t>
  </si>
  <si>
    <t>5120</t>
  </si>
  <si>
    <t>5145</t>
  </si>
  <si>
    <t>5158</t>
  </si>
  <si>
    <t>5351</t>
  </si>
  <si>
    <t>5380</t>
  </si>
  <si>
    <t>5466</t>
  </si>
  <si>
    <t>5502</t>
  </si>
  <si>
    <t>5516</t>
  </si>
  <si>
    <t>5527</t>
  </si>
  <si>
    <t>5553</t>
  </si>
  <si>
    <t>5616</t>
  </si>
  <si>
    <t>5627</t>
  </si>
  <si>
    <t>5639</t>
  </si>
  <si>
    <t>5660</t>
  </si>
  <si>
    <t>5712</t>
  </si>
  <si>
    <t>5718</t>
  </si>
  <si>
    <t>5746</t>
  </si>
  <si>
    <t>5750</t>
  </si>
  <si>
    <t>5865</t>
  </si>
  <si>
    <t>5869</t>
  </si>
  <si>
    <t>5878</t>
  </si>
  <si>
    <t>5916</t>
  </si>
  <si>
    <t>5929</t>
  </si>
  <si>
    <t>5930</t>
  </si>
  <si>
    <t>5966</t>
  </si>
  <si>
    <t>5978</t>
  </si>
  <si>
    <t>6005</t>
  </si>
  <si>
    <t>6013</t>
  </si>
  <si>
    <t>6014</t>
  </si>
  <si>
    <t>6015</t>
  </si>
  <si>
    <t>6017</t>
  </si>
  <si>
    <t>6018</t>
  </si>
  <si>
    <t>6019</t>
  </si>
  <si>
    <t>6020</t>
  </si>
  <si>
    <t>6023</t>
  </si>
  <si>
    <t>6030</t>
  </si>
  <si>
    <t>6031</t>
  </si>
  <si>
    <t>6033</t>
  </si>
  <si>
    <t>6034</t>
  </si>
  <si>
    <t>6035</t>
  </si>
  <si>
    <t>6036</t>
  </si>
  <si>
    <t>6037</t>
  </si>
  <si>
    <t>6038</t>
  </si>
  <si>
    <t>6040</t>
  </si>
  <si>
    <t>6042</t>
  </si>
  <si>
    <t>6043</t>
  </si>
  <si>
    <t>6044</t>
  </si>
  <si>
    <t>6045</t>
  </si>
  <si>
    <t>6048</t>
  </si>
  <si>
    <t>6049</t>
  </si>
  <si>
    <t>6050</t>
  </si>
  <si>
    <t>6052</t>
  </si>
  <si>
    <t>6053</t>
  </si>
  <si>
    <t>6054</t>
  </si>
  <si>
    <t>6055</t>
  </si>
  <si>
    <t>6056</t>
  </si>
  <si>
    <t>6057</t>
  </si>
  <si>
    <t>6058</t>
  </si>
  <si>
    <t>6059</t>
  </si>
  <si>
    <t>6060</t>
  </si>
  <si>
    <t>6061</t>
  </si>
  <si>
    <t>6063</t>
  </si>
  <si>
    <t>6065</t>
  </si>
  <si>
    <t>6066</t>
  </si>
  <si>
    <t>6067</t>
  </si>
  <si>
    <t>6068</t>
  </si>
  <si>
    <t>6070</t>
  </si>
  <si>
    <t>6071</t>
  </si>
  <si>
    <t>6072</t>
  </si>
  <si>
    <t>6075</t>
  </si>
  <si>
    <t>6077</t>
  </si>
  <si>
    <t>6078</t>
  </si>
  <si>
    <t>6079</t>
  </si>
  <si>
    <t>6083</t>
  </si>
  <si>
    <t>6085</t>
  </si>
  <si>
    <t>6087</t>
  </si>
  <si>
    <t>6088</t>
  </si>
  <si>
    <t>6090</t>
  </si>
  <si>
    <t>6092</t>
  </si>
  <si>
    <t>6093</t>
  </si>
  <si>
    <t>6095</t>
  </si>
  <si>
    <t>6096</t>
  </si>
  <si>
    <t>6097</t>
  </si>
  <si>
    <t>6098</t>
  </si>
  <si>
    <t>6101</t>
  </si>
  <si>
    <t>6102</t>
  </si>
  <si>
    <t>6104</t>
  </si>
  <si>
    <t>6108</t>
  </si>
  <si>
    <t>6110</t>
  </si>
  <si>
    <t>6112</t>
  </si>
  <si>
    <t>6113</t>
  </si>
  <si>
    <t>6117</t>
  </si>
  <si>
    <t>6118</t>
  </si>
  <si>
    <t>6119</t>
  </si>
  <si>
    <t>6120</t>
  </si>
  <si>
    <t>6125</t>
  </si>
  <si>
    <t>6129</t>
  </si>
  <si>
    <t>6130</t>
  </si>
  <si>
    <t>6131</t>
  </si>
  <si>
    <t>6132</t>
  </si>
  <si>
    <t>6134</t>
  </si>
  <si>
    <t>6135</t>
  </si>
  <si>
    <t>6136</t>
  </si>
  <si>
    <t>6137</t>
  </si>
  <si>
    <t>6140</t>
  </si>
  <si>
    <t>6143</t>
  </si>
  <si>
    <t>6144</t>
  </si>
  <si>
    <t>6145</t>
  </si>
  <si>
    <t>6146</t>
  </si>
  <si>
    <t>6148</t>
  </si>
  <si>
    <t>6149</t>
  </si>
  <si>
    <t>6151</t>
  </si>
  <si>
    <t>6154</t>
  </si>
  <si>
    <t>6156</t>
  </si>
  <si>
    <t>6157</t>
  </si>
  <si>
    <t>6158</t>
  </si>
  <si>
    <t>6159</t>
  </si>
  <si>
    <t>6160</t>
  </si>
  <si>
    <t>6164</t>
  </si>
  <si>
    <t>6165</t>
  </si>
  <si>
    <t>6167</t>
  </si>
  <si>
    <t>6170</t>
  </si>
  <si>
    <t>6174</t>
  </si>
  <si>
    <t>6175</t>
  </si>
  <si>
    <t>6176</t>
  </si>
  <si>
    <t>6177</t>
  </si>
  <si>
    <t>6178</t>
  </si>
  <si>
    <t>6179</t>
  </si>
  <si>
    <t>6180</t>
  </si>
  <si>
    <t>6181</t>
  </si>
  <si>
    <t>6182</t>
  </si>
  <si>
    <t>6183</t>
  </si>
  <si>
    <t>6184</t>
  </si>
  <si>
    <t>6185</t>
  </si>
  <si>
    <t>6186</t>
  </si>
  <si>
    <t>6189</t>
  </si>
  <si>
    <t>6191</t>
  </si>
  <si>
    <t>6194</t>
  </si>
  <si>
    <t>6196</t>
  </si>
  <si>
    <t>6198</t>
  </si>
  <si>
    <t>6200</t>
  </si>
  <si>
    <t>6201</t>
  </si>
  <si>
    <t>6202</t>
  </si>
  <si>
    <t>6204</t>
  </si>
  <si>
    <t>6205</t>
  </si>
  <si>
    <t>6206</t>
  </si>
  <si>
    <t>6207</t>
  </si>
  <si>
    <t>6208</t>
  </si>
  <si>
    <t>6210</t>
  </si>
  <si>
    <t>6214</t>
  </si>
  <si>
    <t>6219</t>
  </si>
  <si>
    <t>6222</t>
  </si>
  <si>
    <t>6223</t>
  </si>
  <si>
    <t>6224</t>
  </si>
  <si>
    <t>6227</t>
  </si>
  <si>
    <t>6229</t>
  </si>
  <si>
    <t>6230</t>
  </si>
  <si>
    <t>6231</t>
  </si>
  <si>
    <t>6234</t>
  </si>
  <si>
    <t>6236</t>
  </si>
  <si>
    <t>6238</t>
  </si>
  <si>
    <t>6239</t>
  </si>
  <si>
    <t>6240</t>
  </si>
  <si>
    <t>6241</t>
  </si>
  <si>
    <t>6244</t>
  </si>
  <si>
    <t>6246</t>
  </si>
  <si>
    <t>6252</t>
  </si>
  <si>
    <t>6254</t>
  </si>
  <si>
    <t>6255</t>
  </si>
  <si>
    <t>6258</t>
  </si>
  <si>
    <t>6262</t>
  </si>
  <si>
    <t>6265</t>
  </si>
  <si>
    <t>6266</t>
  </si>
  <si>
    <t>6267</t>
  </si>
  <si>
    <t>6268</t>
  </si>
  <si>
    <t>6276</t>
  </si>
  <si>
    <t>6278</t>
  </si>
  <si>
    <t>6280</t>
  </si>
  <si>
    <t>6282</t>
  </si>
  <si>
    <t>6283</t>
  </si>
  <si>
    <t>6284</t>
  </si>
  <si>
    <t>6288</t>
  </si>
  <si>
    <t>6292</t>
  </si>
  <si>
    <t>6294</t>
  </si>
  <si>
    <t>6295</t>
  </si>
  <si>
    <t>6297</t>
  </si>
  <si>
    <t>6298</t>
  </si>
  <si>
    <t>6302</t>
  </si>
  <si>
    <t>6303</t>
  </si>
  <si>
    <t>6304</t>
  </si>
  <si>
    <t>6306</t>
  </si>
  <si>
    <t>6308</t>
  </si>
  <si>
    <t>6310</t>
  </si>
  <si>
    <t>6311</t>
  </si>
  <si>
    <t>6313</t>
  </si>
  <si>
    <t>6315</t>
  </si>
  <si>
    <t>6316</t>
  </si>
  <si>
    <t>6321</t>
  </si>
  <si>
    <t>6323</t>
  </si>
  <si>
    <t>6325</t>
  </si>
  <si>
    <t>6336</t>
  </si>
  <si>
    <t>6337</t>
  </si>
  <si>
    <t>6338</t>
  </si>
  <si>
    <t>6340</t>
  </si>
  <si>
    <t>6342</t>
  </si>
  <si>
    <t>6343</t>
  </si>
  <si>
    <t>6344</t>
  </si>
  <si>
    <t>6348</t>
  </si>
  <si>
    <t>6350</t>
  </si>
  <si>
    <t>6351</t>
  </si>
  <si>
    <t>6352</t>
  </si>
  <si>
    <t>6353</t>
  </si>
  <si>
    <t>6354</t>
  </si>
  <si>
    <t>6355</t>
  </si>
  <si>
    <t>6358</t>
  </si>
  <si>
    <t>6360</t>
  </si>
  <si>
    <t>6361</t>
  </si>
  <si>
    <t>6362</t>
  </si>
  <si>
    <t>6367</t>
  </si>
  <si>
    <t>6368</t>
  </si>
  <si>
    <t>6369</t>
  </si>
  <si>
    <t>6370</t>
  </si>
  <si>
    <t>6374</t>
  </si>
  <si>
    <t>6378</t>
  </si>
  <si>
    <t>6379</t>
  </si>
  <si>
    <t>6382</t>
  </si>
  <si>
    <t>6385</t>
  </si>
  <si>
    <t>6389</t>
  </si>
  <si>
    <t>6393</t>
  </si>
  <si>
    <t>6394</t>
  </si>
  <si>
    <t>6395</t>
  </si>
  <si>
    <t>6396</t>
  </si>
  <si>
    <t>6397</t>
  </si>
  <si>
    <t>6398</t>
  </si>
  <si>
    <t>6399</t>
  </si>
  <si>
    <t>6400</t>
  </si>
  <si>
    <t>6401</t>
  </si>
  <si>
    <t>6402</t>
  </si>
  <si>
    <t>6405</t>
  </si>
  <si>
    <t>6406</t>
  </si>
  <si>
    <t>6407</t>
  </si>
  <si>
    <t>6408</t>
  </si>
  <si>
    <t>6409</t>
  </si>
  <si>
    <t>6410</t>
  </si>
  <si>
    <t>6419</t>
  </si>
  <si>
    <t>6420</t>
  </si>
  <si>
    <t>6421</t>
  </si>
  <si>
    <t>6422</t>
  </si>
  <si>
    <t>6423</t>
  </si>
  <si>
    <t>6425</t>
  </si>
  <si>
    <t>6426</t>
  </si>
  <si>
    <t>6427</t>
  </si>
  <si>
    <t>6428</t>
  </si>
  <si>
    <t>6430</t>
  </si>
  <si>
    <t>6433</t>
  </si>
  <si>
    <t>6434</t>
  </si>
  <si>
    <t>6435</t>
  </si>
  <si>
    <t>6439</t>
  </si>
  <si>
    <t>6440</t>
  </si>
  <si>
    <t>6444</t>
  </si>
  <si>
    <t>6445</t>
  </si>
  <si>
    <t>6450</t>
  </si>
  <si>
    <t>6452</t>
  </si>
  <si>
    <t>6453</t>
  </si>
  <si>
    <t>6454</t>
  </si>
  <si>
    <t>6455</t>
  </si>
  <si>
    <t>6456</t>
  </si>
  <si>
    <t>6458</t>
  </si>
  <si>
    <t>6459</t>
  </si>
  <si>
    <t>6460</t>
  </si>
  <si>
    <t>6461</t>
  </si>
  <si>
    <t>6462</t>
  </si>
  <si>
    <t>6464</t>
  </si>
  <si>
    <t>6466</t>
  </si>
  <si>
    <t>6469</t>
  </si>
  <si>
    <t>6471</t>
  </si>
  <si>
    <t>6472</t>
  </si>
  <si>
    <t>6473</t>
  </si>
  <si>
    <t>6474</t>
  </si>
  <si>
    <t>6477</t>
  </si>
  <si>
    <t>6484</t>
  </si>
  <si>
    <t>6486</t>
  </si>
  <si>
    <t>6487</t>
  </si>
  <si>
    <t>6490</t>
  </si>
  <si>
    <t>6492</t>
  </si>
  <si>
    <t>6493</t>
  </si>
  <si>
    <t>6494</t>
  </si>
  <si>
    <t>6499</t>
  </si>
  <si>
    <t>6501</t>
  </si>
  <si>
    <t>6503</t>
  </si>
  <si>
    <t>6504</t>
  </si>
  <si>
    <t>6505</t>
  </si>
  <si>
    <t>6507</t>
  </si>
  <si>
    <t>6509</t>
  </si>
  <si>
    <t>6510</t>
  </si>
  <si>
    <t>6511</t>
  </si>
  <si>
    <t>6513</t>
  </si>
  <si>
    <t>6514</t>
  </si>
  <si>
    <t>6517</t>
  </si>
  <si>
    <t>6519</t>
  </si>
  <si>
    <t>6520</t>
  </si>
  <si>
    <t>6523</t>
  </si>
  <si>
    <t>6526</t>
  </si>
  <si>
    <t>6527</t>
  </si>
  <si>
    <t>6529</t>
  </si>
  <si>
    <t>6531</t>
  </si>
  <si>
    <t>6533</t>
  </si>
  <si>
    <t>6535</t>
  </si>
  <si>
    <t>6536</t>
  </si>
  <si>
    <t>6539</t>
  </si>
  <si>
    <t>6542</t>
  </si>
  <si>
    <t>6543</t>
  </si>
  <si>
    <t>6547</t>
  </si>
  <si>
    <t>6552</t>
  </si>
  <si>
    <t>6555</t>
  </si>
  <si>
    <t>6557</t>
  </si>
  <si>
    <t>6558</t>
  </si>
  <si>
    <t>6559</t>
  </si>
  <si>
    <t>6560</t>
  </si>
  <si>
    <t>6562</t>
  </si>
  <si>
    <t>6565</t>
  </si>
  <si>
    <t>6567</t>
  </si>
  <si>
    <t>6568</t>
  </si>
  <si>
    <t>6569</t>
  </si>
  <si>
    <t>6570</t>
  </si>
  <si>
    <t>6571</t>
  </si>
  <si>
    <t>6574</t>
  </si>
  <si>
    <t>6577</t>
  </si>
  <si>
    <t>6578</t>
  </si>
  <si>
    <t>6579</t>
  </si>
  <si>
    <t>6581</t>
  </si>
  <si>
    <t>6584</t>
  </si>
  <si>
    <t>6585</t>
  </si>
  <si>
    <t>6587</t>
  </si>
  <si>
    <t>6588</t>
  </si>
  <si>
    <t>6589</t>
  </si>
  <si>
    <t>6591</t>
  </si>
  <si>
    <t>6592</t>
  </si>
  <si>
    <t>6595</t>
  </si>
  <si>
    <t>6596</t>
  </si>
  <si>
    <t>6599</t>
  </si>
  <si>
    <t>6600</t>
  </si>
  <si>
    <t>6601</t>
  </si>
  <si>
    <t>6602</t>
  </si>
  <si>
    <t>6605</t>
  </si>
  <si>
    <t>6606</t>
  </si>
  <si>
    <t>6607</t>
  </si>
  <si>
    <t>6619</t>
  </si>
  <si>
    <t>6621</t>
  </si>
  <si>
    <t>6622</t>
  </si>
  <si>
    <t>6624</t>
  </si>
  <si>
    <t>6625</t>
  </si>
  <si>
    <t>6627</t>
  </si>
  <si>
    <t>6628</t>
  </si>
  <si>
    <t>6629</t>
  </si>
  <si>
    <t>6630</t>
  </si>
  <si>
    <t>6631</t>
  </si>
  <si>
    <t>6632</t>
  </si>
  <si>
    <t>6633</t>
  </si>
  <si>
    <t>6634</t>
  </si>
  <si>
    <t>6635</t>
  </si>
  <si>
    <t>6636</t>
  </si>
  <si>
    <t>6637</t>
  </si>
  <si>
    <t>6638</t>
  </si>
  <si>
    <t>6640</t>
  </si>
  <si>
    <t>6641</t>
  </si>
  <si>
    <t>6642</t>
  </si>
  <si>
    <t>6644</t>
  </si>
  <si>
    <t>6645</t>
  </si>
  <si>
    <t>6646</t>
  </si>
  <si>
    <t>6647</t>
  </si>
  <si>
    <t>6648</t>
  </si>
  <si>
    <t>6649</t>
  </si>
  <si>
    <t>6650</t>
  </si>
  <si>
    <t>6651</t>
  </si>
  <si>
    <t>6653</t>
  </si>
  <si>
    <t>6656</t>
  </si>
  <si>
    <t>6657</t>
  </si>
  <si>
    <t>6658</t>
  </si>
  <si>
    <t>6659</t>
  </si>
  <si>
    <t>6661</t>
  </si>
  <si>
    <t>6663</t>
  </si>
  <si>
    <t>6667</t>
  </si>
  <si>
    <t>6668</t>
  </si>
  <si>
    <t>6669</t>
  </si>
  <si>
    <t>6674</t>
  </si>
  <si>
    <t>6675</t>
  </si>
  <si>
    <t>6678</t>
  </si>
  <si>
    <t>6679</t>
  </si>
  <si>
    <t>6681</t>
  </si>
  <si>
    <t>6682</t>
  </si>
  <si>
    <t>6683</t>
  </si>
  <si>
    <t>6684</t>
  </si>
  <si>
    <t>6685</t>
  </si>
  <si>
    <t>6689</t>
  </si>
  <si>
    <t>6691</t>
  </si>
  <si>
    <t>6695</t>
  </si>
  <si>
    <t>6696</t>
  </si>
  <si>
    <t>6697</t>
  </si>
  <si>
    <t>6698</t>
  </si>
  <si>
    <t>6699</t>
  </si>
  <si>
    <t>6700</t>
  </si>
  <si>
    <t>6706</t>
  </si>
  <si>
    <t>6707</t>
  </si>
  <si>
    <t>6708</t>
  </si>
  <si>
    <t>6709</t>
  </si>
  <si>
    <t>6710</t>
  </si>
  <si>
    <t>6712</t>
  </si>
  <si>
    <t>6713</t>
  </si>
  <si>
    <t>6714</t>
  </si>
  <si>
    <t>6715</t>
  </si>
  <si>
    <t>6716</t>
  </si>
  <si>
    <t>6717</t>
  </si>
  <si>
    <t>6718</t>
  </si>
  <si>
    <t>6720</t>
  </si>
  <si>
    <t>6723</t>
  </si>
  <si>
    <t>6724</t>
  </si>
  <si>
    <t>6725</t>
  </si>
  <si>
    <t>6727</t>
  </si>
  <si>
    <t>6728</t>
  </si>
  <si>
    <t>6729</t>
  </si>
  <si>
    <t>6732</t>
  </si>
  <si>
    <t>6734</t>
  </si>
  <si>
    <t>6735</t>
  </si>
  <si>
    <t>6740</t>
  </si>
  <si>
    <t>6741</t>
  </si>
  <si>
    <t>6745</t>
  </si>
  <si>
    <t>6747</t>
  </si>
  <si>
    <t>6749</t>
  </si>
  <si>
    <t>6750</t>
  </si>
  <si>
    <t>6752</t>
  </si>
  <si>
    <t>6754</t>
  </si>
  <si>
    <t>6755</t>
  </si>
  <si>
    <t>6756</t>
  </si>
  <si>
    <t>6757</t>
  </si>
  <si>
    <t>6759</t>
  </si>
  <si>
    <t>6761</t>
  </si>
  <si>
    <t>6763</t>
  </si>
  <si>
    <t>6765</t>
  </si>
  <si>
    <t>6768</t>
  </si>
  <si>
    <t>6773</t>
  </si>
  <si>
    <t>6779</t>
  </si>
  <si>
    <t>6782</t>
  </si>
  <si>
    <t>6783</t>
  </si>
  <si>
    <t>6784</t>
  </si>
  <si>
    <t>6787</t>
  </si>
  <si>
    <t>6788</t>
  </si>
  <si>
    <t>6789</t>
  </si>
  <si>
    <t>6794</t>
  </si>
  <si>
    <t>6795</t>
  </si>
  <si>
    <t>6796</t>
  </si>
  <si>
    <t>6797</t>
  </si>
  <si>
    <t>6800</t>
  </si>
  <si>
    <t>6802</t>
  </si>
  <si>
    <t>6805</t>
  </si>
  <si>
    <t>6806</t>
  </si>
  <si>
    <t>6808</t>
  </si>
  <si>
    <t>6810</t>
  </si>
  <si>
    <t>6814</t>
  </si>
  <si>
    <t>6815</t>
  </si>
  <si>
    <t>6816</t>
  </si>
  <si>
    <t>6818</t>
  </si>
  <si>
    <t>6819</t>
  </si>
  <si>
    <t>6820</t>
  </si>
  <si>
    <t>6822</t>
  </si>
  <si>
    <t>6823</t>
  </si>
  <si>
    <t>6827</t>
  </si>
  <si>
    <t>6828</t>
  </si>
  <si>
    <t>6829</t>
  </si>
  <si>
    <t>6830</t>
  </si>
  <si>
    <t>6833</t>
  </si>
  <si>
    <t>6838</t>
  </si>
  <si>
    <t>6839</t>
  </si>
  <si>
    <t>6840</t>
  </si>
  <si>
    <t>6842</t>
  </si>
  <si>
    <t>6844</t>
  </si>
  <si>
    <t>6845</t>
  </si>
  <si>
    <t>6846</t>
  </si>
  <si>
    <t>6850</t>
  </si>
  <si>
    <t>6852</t>
  </si>
  <si>
    <t>6853</t>
  </si>
  <si>
    <t>6854</t>
  </si>
  <si>
    <t>6857</t>
  </si>
  <si>
    <t>6858</t>
  </si>
  <si>
    <t>6859</t>
  </si>
  <si>
    <t>6860</t>
  </si>
  <si>
    <t>6864</t>
  </si>
  <si>
    <t>6866</t>
  </si>
  <si>
    <t>6868</t>
  </si>
  <si>
    <t>6870</t>
  </si>
  <si>
    <t>6872</t>
  </si>
  <si>
    <t>6873</t>
  </si>
  <si>
    <t>6874</t>
  </si>
  <si>
    <t>6879</t>
  </si>
  <si>
    <t>6883</t>
  </si>
  <si>
    <t>6884</t>
  </si>
  <si>
    <t>6887</t>
  </si>
  <si>
    <t>6889</t>
  </si>
  <si>
    <t>6890</t>
  </si>
  <si>
    <t>6891</t>
  </si>
  <si>
    <t>6893</t>
  </si>
  <si>
    <t>6897</t>
  </si>
  <si>
    <t>6898</t>
  </si>
  <si>
    <t>6900</t>
  </si>
  <si>
    <t>6904</t>
  </si>
  <si>
    <t>6905</t>
  </si>
  <si>
    <t>6906</t>
  </si>
  <si>
    <t>6908</t>
  </si>
  <si>
    <t>6909</t>
  </si>
  <si>
    <t>6910</t>
  </si>
  <si>
    <t>6911</t>
  </si>
  <si>
    <t>6913</t>
  </si>
  <si>
    <t>6916</t>
  </si>
  <si>
    <t>6918</t>
  </si>
  <si>
    <t>6924</t>
  </si>
  <si>
    <t>6925</t>
  </si>
  <si>
    <t>6928</t>
  </si>
  <si>
    <t>6929</t>
  </si>
  <si>
    <t>6930</t>
  </si>
  <si>
    <t>6931</t>
  </si>
  <si>
    <t>6932</t>
  </si>
  <si>
    <t>6933</t>
  </si>
  <si>
    <t>6934</t>
  </si>
  <si>
    <t>6935</t>
  </si>
  <si>
    <t>6936</t>
  </si>
  <si>
    <t>6938</t>
  </si>
  <si>
    <t>6939</t>
  </si>
  <si>
    <t>6940</t>
  </si>
  <si>
    <t>6941</t>
  </si>
  <si>
    <t>6943</t>
  </si>
  <si>
    <t>6946</t>
  </si>
  <si>
    <t>6947</t>
  </si>
  <si>
    <t>6948</t>
  </si>
  <si>
    <t>6949</t>
  </si>
  <si>
    <t>6950</t>
  </si>
  <si>
    <t>6951</t>
  </si>
  <si>
    <t>6952</t>
  </si>
  <si>
    <t>6954</t>
  </si>
  <si>
    <t>6956</t>
  </si>
  <si>
    <t>6957</t>
  </si>
  <si>
    <t>6958</t>
  </si>
  <si>
    <t>6961</t>
  </si>
  <si>
    <t>6970</t>
  </si>
  <si>
    <t>6971</t>
  </si>
  <si>
    <t>6972</t>
  </si>
  <si>
    <t>6974</t>
  </si>
  <si>
    <t>6981</t>
  </si>
  <si>
    <t>6982</t>
  </si>
  <si>
    <t>6984</t>
  </si>
  <si>
    <t>6985</t>
  </si>
  <si>
    <t>6986</t>
  </si>
  <si>
    <t>6987</t>
  </si>
  <si>
    <t>6989</t>
  </si>
  <si>
    <t>6990</t>
  </si>
  <si>
    <t>6992</t>
  </si>
  <si>
    <t>6993</t>
  </si>
  <si>
    <t>6996</t>
  </si>
  <si>
    <t>7001</t>
  </si>
  <si>
    <t>7002</t>
  </si>
  <si>
    <t>7007</t>
  </si>
  <si>
    <t>7008</t>
  </si>
  <si>
    <t>7009</t>
  </si>
  <si>
    <t>7010</t>
  </si>
  <si>
    <t>7011</t>
  </si>
  <si>
    <t>7014</t>
  </si>
  <si>
    <t>7016</t>
  </si>
  <si>
    <t>7017</t>
  </si>
  <si>
    <t>7018</t>
  </si>
  <si>
    <t>7020</t>
  </si>
  <si>
    <t>7025</t>
  </si>
  <si>
    <t>7028</t>
  </si>
  <si>
    <t>7030</t>
  </si>
  <si>
    <t>7031</t>
  </si>
  <si>
    <t>7033</t>
  </si>
  <si>
    <t>7035</t>
  </si>
  <si>
    <t>7036</t>
  </si>
  <si>
    <t>7037</t>
  </si>
  <si>
    <t>7038</t>
  </si>
  <si>
    <t>7039</t>
  </si>
  <si>
    <t>7041</t>
  </si>
  <si>
    <t>7043</t>
  </si>
  <si>
    <t>7048</t>
  </si>
  <si>
    <t>7050</t>
  </si>
  <si>
    <t>7051</t>
  </si>
  <si>
    <t>7052</t>
  </si>
  <si>
    <t>7057</t>
  </si>
  <si>
    <t>7062</t>
  </si>
  <si>
    <t>7063</t>
  </si>
  <si>
    <t>7064</t>
  </si>
  <si>
    <t>7066</t>
  </si>
  <si>
    <t>7067</t>
  </si>
  <si>
    <t>7072</t>
  </si>
  <si>
    <t>7073</t>
  </si>
  <si>
    <t>7074</t>
  </si>
  <si>
    <t>7075</t>
  </si>
  <si>
    <t>7077</t>
  </si>
  <si>
    <t>7078</t>
  </si>
  <si>
    <t>7080</t>
  </si>
  <si>
    <t>7081</t>
  </si>
  <si>
    <t>7082</t>
  </si>
  <si>
    <t>7084</t>
  </si>
  <si>
    <t>7086</t>
  </si>
  <si>
    <t>7087</t>
  </si>
  <si>
    <t>7088</t>
  </si>
  <si>
    <t>7089</t>
  </si>
  <si>
    <t>7090</t>
  </si>
  <si>
    <t>7091</t>
  </si>
  <si>
    <t>7092</t>
  </si>
  <si>
    <t>7094</t>
  </si>
  <si>
    <t>7096</t>
  </si>
  <si>
    <t>7098</t>
  </si>
  <si>
    <t>7101</t>
  </si>
  <si>
    <t>7103</t>
  </si>
  <si>
    <t>7104</t>
  </si>
  <si>
    <t>7106</t>
  </si>
  <si>
    <t>7114</t>
  </si>
  <si>
    <t>7115</t>
  </si>
  <si>
    <t>7118</t>
  </si>
  <si>
    <t>7119</t>
  </si>
  <si>
    <t>7120</t>
  </si>
  <si>
    <t>7124</t>
  </si>
  <si>
    <t>7125</t>
  </si>
  <si>
    <t>7128</t>
  </si>
  <si>
    <t>7129</t>
  </si>
  <si>
    <t>7130</t>
  </si>
  <si>
    <t>7131</t>
  </si>
  <si>
    <t>7132</t>
  </si>
  <si>
    <t>7136</t>
  </si>
  <si>
    <t>7140</t>
  </si>
  <si>
    <t>7142</t>
  </si>
  <si>
    <t>7144</t>
  </si>
  <si>
    <t>7147</t>
  </si>
  <si>
    <t>7148</t>
  </si>
  <si>
    <t>7149</t>
  </si>
  <si>
    <t>7150</t>
  </si>
  <si>
    <t>7151</t>
  </si>
  <si>
    <t>7152</t>
  </si>
  <si>
    <t>7155</t>
  </si>
  <si>
    <t>7156</t>
  </si>
  <si>
    <t>7158</t>
  </si>
  <si>
    <t>7159</t>
  </si>
  <si>
    <t>7160</t>
  </si>
  <si>
    <t>7164</t>
  </si>
  <si>
    <t>7165</t>
  </si>
  <si>
    <t>7167</t>
  </si>
  <si>
    <t>7170</t>
  </si>
  <si>
    <t>7171</t>
  </si>
  <si>
    <t>7172</t>
  </si>
  <si>
    <t>7173</t>
  </si>
  <si>
    <t>7174</t>
  </si>
  <si>
    <t>7176</t>
  </si>
  <si>
    <t>7179</t>
  </si>
  <si>
    <t>7180</t>
  </si>
  <si>
    <t>7183</t>
  </si>
  <si>
    <t>7188</t>
  </si>
  <si>
    <t>7189</t>
  </si>
  <si>
    <t>7192</t>
  </si>
  <si>
    <t>7197</t>
  </si>
  <si>
    <t>7199</t>
  </si>
  <si>
    <t>7200</t>
  </si>
  <si>
    <t>7203</t>
  </si>
  <si>
    <t>7204</t>
  </si>
  <si>
    <t>7205</t>
  </si>
  <si>
    <t>7207</t>
  </si>
  <si>
    <t>7208</t>
  </si>
  <si>
    <t>7209</t>
  </si>
  <si>
    <t>7210</t>
  </si>
  <si>
    <t>7212</t>
  </si>
  <si>
    <t>7213</t>
  </si>
  <si>
    <t>7217</t>
  </si>
  <si>
    <t>7220</t>
  </si>
  <si>
    <t>7221</t>
  </si>
  <si>
    <t>7224</t>
  </si>
  <si>
    <t>7225</t>
  </si>
  <si>
    <t>7226</t>
  </si>
  <si>
    <t>7227</t>
  </si>
  <si>
    <t>7228</t>
  </si>
  <si>
    <t>7234</t>
  </si>
  <si>
    <t>7236</t>
  </si>
  <si>
    <t>7239</t>
  </si>
  <si>
    <t>7241</t>
  </si>
  <si>
    <t>7242</t>
  </si>
  <si>
    <t>7245</t>
  </si>
  <si>
    <t>7246</t>
  </si>
  <si>
    <t>7247</t>
  </si>
  <si>
    <t>7248</t>
  </si>
  <si>
    <t>7251</t>
  </si>
  <si>
    <t>7253</t>
  </si>
  <si>
    <t>7254</t>
  </si>
  <si>
    <t>7255</t>
  </si>
  <si>
    <t>7256</t>
  </si>
  <si>
    <t>7257</t>
  </si>
  <si>
    <t>7259</t>
  </si>
  <si>
    <t>7260</t>
  </si>
  <si>
    <t>7261</t>
  </si>
  <si>
    <t>7262</t>
  </si>
  <si>
    <t>7263</t>
  </si>
  <si>
    <t>7264</t>
  </si>
  <si>
    <t>7265</t>
  </si>
  <si>
    <t>7266</t>
  </si>
  <si>
    <t>7267</t>
  </si>
  <si>
    <t>7269</t>
  </si>
  <si>
    <t>7270</t>
  </si>
  <si>
    <t>7274</t>
  </si>
  <si>
    <t>7276</t>
  </si>
  <si>
    <t>7280</t>
  </si>
  <si>
    <t>7281</t>
  </si>
  <si>
    <t>7282</t>
  </si>
  <si>
    <t>7284</t>
  </si>
  <si>
    <t>7285</t>
  </si>
  <si>
    <t>7286</t>
  </si>
  <si>
    <t>7287</t>
  </si>
  <si>
    <t>7288</t>
  </si>
  <si>
    <t>7289</t>
  </si>
  <si>
    <t>7290</t>
  </si>
  <si>
    <t>7291</t>
  </si>
  <si>
    <t>7292</t>
  </si>
  <si>
    <t>7296</t>
  </si>
  <si>
    <t>7297</t>
  </si>
  <si>
    <t>7298</t>
  </si>
  <si>
    <t>7300</t>
  </si>
  <si>
    <t>7301</t>
  </si>
  <si>
    <t>7302</t>
  </si>
  <si>
    <t>7303</t>
  </si>
  <si>
    <t>7304</t>
  </si>
  <si>
    <t>7305</t>
  </si>
  <si>
    <t>7306</t>
  </si>
  <si>
    <t>7307</t>
  </si>
  <si>
    <t>7309</t>
  </si>
  <si>
    <t>7310</t>
  </si>
  <si>
    <t>7312</t>
  </si>
  <si>
    <t>7315</t>
  </si>
  <si>
    <t>7316</t>
  </si>
  <si>
    <t>7317</t>
  </si>
  <si>
    <t>7318</t>
  </si>
  <si>
    <t>7319</t>
  </si>
  <si>
    <t>7322</t>
  </si>
  <si>
    <t>7323</t>
  </si>
  <si>
    <t>7326</t>
  </si>
  <si>
    <t>7327</t>
  </si>
  <si>
    <t>7328</t>
  </si>
  <si>
    <t>7330</t>
  </si>
  <si>
    <t>7331</t>
  </si>
  <si>
    <t>7332</t>
  </si>
  <si>
    <t>7333</t>
  </si>
  <si>
    <t>7335</t>
  </si>
  <si>
    <t>7337</t>
  </si>
  <si>
    <t>7340</t>
  </si>
  <si>
    <t>7341</t>
  </si>
  <si>
    <t>7342</t>
  </si>
  <si>
    <t>7344</t>
  </si>
  <si>
    <t>7345</t>
  </si>
  <si>
    <t>7346</t>
  </si>
  <si>
    <t>7348</t>
  </si>
  <si>
    <t>7353</t>
  </si>
  <si>
    <t>7354</t>
  </si>
  <si>
    <t>7355</t>
  </si>
  <si>
    <t>7358</t>
  </si>
  <si>
    <t>7359</t>
  </si>
  <si>
    <t>7361</t>
  </si>
  <si>
    <t>7369</t>
  </si>
  <si>
    <t>7370</t>
  </si>
  <si>
    <t>7374</t>
  </si>
  <si>
    <t>7377</t>
  </si>
  <si>
    <t>7379</t>
  </si>
  <si>
    <t>7382</t>
  </si>
  <si>
    <t>7383</t>
  </si>
  <si>
    <t>7385</t>
  </si>
  <si>
    <t>7386</t>
  </si>
  <si>
    <t>7387</t>
  </si>
  <si>
    <t>7388</t>
  </si>
  <si>
    <t>7389</t>
  </si>
  <si>
    <t>7394</t>
  </si>
  <si>
    <t>7395</t>
  </si>
  <si>
    <t>7396</t>
  </si>
  <si>
    <t>7400</t>
  </si>
  <si>
    <t>7402</t>
  </si>
  <si>
    <t>7403</t>
  </si>
  <si>
    <t>7404</t>
  </si>
  <si>
    <t>7405</t>
  </si>
  <si>
    <t>7406</t>
  </si>
  <si>
    <t>7407</t>
  </si>
  <si>
    <t>7408</t>
  </si>
  <si>
    <t>7409</t>
  </si>
  <si>
    <t>7411</t>
  </si>
  <si>
    <t>7412</t>
  </si>
  <si>
    <t>7414</t>
  </si>
  <si>
    <t>7415</t>
  </si>
  <si>
    <t>7416</t>
  </si>
  <si>
    <t>7417</t>
  </si>
  <si>
    <t>7418</t>
  </si>
  <si>
    <t>7419</t>
  </si>
  <si>
    <t>7421</t>
  </si>
  <si>
    <t>7423</t>
  </si>
  <si>
    <t>7424</t>
  </si>
  <si>
    <t>7425</t>
  </si>
  <si>
    <t>7426</t>
  </si>
  <si>
    <t>7430</t>
  </si>
  <si>
    <t>7431</t>
  </si>
  <si>
    <t>7432</t>
  </si>
  <si>
    <t>7433</t>
  </si>
  <si>
    <t>7434</t>
  </si>
  <si>
    <t>7435</t>
  </si>
  <si>
    <t>7437</t>
  </si>
  <si>
    <t>7438</t>
  </si>
  <si>
    <t>7439</t>
  </si>
  <si>
    <t>7440</t>
  </si>
  <si>
    <t>7442</t>
  </si>
  <si>
    <t>7443</t>
  </si>
  <si>
    <t>7446</t>
  </si>
  <si>
    <t>7452</t>
  </si>
  <si>
    <t>7454</t>
  </si>
  <si>
    <t>7455</t>
  </si>
  <si>
    <t>7457</t>
  </si>
  <si>
    <t>7459</t>
  </si>
  <si>
    <t>7463</t>
  </si>
  <si>
    <t>7470</t>
  </si>
  <si>
    <t>7471</t>
  </si>
  <si>
    <t>7472</t>
  </si>
  <si>
    <t>7473</t>
  </si>
  <si>
    <t>7474</t>
  </si>
  <si>
    <t>7475</t>
  </si>
  <si>
    <t>7477</t>
  </si>
  <si>
    <t>7481</t>
  </si>
  <si>
    <t>7482</t>
  </si>
  <si>
    <t>7483</t>
  </si>
  <si>
    <t>7486</t>
  </si>
  <si>
    <t>7488</t>
  </si>
  <si>
    <t>7489</t>
  </si>
  <si>
    <t>7490</t>
  </si>
  <si>
    <t>7491</t>
  </si>
  <si>
    <t>7493</t>
  </si>
  <si>
    <t>7494</t>
  </si>
  <si>
    <t>7495</t>
  </si>
  <si>
    <t>7497</t>
  </si>
  <si>
    <t>7498</t>
  </si>
  <si>
    <t>7499</t>
  </si>
  <si>
    <t>7500</t>
  </si>
  <si>
    <t>7502</t>
  </si>
  <si>
    <t>7503</t>
  </si>
  <si>
    <t>7504</t>
  </si>
  <si>
    <t>7505</t>
  </si>
  <si>
    <t>7507</t>
  </si>
  <si>
    <t>7511</t>
  </si>
  <si>
    <t>7514</t>
  </si>
  <si>
    <t>7515</t>
  </si>
  <si>
    <t>7518</t>
  </si>
  <si>
    <t>7528</t>
  </si>
  <si>
    <t>7530</t>
  </si>
  <si>
    <t>7531</t>
  </si>
  <si>
    <t>7532</t>
  </si>
  <si>
    <t>7537</t>
  </si>
  <si>
    <t>7540</t>
  </si>
  <si>
    <t>7543</t>
  </si>
  <si>
    <t>7546</t>
  </si>
  <si>
    <t>7548</t>
  </si>
  <si>
    <t>7549</t>
  </si>
  <si>
    <t>7551</t>
  </si>
  <si>
    <t>7554</t>
  </si>
  <si>
    <t>7555</t>
  </si>
  <si>
    <t>7559</t>
  </si>
  <si>
    <t>7561</t>
  </si>
  <si>
    <t>7564</t>
  </si>
  <si>
    <t>7565</t>
  </si>
  <si>
    <t>7566</t>
  </si>
  <si>
    <t>7570</t>
  </si>
  <si>
    <t>7571</t>
  </si>
  <si>
    <t>7572</t>
  </si>
  <si>
    <t>7573</t>
  </si>
  <si>
    <t>7574</t>
  </si>
  <si>
    <t>7575</t>
  </si>
  <si>
    <t>7576</t>
  </si>
  <si>
    <t>7577</t>
  </si>
  <si>
    <t>7578</t>
  </si>
  <si>
    <t>7579</t>
  </si>
  <si>
    <t>7584</t>
  </si>
  <si>
    <t>7585</t>
  </si>
  <si>
    <t>7586</t>
  </si>
  <si>
    <t>7587</t>
  </si>
  <si>
    <t>7588</t>
  </si>
  <si>
    <t>7589</t>
  </si>
  <si>
    <t>7591</t>
  </si>
  <si>
    <t>7595</t>
  </si>
  <si>
    <t>7596</t>
  </si>
  <si>
    <t>7598</t>
  </si>
  <si>
    <t>7599</t>
  </si>
  <si>
    <t>7600</t>
  </si>
  <si>
    <t>7602</t>
  </si>
  <si>
    <t>7603</t>
  </si>
  <si>
    <t>7604</t>
  </si>
  <si>
    <t>7606</t>
  </si>
  <si>
    <t>7608</t>
  </si>
  <si>
    <t>7610</t>
  </si>
  <si>
    <t>7613</t>
  </si>
  <si>
    <t>7614</t>
  </si>
  <si>
    <t>7616</t>
  </si>
  <si>
    <t>7617</t>
  </si>
  <si>
    <t>7619</t>
  </si>
  <si>
    <t>7620</t>
  </si>
  <si>
    <t>7622</t>
  </si>
  <si>
    <t>7623</t>
  </si>
  <si>
    <t>7625</t>
  </si>
  <si>
    <t>7630</t>
  </si>
  <si>
    <t>7635</t>
  </si>
  <si>
    <t>7636</t>
  </si>
  <si>
    <t>7638</t>
  </si>
  <si>
    <t>7639</t>
  </si>
  <si>
    <t>7645</t>
  </si>
  <si>
    <t>7646</t>
  </si>
  <si>
    <t>7647</t>
  </si>
  <si>
    <t>7648</t>
  </si>
  <si>
    <t>7649</t>
  </si>
  <si>
    <t>7651</t>
  </si>
  <si>
    <t>7653</t>
  </si>
  <si>
    <t>7656</t>
  </si>
  <si>
    <t>7657</t>
  </si>
  <si>
    <t>7658</t>
  </si>
  <si>
    <t>7659</t>
  </si>
  <si>
    <t>7661</t>
  </si>
  <si>
    <t>7665</t>
  </si>
  <si>
    <t>7668</t>
  </si>
  <si>
    <t>7669</t>
  </si>
  <si>
    <t>7670</t>
  </si>
  <si>
    <t>7673</t>
  </si>
  <si>
    <t>7675</t>
  </si>
  <si>
    <t>7678</t>
  </si>
  <si>
    <t>7680</t>
  </si>
  <si>
    <t>7681</t>
  </si>
  <si>
    <t>7682</t>
  </si>
  <si>
    <t>7683</t>
  </si>
  <si>
    <t>7691</t>
  </si>
  <si>
    <t>7695</t>
  </si>
  <si>
    <t>7698</t>
  </si>
  <si>
    <t>7701</t>
  </si>
  <si>
    <t>7702</t>
  </si>
  <si>
    <t>7703</t>
  </si>
  <si>
    <t>7706</t>
  </si>
  <si>
    <t>7708</t>
  </si>
  <si>
    <t>7709</t>
  </si>
  <si>
    <t>7711</t>
  </si>
  <si>
    <t>7712</t>
  </si>
  <si>
    <t>7715</t>
  </si>
  <si>
    <t>7717</t>
  </si>
  <si>
    <t>7718</t>
  </si>
  <si>
    <t>7719</t>
  </si>
  <si>
    <t>7720</t>
  </si>
  <si>
    <t>7721</t>
  </si>
  <si>
    <t>7724</t>
  </si>
  <si>
    <t>7725</t>
  </si>
  <si>
    <t>7727</t>
  </si>
  <si>
    <t>7728</t>
  </si>
  <si>
    <t>7729</t>
  </si>
  <si>
    <t>7730</t>
  </si>
  <si>
    <t>7731</t>
  </si>
  <si>
    <t>7732</t>
  </si>
  <si>
    <t>7734</t>
  </si>
  <si>
    <t>7735</t>
  </si>
  <si>
    <t>7736</t>
  </si>
  <si>
    <t>7737</t>
  </si>
  <si>
    <t>7738</t>
  </si>
  <si>
    <t>7740</t>
  </si>
  <si>
    <t>7741</t>
  </si>
  <si>
    <t>7743</t>
  </si>
  <si>
    <t>7744</t>
  </si>
  <si>
    <t>7745</t>
  </si>
  <si>
    <t>7746</t>
  </si>
  <si>
    <t>7747</t>
  </si>
  <si>
    <t>7750</t>
  </si>
  <si>
    <t>7752</t>
  </si>
  <si>
    <t>7753</t>
  </si>
  <si>
    <t>7754</t>
  </si>
  <si>
    <t>7755</t>
  </si>
  <si>
    <t>7756</t>
  </si>
  <si>
    <t>7758</t>
  </si>
  <si>
    <t>7760</t>
  </si>
  <si>
    <t>7761</t>
  </si>
  <si>
    <t>7762</t>
  </si>
  <si>
    <t>7767</t>
  </si>
  <si>
    <t>7768</t>
  </si>
  <si>
    <t>7772</t>
  </si>
  <si>
    <t>7773</t>
  </si>
  <si>
    <t>7774</t>
  </si>
  <si>
    <t>7776</t>
  </si>
  <si>
    <t>7777</t>
  </si>
  <si>
    <t>7778</t>
  </si>
  <si>
    <t>7780</t>
  </si>
  <si>
    <t>7781</t>
  </si>
  <si>
    <t>7783</t>
  </si>
  <si>
    <t>7784</t>
  </si>
  <si>
    <t>7787</t>
  </si>
  <si>
    <t>7788</t>
  </si>
  <si>
    <t>7795</t>
  </si>
  <si>
    <t>7797</t>
  </si>
  <si>
    <t>7798</t>
  </si>
  <si>
    <t>7799</t>
  </si>
  <si>
    <t>7801</t>
  </si>
  <si>
    <t>7802</t>
  </si>
  <si>
    <t>7803</t>
  </si>
  <si>
    <t>7807</t>
  </si>
  <si>
    <t>7809</t>
  </si>
  <si>
    <t>7810</t>
  </si>
  <si>
    <t>7812</t>
  </si>
  <si>
    <t>7813</t>
  </si>
  <si>
    <t>7815</t>
  </si>
  <si>
    <t>7816</t>
  </si>
  <si>
    <t>7818</t>
  </si>
  <si>
    <t>7819</t>
  </si>
  <si>
    <t>7820</t>
  </si>
  <si>
    <t>7821</t>
  </si>
  <si>
    <t>7822</t>
  </si>
  <si>
    <t>7823</t>
  </si>
  <si>
    <t>7833</t>
  </si>
  <si>
    <t>7834</t>
  </si>
  <si>
    <t>7835</t>
  </si>
  <si>
    <t>7836</t>
  </si>
  <si>
    <t>7838</t>
  </si>
  <si>
    <t>7840</t>
  </si>
  <si>
    <t>7841</t>
  </si>
  <si>
    <t>7842</t>
  </si>
  <si>
    <t>7844</t>
  </si>
  <si>
    <t>7845</t>
  </si>
  <si>
    <t>7846</t>
  </si>
  <si>
    <t>7847</t>
  </si>
  <si>
    <t>7848</t>
  </si>
  <si>
    <t>7850</t>
  </si>
  <si>
    <t>7851</t>
  </si>
  <si>
    <t>7852</t>
  </si>
  <si>
    <t>7853</t>
  </si>
  <si>
    <t>7855</t>
  </si>
  <si>
    <t>7856</t>
  </si>
  <si>
    <t>7857</t>
  </si>
  <si>
    <t>7860</t>
  </si>
  <si>
    <t>7862</t>
  </si>
  <si>
    <t>7864</t>
  </si>
  <si>
    <t>7866</t>
  </si>
  <si>
    <t>7869</t>
  </si>
  <si>
    <t>7875</t>
  </si>
  <si>
    <t>7876</t>
  </si>
  <si>
    <t>7877</t>
  </si>
  <si>
    <t>7878</t>
  </si>
  <si>
    <t>7879</t>
  </si>
  <si>
    <t>7881</t>
  </si>
  <si>
    <t>7882</t>
  </si>
  <si>
    <t>7883</t>
  </si>
  <si>
    <t>7884</t>
  </si>
  <si>
    <t>7885</t>
  </si>
  <si>
    <t>7886</t>
  </si>
  <si>
    <t>7887</t>
  </si>
  <si>
    <t>7891</t>
  </si>
  <si>
    <t>7893</t>
  </si>
  <si>
    <t>7894</t>
  </si>
  <si>
    <t>7895</t>
  </si>
  <si>
    <t>7897</t>
  </si>
  <si>
    <t>7898</t>
  </si>
  <si>
    <t>7899</t>
  </si>
  <si>
    <t>7901</t>
  </si>
  <si>
    <t>7907</t>
  </si>
  <si>
    <t>7909</t>
  </si>
  <si>
    <t>7913</t>
  </si>
  <si>
    <t>7914</t>
  </si>
  <si>
    <t>7915</t>
  </si>
  <si>
    <t>7916</t>
  </si>
  <si>
    <t>7917</t>
  </si>
  <si>
    <t>7919</t>
  </si>
  <si>
    <t>7920</t>
  </si>
  <si>
    <t>7921</t>
  </si>
  <si>
    <t>7922</t>
  </si>
  <si>
    <t>7924</t>
  </si>
  <si>
    <t>7925</t>
  </si>
  <si>
    <t>7926</t>
  </si>
  <si>
    <t>7927</t>
  </si>
  <si>
    <t>7928</t>
  </si>
  <si>
    <t>7930</t>
  </si>
  <si>
    <t>7931</t>
  </si>
  <si>
    <t>7932</t>
  </si>
  <si>
    <t>7934</t>
  </si>
  <si>
    <t>7937</t>
  </si>
  <si>
    <t>7938</t>
  </si>
  <si>
    <t>7939</t>
  </si>
  <si>
    <t>7940</t>
  </si>
  <si>
    <t>7942</t>
  </si>
  <si>
    <t>7943</t>
  </si>
  <si>
    <t>7944</t>
  </si>
  <si>
    <t>7947</t>
  </si>
  <si>
    <t>7953</t>
  </si>
  <si>
    <t>7955</t>
  </si>
  <si>
    <t>7963</t>
  </si>
  <si>
    <t>7966</t>
  </si>
  <si>
    <t>7967</t>
  </si>
  <si>
    <t>7970</t>
  </si>
  <si>
    <t>7971</t>
  </si>
  <si>
    <t>7973</t>
  </si>
  <si>
    <t>7974</t>
  </si>
  <si>
    <t>7980</t>
  </si>
  <si>
    <t>7984</t>
  </si>
  <si>
    <t>7986</t>
  </si>
  <si>
    <t>7989</t>
  </si>
  <si>
    <t>7990</t>
  </si>
  <si>
    <t>7993</t>
  </si>
  <si>
    <t>7994</t>
  </si>
  <si>
    <t>7995</t>
  </si>
  <si>
    <t>7997</t>
  </si>
  <si>
    <t>8001</t>
  </si>
  <si>
    <t>8005</t>
  </si>
  <si>
    <t>8006</t>
  </si>
  <si>
    <t>8009</t>
  </si>
  <si>
    <t>8011</t>
  </si>
  <si>
    <t>8012</t>
  </si>
  <si>
    <t>8014</t>
  </si>
  <si>
    <t>8016</t>
  </si>
  <si>
    <t>8019</t>
  </si>
  <si>
    <t>8022</t>
  </si>
  <si>
    <t>8025</t>
  </si>
  <si>
    <t>8027</t>
  </si>
  <si>
    <t>8029</t>
  </si>
  <si>
    <t>8031</t>
  </si>
  <si>
    <t>8033</t>
  </si>
  <si>
    <t>8037</t>
  </si>
  <si>
    <t>8038</t>
  </si>
  <si>
    <t>8041</t>
  </si>
  <si>
    <t>8042</t>
  </si>
  <si>
    <t>8046</t>
  </si>
  <si>
    <t>8047</t>
  </si>
  <si>
    <t>8051</t>
  </si>
  <si>
    <t>8058</t>
  </si>
  <si>
    <t>8059</t>
  </si>
  <si>
    <t>8060</t>
  </si>
  <si>
    <t>8061</t>
  </si>
  <si>
    <t>8063</t>
  </si>
  <si>
    <t>8065</t>
  </si>
  <si>
    <t>8067</t>
  </si>
  <si>
    <t>8068</t>
  </si>
  <si>
    <t>8070</t>
  </si>
  <si>
    <t>8073</t>
  </si>
  <si>
    <t>8074</t>
  </si>
  <si>
    <t>8076</t>
  </si>
  <si>
    <t>8079</t>
  </si>
  <si>
    <t>8080</t>
  </si>
  <si>
    <t>8082</t>
  </si>
  <si>
    <t>8083</t>
  </si>
  <si>
    <t>8084</t>
  </si>
  <si>
    <t>8085</t>
  </si>
  <si>
    <t>8086</t>
  </si>
  <si>
    <t>8087</t>
  </si>
  <si>
    <t>8088</t>
  </si>
  <si>
    <t>8089</t>
  </si>
  <si>
    <t>8090</t>
  </si>
  <si>
    <t>8096</t>
  </si>
  <si>
    <t>8098</t>
  </si>
  <si>
    <t>8102</t>
  </si>
  <si>
    <t>8107</t>
  </si>
  <si>
    <t>8108</t>
  </si>
  <si>
    <t>8109</t>
  </si>
  <si>
    <t>8110</t>
  </si>
  <si>
    <t>8111</t>
  </si>
  <si>
    <t>8114</t>
  </si>
  <si>
    <t>8121</t>
  </si>
  <si>
    <t>8122</t>
  </si>
  <si>
    <t>8123</t>
  </si>
  <si>
    <t>8125</t>
  </si>
  <si>
    <t>8126</t>
  </si>
  <si>
    <t>8127</t>
  </si>
  <si>
    <t>8128</t>
  </si>
  <si>
    <t>8132</t>
  </si>
  <si>
    <t>8135</t>
  </si>
  <si>
    <t>8138</t>
  </si>
  <si>
    <t>8140</t>
  </si>
  <si>
    <t>8141</t>
  </si>
  <si>
    <t>8142</t>
  </si>
  <si>
    <t>8143</t>
  </si>
  <si>
    <t>8144</t>
  </si>
  <si>
    <t>8145</t>
  </si>
  <si>
    <t>8147</t>
  </si>
  <si>
    <t>8150</t>
  </si>
  <si>
    <t>8151</t>
  </si>
  <si>
    <t>8152</t>
  </si>
  <si>
    <t>8158</t>
  </si>
  <si>
    <t>8161</t>
  </si>
  <si>
    <t>8167</t>
  </si>
  <si>
    <t>8171</t>
  </si>
  <si>
    <t>8172</t>
  </si>
  <si>
    <t>8174</t>
  </si>
  <si>
    <t>8175</t>
  </si>
  <si>
    <t>8176</t>
  </si>
  <si>
    <t>8177</t>
  </si>
  <si>
    <t>8178</t>
  </si>
  <si>
    <t>8180</t>
  </si>
  <si>
    <t>8181</t>
  </si>
  <si>
    <t>8182</t>
  </si>
  <si>
    <t>8184</t>
  </si>
  <si>
    <t>8186</t>
  </si>
  <si>
    <t>8187</t>
  </si>
  <si>
    <t>8188</t>
  </si>
  <si>
    <t>8189</t>
  </si>
  <si>
    <t>8190</t>
  </si>
  <si>
    <t>8191</t>
  </si>
  <si>
    <t>8192</t>
  </si>
  <si>
    <t>8195</t>
  </si>
  <si>
    <t>8196</t>
  </si>
  <si>
    <t>8197</t>
  </si>
  <si>
    <t>8199</t>
  </si>
  <si>
    <t>8200</t>
  </si>
  <si>
    <t>8201</t>
  </si>
  <si>
    <t>8205</t>
  </si>
  <si>
    <t>8206</t>
  </si>
  <si>
    <t>8207</t>
  </si>
  <si>
    <t>8209</t>
  </si>
  <si>
    <t>8213</t>
  </si>
  <si>
    <t>8214</t>
  </si>
  <si>
    <t>8215</t>
  </si>
  <si>
    <t>8218</t>
  </si>
  <si>
    <t>8219</t>
  </si>
  <si>
    <t>8220</t>
  </si>
  <si>
    <t>8222</t>
  </si>
  <si>
    <t>8223</t>
  </si>
  <si>
    <t>8224</t>
  </si>
  <si>
    <t>8226</t>
  </si>
  <si>
    <t>8227</t>
  </si>
  <si>
    <t>8228</t>
  </si>
  <si>
    <t>8229</t>
  </si>
  <si>
    <t>8232</t>
  </si>
  <si>
    <t>8234</t>
  </si>
  <si>
    <t>8236</t>
  </si>
  <si>
    <t>8237</t>
  </si>
  <si>
    <t>8238</t>
  </si>
  <si>
    <t>8240</t>
  </si>
  <si>
    <t>8242</t>
  </si>
  <si>
    <t>8243</t>
  </si>
  <si>
    <t>8244</t>
  </si>
  <si>
    <t>8249</t>
  </si>
  <si>
    <t>8250</t>
  </si>
  <si>
    <t>8251</t>
  </si>
  <si>
    <t>8252</t>
  </si>
  <si>
    <t>8256</t>
  </si>
  <si>
    <t>8257</t>
  </si>
  <si>
    <t>8258</t>
  </si>
  <si>
    <t>8266</t>
  </si>
  <si>
    <t>8268</t>
  </si>
  <si>
    <t>8273</t>
  </si>
  <si>
    <t>8274</t>
  </si>
  <si>
    <t>8276</t>
  </si>
  <si>
    <t>8278</t>
  </si>
  <si>
    <t>8279</t>
  </si>
  <si>
    <t>8280</t>
  </si>
  <si>
    <t>8282</t>
  </si>
  <si>
    <t>8286</t>
  </si>
  <si>
    <t>8287</t>
  </si>
  <si>
    <t>8288</t>
  </si>
  <si>
    <t>8290</t>
  </si>
  <si>
    <t>8292</t>
  </si>
  <si>
    <t>8293</t>
  </si>
  <si>
    <t>8296</t>
  </si>
  <si>
    <t>8298</t>
  </si>
  <si>
    <t>8299</t>
  </si>
  <si>
    <t>8300</t>
  </si>
  <si>
    <t>8303</t>
  </si>
  <si>
    <t>8304</t>
  </si>
  <si>
    <t>8305</t>
  </si>
  <si>
    <t>8306</t>
  </si>
  <si>
    <t>8307</t>
  </si>
  <si>
    <t>8309</t>
  </si>
  <si>
    <t>8316</t>
  </si>
  <si>
    <t>8317</t>
  </si>
  <si>
    <t>8319</t>
  </si>
  <si>
    <t>8320</t>
  </si>
  <si>
    <t>8323</t>
  </si>
  <si>
    <t>8325</t>
  </si>
  <si>
    <t>8326</t>
  </si>
  <si>
    <t>8327</t>
  </si>
  <si>
    <t>8328</t>
  </si>
  <si>
    <t>8330</t>
  </si>
  <si>
    <t>8341</t>
  </si>
  <si>
    <t>8342</t>
  </si>
  <si>
    <t>8343</t>
  </si>
  <si>
    <t>8344</t>
  </si>
  <si>
    <t>8347</t>
  </si>
  <si>
    <t>8348</t>
  </si>
  <si>
    <t>8351</t>
  </si>
  <si>
    <t>8352</t>
  </si>
  <si>
    <t>8354</t>
  </si>
  <si>
    <t>8355</t>
  </si>
  <si>
    <t>8356</t>
  </si>
  <si>
    <t>8357</t>
  </si>
  <si>
    <t>8358</t>
  </si>
  <si>
    <t>8359</t>
  </si>
  <si>
    <t>8363</t>
  </si>
  <si>
    <t>8364</t>
  </si>
  <si>
    <t>8365</t>
  </si>
  <si>
    <t>8366</t>
  </si>
  <si>
    <t>8367</t>
  </si>
  <si>
    <t>8368</t>
  </si>
  <si>
    <t>8369</t>
  </si>
  <si>
    <t>8370</t>
  </si>
  <si>
    <t>8372</t>
  </si>
  <si>
    <t>8373</t>
  </si>
  <si>
    <t>8375</t>
  </si>
  <si>
    <t>8378</t>
  </si>
  <si>
    <t>8379</t>
  </si>
  <si>
    <t>8380</t>
  </si>
  <si>
    <t>8382</t>
  </si>
  <si>
    <t>8384</t>
  </si>
  <si>
    <t>8385</t>
  </si>
  <si>
    <t>8386</t>
  </si>
  <si>
    <t>8387</t>
  </si>
  <si>
    <t>8391</t>
  </si>
  <si>
    <t>8392</t>
  </si>
  <si>
    <t>8393</t>
  </si>
  <si>
    <t>8395</t>
  </si>
  <si>
    <t>8396</t>
  </si>
  <si>
    <t>8397</t>
  </si>
  <si>
    <t>8400</t>
  </si>
  <si>
    <t>8403</t>
  </si>
  <si>
    <t>8407</t>
  </si>
  <si>
    <t>8411</t>
  </si>
  <si>
    <t>8413</t>
  </si>
  <si>
    <t>8415</t>
  </si>
  <si>
    <t>8416</t>
  </si>
  <si>
    <t>8418</t>
  </si>
  <si>
    <t>8419</t>
  </si>
  <si>
    <t>8428</t>
  </si>
  <si>
    <t>8429</t>
  </si>
  <si>
    <t>8430</t>
  </si>
  <si>
    <t>8431</t>
  </si>
  <si>
    <t>8432</t>
  </si>
  <si>
    <t>8434</t>
  </si>
  <si>
    <t>8435</t>
  </si>
  <si>
    <t>8437</t>
  </si>
  <si>
    <t>8438</t>
  </si>
  <si>
    <t>8442</t>
  </si>
  <si>
    <t>8444</t>
  </si>
  <si>
    <t>8445</t>
  </si>
  <si>
    <t>8446</t>
  </si>
  <si>
    <t>8450</t>
  </si>
  <si>
    <t>8452</t>
  </si>
  <si>
    <t>8454</t>
  </si>
  <si>
    <t>8455</t>
  </si>
  <si>
    <t>8458</t>
  </si>
  <si>
    <t>8459</t>
  </si>
  <si>
    <t>8460</t>
  </si>
  <si>
    <t>8461</t>
  </si>
  <si>
    <t>8466</t>
  </si>
  <si>
    <t>8469</t>
  </si>
  <si>
    <t>8470</t>
  </si>
  <si>
    <t>8471</t>
  </si>
  <si>
    <t>8474</t>
  </si>
  <si>
    <t>8478</t>
  </si>
  <si>
    <t>8480</t>
  </si>
  <si>
    <t>8481</t>
  </si>
  <si>
    <t>8482</t>
  </si>
  <si>
    <t>8484</t>
  </si>
  <si>
    <t>8485</t>
  </si>
  <si>
    <t>8486</t>
  </si>
  <si>
    <t>8487</t>
  </si>
  <si>
    <t>8488</t>
  </si>
  <si>
    <t>8489</t>
  </si>
  <si>
    <t>8491</t>
  </si>
  <si>
    <t>8492</t>
  </si>
  <si>
    <t>8495</t>
  </si>
  <si>
    <t>8496</t>
  </si>
  <si>
    <t>8497</t>
  </si>
  <si>
    <t>8498</t>
  </si>
  <si>
    <t>8499</t>
  </si>
  <si>
    <t>8501</t>
  </si>
  <si>
    <t>8502</t>
  </si>
  <si>
    <t>8503</t>
  </si>
  <si>
    <t>8506</t>
  </si>
  <si>
    <t>8507</t>
  </si>
  <si>
    <t>8514</t>
  </si>
  <si>
    <t>8515</t>
  </si>
  <si>
    <t>8517</t>
  </si>
  <si>
    <t>8518</t>
  </si>
  <si>
    <t>8519</t>
  </si>
  <si>
    <t>8520</t>
  </si>
  <si>
    <t>8522</t>
  </si>
  <si>
    <t>8523</t>
  </si>
  <si>
    <t>8524</t>
  </si>
  <si>
    <t>8525</t>
  </si>
  <si>
    <t>8526</t>
  </si>
  <si>
    <t>8527</t>
  </si>
  <si>
    <t>8534</t>
  </si>
  <si>
    <t>8537</t>
  </si>
  <si>
    <t>8538</t>
  </si>
  <si>
    <t>8539</t>
  </si>
  <si>
    <t>8540</t>
  </si>
  <si>
    <t>8541</t>
  </si>
  <si>
    <t>8543</t>
  </si>
  <si>
    <t>8545</t>
  </si>
  <si>
    <t>8546</t>
  </si>
  <si>
    <t>8547</t>
  </si>
  <si>
    <t>8549</t>
  </si>
  <si>
    <t>8550</t>
  </si>
  <si>
    <t>8554</t>
  </si>
  <si>
    <t>8556</t>
  </si>
  <si>
    <t>8557</t>
  </si>
  <si>
    <t>8559</t>
  </si>
  <si>
    <t>8561</t>
  </si>
  <si>
    <t>8565</t>
  </si>
  <si>
    <t>8568</t>
  </si>
  <si>
    <t>8569</t>
  </si>
  <si>
    <t>8570</t>
  </si>
  <si>
    <t>8571</t>
  </si>
  <si>
    <t>8572</t>
  </si>
  <si>
    <t>8573</t>
  </si>
  <si>
    <t>8575</t>
  </si>
  <si>
    <t>8579</t>
  </si>
  <si>
    <t>8580</t>
  </si>
  <si>
    <t>8581</t>
  </si>
  <si>
    <t>8583</t>
  </si>
  <si>
    <t>8584</t>
  </si>
  <si>
    <t>8585</t>
  </si>
  <si>
    <t>8586</t>
  </si>
  <si>
    <t>8587</t>
  </si>
  <si>
    <t>8589</t>
  </si>
  <si>
    <t>8590</t>
  </si>
  <si>
    <t>8591</t>
  </si>
  <si>
    <t>8593</t>
  </si>
  <si>
    <t>8595</t>
  </si>
  <si>
    <t>8597</t>
  </si>
  <si>
    <t>8598</t>
  </si>
  <si>
    <t>8599</t>
  </si>
  <si>
    <t>8603</t>
  </si>
  <si>
    <t>8604</t>
  </si>
  <si>
    <t>8605</t>
  </si>
  <si>
    <t>8609</t>
  </si>
  <si>
    <t>8610</t>
  </si>
  <si>
    <t>8611</t>
  </si>
  <si>
    <t>8612</t>
  </si>
  <si>
    <t>8613</t>
  </si>
  <si>
    <t>8614</t>
  </si>
  <si>
    <t>8616</t>
  </si>
  <si>
    <t>8617</t>
  </si>
  <si>
    <t>8620</t>
  </si>
  <si>
    <t>8621</t>
  </si>
  <si>
    <t>8623</t>
  </si>
  <si>
    <t>8624</t>
  </si>
  <si>
    <t>8625</t>
  </si>
  <si>
    <t>8627</t>
  </si>
  <si>
    <t>8629</t>
  </si>
  <si>
    <t>8632</t>
  </si>
  <si>
    <t>8633</t>
  </si>
  <si>
    <t>8635</t>
  </si>
  <si>
    <t>8636</t>
  </si>
  <si>
    <t>8637</t>
  </si>
  <si>
    <t>8639</t>
  </si>
  <si>
    <t>8640</t>
  </si>
  <si>
    <t>8642</t>
  </si>
  <si>
    <t>8644</t>
  </si>
  <si>
    <t>8647</t>
  </si>
  <si>
    <t>8649</t>
  </si>
  <si>
    <t>8650</t>
  </si>
  <si>
    <t>8651</t>
  </si>
  <si>
    <t>8652</t>
  </si>
  <si>
    <t>8654</t>
  </si>
  <si>
    <t>8655</t>
  </si>
  <si>
    <t>8656</t>
  </si>
  <si>
    <t>8658</t>
  </si>
  <si>
    <t>8659</t>
  </si>
  <si>
    <t>8660</t>
  </si>
  <si>
    <t>8661</t>
  </si>
  <si>
    <t>8663</t>
  </si>
  <si>
    <t>8664</t>
  </si>
  <si>
    <t>8665</t>
  </si>
  <si>
    <t>8666</t>
  </si>
  <si>
    <t>8668</t>
  </si>
  <si>
    <t>8669</t>
  </si>
  <si>
    <t>8670</t>
  </si>
  <si>
    <t>8671</t>
  </si>
  <si>
    <t>8672</t>
  </si>
  <si>
    <t>8673</t>
  </si>
  <si>
    <t>8675</t>
  </si>
  <si>
    <t>8677</t>
  </si>
  <si>
    <t>8678</t>
  </si>
  <si>
    <t>8680</t>
  </si>
  <si>
    <t>8682</t>
  </si>
  <si>
    <t>8683</t>
  </si>
  <si>
    <t>8684</t>
  </si>
  <si>
    <t>8686</t>
  </si>
  <si>
    <t>8687</t>
  </si>
  <si>
    <t>8689</t>
  </si>
  <si>
    <t>8691</t>
  </si>
  <si>
    <t>8692</t>
  </si>
  <si>
    <t>8695</t>
  </si>
  <si>
    <t>8697</t>
  </si>
  <si>
    <t>8699</t>
  </si>
  <si>
    <t>8700</t>
  </si>
  <si>
    <t>8701</t>
  </si>
  <si>
    <t>8702</t>
  </si>
  <si>
    <t>8703</t>
  </si>
  <si>
    <t>8705</t>
  </si>
  <si>
    <t>8706</t>
  </si>
  <si>
    <t>8707</t>
  </si>
  <si>
    <t>8708</t>
  </si>
  <si>
    <t>8712</t>
  </si>
  <si>
    <t>8713</t>
  </si>
  <si>
    <t>8714</t>
  </si>
  <si>
    <t>8715</t>
  </si>
  <si>
    <t>8719</t>
  </si>
  <si>
    <t>8720</t>
  </si>
  <si>
    <t>8721</t>
  </si>
  <si>
    <t>8723</t>
  </si>
  <si>
    <t>8724</t>
  </si>
  <si>
    <t>8725</t>
  </si>
  <si>
    <t>8728</t>
  </si>
  <si>
    <t>8731</t>
  </si>
  <si>
    <t>8733</t>
  </si>
  <si>
    <t>8734</t>
  </si>
  <si>
    <t>8735</t>
  </si>
  <si>
    <t>8738</t>
  </si>
  <si>
    <t>8739</t>
  </si>
  <si>
    <t>8740</t>
  </si>
  <si>
    <t>8741</t>
  </si>
  <si>
    <t>8742</t>
  </si>
  <si>
    <t>8743</t>
  </si>
  <si>
    <t>8744</t>
  </si>
  <si>
    <t>8745</t>
  </si>
  <si>
    <t>8748</t>
  </si>
  <si>
    <t>8749</t>
  </si>
  <si>
    <t>8751</t>
  </si>
  <si>
    <t>8752</t>
  </si>
  <si>
    <t>8753</t>
  </si>
  <si>
    <t>8756</t>
  </si>
  <si>
    <t>8759</t>
  </si>
  <si>
    <t>8761</t>
  </si>
  <si>
    <t>8762</t>
  </si>
  <si>
    <t>8763</t>
  </si>
  <si>
    <t>8764</t>
  </si>
  <si>
    <t>8765</t>
  </si>
  <si>
    <t>8767</t>
  </si>
  <si>
    <t>8770</t>
  </si>
  <si>
    <t>8773</t>
  </si>
  <si>
    <t>8776</t>
  </si>
  <si>
    <t>8777</t>
  </si>
  <si>
    <t>8778</t>
  </si>
  <si>
    <t>8779</t>
  </si>
  <si>
    <t>8780</t>
  </si>
  <si>
    <t>8781</t>
  </si>
  <si>
    <t>8783</t>
  </si>
  <si>
    <t>8785</t>
  </si>
  <si>
    <t>8787</t>
  </si>
  <si>
    <t>8796</t>
  </si>
  <si>
    <t>8797</t>
  </si>
  <si>
    <t>8798</t>
  </si>
  <si>
    <t>8799</t>
  </si>
  <si>
    <t>8801</t>
  </si>
  <si>
    <t>8802</t>
  </si>
  <si>
    <t>8803</t>
  </si>
  <si>
    <t>8804</t>
  </si>
  <si>
    <t>8809</t>
  </si>
  <si>
    <t>8810</t>
  </si>
  <si>
    <t>8811</t>
  </si>
  <si>
    <t>8812</t>
  </si>
  <si>
    <t>8813</t>
  </si>
  <si>
    <t>8814</t>
  </si>
  <si>
    <t>8815</t>
  </si>
  <si>
    <t>8820</t>
  </si>
  <si>
    <t>8822</t>
  </si>
  <si>
    <t>8824</t>
  </si>
  <si>
    <t>8826</t>
  </si>
  <si>
    <t>8827</t>
  </si>
  <si>
    <t>8828</t>
  </si>
  <si>
    <t>8829</t>
  </si>
  <si>
    <t>8830</t>
  </si>
  <si>
    <t>8835</t>
  </si>
  <si>
    <t>8836</t>
  </si>
  <si>
    <t>8837</t>
  </si>
  <si>
    <t>8838</t>
  </si>
  <si>
    <t>8844</t>
  </si>
  <si>
    <t>8845</t>
  </si>
  <si>
    <t>8848</t>
  </si>
  <si>
    <t>8850</t>
  </si>
  <si>
    <t>8853</t>
  </si>
  <si>
    <t>8855</t>
  </si>
  <si>
    <t>8856</t>
  </si>
  <si>
    <t>8857</t>
  </si>
  <si>
    <t>8859</t>
  </si>
  <si>
    <t>8860</t>
  </si>
  <si>
    <t>8861</t>
  </si>
  <si>
    <t>8862</t>
  </si>
  <si>
    <t>8863</t>
  </si>
  <si>
    <t>8864</t>
  </si>
  <si>
    <t>8865</t>
  </si>
  <si>
    <t>8867</t>
  </si>
  <si>
    <t>8869</t>
  </si>
  <si>
    <t>8872</t>
  </si>
  <si>
    <t>8873</t>
  </si>
  <si>
    <t>8874</t>
  </si>
  <si>
    <t>8876</t>
  </si>
  <si>
    <t>8877</t>
  </si>
  <si>
    <t>8878</t>
  </si>
  <si>
    <t>8881</t>
  </si>
  <si>
    <t>8882</t>
  </si>
  <si>
    <t>8883</t>
  </si>
  <si>
    <t>8887</t>
  </si>
  <si>
    <t>8888</t>
  </si>
  <si>
    <t>8890</t>
  </si>
  <si>
    <t>8891</t>
  </si>
  <si>
    <t>8892</t>
  </si>
  <si>
    <t>8895</t>
  </si>
  <si>
    <t>8896</t>
  </si>
  <si>
    <t>8902</t>
  </si>
  <si>
    <t>8903</t>
  </si>
  <si>
    <t>8905</t>
  </si>
  <si>
    <t>8906</t>
  </si>
  <si>
    <t>8908</t>
  </si>
  <si>
    <t>8909</t>
  </si>
  <si>
    <t>8910</t>
  </si>
  <si>
    <t>8913</t>
  </si>
  <si>
    <t>8914</t>
  </si>
  <si>
    <t>8916</t>
  </si>
  <si>
    <t>8919</t>
  </si>
  <si>
    <t>8920</t>
  </si>
  <si>
    <t>8922</t>
  </si>
  <si>
    <t>8923</t>
  </si>
  <si>
    <t>8924</t>
  </si>
  <si>
    <t>8925</t>
  </si>
  <si>
    <t>8926</t>
  </si>
  <si>
    <t>8928</t>
  </si>
  <si>
    <t>8929</t>
  </si>
  <si>
    <t>8930</t>
  </si>
  <si>
    <t>8931</t>
  </si>
  <si>
    <t>8932</t>
  </si>
  <si>
    <t>8933</t>
  </si>
  <si>
    <t>8934</t>
  </si>
  <si>
    <t>8935</t>
  </si>
  <si>
    <t>8937</t>
  </si>
  <si>
    <t>8938</t>
  </si>
  <si>
    <t>8941</t>
  </si>
  <si>
    <t>8942</t>
  </si>
  <si>
    <t>8945</t>
  </si>
  <si>
    <t>8948</t>
  </si>
  <si>
    <t>8949</t>
  </si>
  <si>
    <t>8950</t>
  </si>
  <si>
    <t>8951</t>
  </si>
  <si>
    <t>8954</t>
  </si>
  <si>
    <t>8955</t>
  </si>
  <si>
    <t>8956</t>
  </si>
  <si>
    <t>8957</t>
  </si>
  <si>
    <t>8958</t>
  </si>
  <si>
    <t>8960</t>
  </si>
  <si>
    <t>8961</t>
  </si>
  <si>
    <t>8963</t>
  </si>
  <si>
    <t>8964</t>
  </si>
  <si>
    <t>8966</t>
  </si>
  <si>
    <t>8967</t>
  </si>
  <si>
    <t>8971</t>
  </si>
  <si>
    <t>8972</t>
  </si>
  <si>
    <t>8973</t>
  </si>
  <si>
    <t>8975</t>
  </si>
  <si>
    <t>8976</t>
  </si>
  <si>
    <t>8978</t>
  </si>
  <si>
    <t>8982</t>
  </si>
  <si>
    <t>8984</t>
  </si>
  <si>
    <t>8985</t>
  </si>
  <si>
    <t>8986</t>
  </si>
  <si>
    <t>8987</t>
  </si>
  <si>
    <t>8989</t>
  </si>
  <si>
    <t>8990</t>
  </si>
  <si>
    <t>8995</t>
  </si>
  <si>
    <t>8999</t>
  </si>
  <si>
    <t>9003</t>
  </si>
  <si>
    <t>9005</t>
  </si>
  <si>
    <t>9006</t>
  </si>
  <si>
    <t>9007</t>
  </si>
  <si>
    <t>9008</t>
  </si>
  <si>
    <t>9009</t>
  </si>
  <si>
    <t>9011</t>
  </si>
  <si>
    <t>9012</t>
  </si>
  <si>
    <t>9015</t>
  </si>
  <si>
    <t>9016</t>
  </si>
  <si>
    <t>9017</t>
  </si>
  <si>
    <t>9018</t>
  </si>
  <si>
    <t>9026</t>
  </si>
  <si>
    <t>9032</t>
  </si>
  <si>
    <t>9034</t>
  </si>
  <si>
    <t>9035</t>
  </si>
  <si>
    <t>9036</t>
  </si>
  <si>
    <t>9037</t>
  </si>
  <si>
    <t>9038</t>
  </si>
  <si>
    <t>9041</t>
  </si>
  <si>
    <t>9042</t>
  </si>
  <si>
    <t>9046</t>
  </si>
  <si>
    <t>9047</t>
  </si>
  <si>
    <t>9048</t>
  </si>
  <si>
    <t>9052</t>
  </si>
  <si>
    <t>9054</t>
  </si>
  <si>
    <t>9055</t>
  </si>
  <si>
    <t>9056</t>
  </si>
  <si>
    <t>9058</t>
  </si>
  <si>
    <t>9059</t>
  </si>
  <si>
    <t>9060</t>
  </si>
  <si>
    <t>9062</t>
  </si>
  <si>
    <t>9064</t>
  </si>
  <si>
    <t>9065</t>
  </si>
  <si>
    <t>9066</t>
  </si>
  <si>
    <t>9068</t>
  </si>
  <si>
    <t>9069</t>
  </si>
  <si>
    <t>9070</t>
  </si>
  <si>
    <t>9071</t>
  </si>
  <si>
    <t>9072</t>
  </si>
  <si>
    <t>9073</t>
  </si>
  <si>
    <t>9074</t>
  </si>
  <si>
    <t>9075</t>
  </si>
  <si>
    <t>9076</t>
  </si>
  <si>
    <t>9078</t>
  </si>
  <si>
    <t>9079</t>
  </si>
  <si>
    <t>9080</t>
  </si>
  <si>
    <t>9081</t>
  </si>
  <si>
    <t>9082</t>
  </si>
  <si>
    <t>9083</t>
  </si>
  <si>
    <t>9084</t>
  </si>
  <si>
    <t>9089</t>
  </si>
  <si>
    <t>9094</t>
  </si>
  <si>
    <t>9096</t>
  </si>
  <si>
    <t>9097</t>
  </si>
  <si>
    <t>9099</t>
  </si>
  <si>
    <t>9100</t>
  </si>
  <si>
    <t>9102</t>
  </si>
  <si>
    <t>9103</t>
  </si>
  <si>
    <t>9104</t>
  </si>
  <si>
    <t>9105</t>
  </si>
  <si>
    <t>9106</t>
  </si>
  <si>
    <t>9107</t>
  </si>
  <si>
    <t>9108</t>
  </si>
  <si>
    <t>9111</t>
  </si>
  <si>
    <t>9112</t>
  </si>
  <si>
    <t>9113</t>
  </si>
  <si>
    <t>9115</t>
  </si>
  <si>
    <t>9116</t>
  </si>
  <si>
    <t>9117</t>
  </si>
  <si>
    <t>9118</t>
  </si>
  <si>
    <t>9119</t>
  </si>
  <si>
    <t>9120</t>
  </si>
  <si>
    <t>9121</t>
  </si>
  <si>
    <t>9123</t>
  </si>
  <si>
    <t>9126</t>
  </si>
  <si>
    <t>9129</t>
  </si>
  <si>
    <t>9130</t>
  </si>
  <si>
    <t>9132</t>
  </si>
  <si>
    <t>9133</t>
  </si>
  <si>
    <t>9134</t>
  </si>
  <si>
    <t>9138</t>
  </si>
  <si>
    <t>9148</t>
  </si>
  <si>
    <t>9149</t>
  </si>
  <si>
    <t>9151</t>
  </si>
  <si>
    <t>9152</t>
  </si>
  <si>
    <t>9153</t>
  </si>
  <si>
    <t>9156</t>
  </si>
  <si>
    <t>9157</t>
  </si>
  <si>
    <t>9162</t>
  </si>
  <si>
    <t>9163</t>
  </si>
  <si>
    <t>9164</t>
  </si>
  <si>
    <t>9165</t>
  </si>
  <si>
    <t>9166</t>
  </si>
  <si>
    <t>9167</t>
  </si>
  <si>
    <t>9168</t>
  </si>
  <si>
    <t>9169</t>
  </si>
  <si>
    <t>9170</t>
  </si>
  <si>
    <t>9171</t>
  </si>
  <si>
    <t>9172</t>
  </si>
  <si>
    <t>9173</t>
  </si>
  <si>
    <t>9177</t>
  </si>
  <si>
    <t>9179</t>
  </si>
  <si>
    <t>9183</t>
  </si>
  <si>
    <t>9184</t>
  </si>
  <si>
    <t>9186</t>
  </si>
  <si>
    <t>9187</t>
  </si>
  <si>
    <t>9188</t>
  </si>
  <si>
    <t>9189</t>
  </si>
  <si>
    <t>9190</t>
  </si>
  <si>
    <t>9191</t>
  </si>
  <si>
    <t>9192</t>
  </si>
  <si>
    <t>9198</t>
  </si>
  <si>
    <t>9200</t>
  </si>
  <si>
    <t>9201</t>
  </si>
  <si>
    <t>9202</t>
  </si>
  <si>
    <t>9204</t>
  </si>
  <si>
    <t>9205</t>
  </si>
  <si>
    <t>9207</t>
  </si>
  <si>
    <t>9208</t>
  </si>
  <si>
    <t>9209</t>
  </si>
  <si>
    <t>9211</t>
  </si>
  <si>
    <t>9213</t>
  </si>
  <si>
    <t>9215</t>
  </si>
  <si>
    <t>9216</t>
  </si>
  <si>
    <t>9217</t>
  </si>
  <si>
    <t>9218</t>
  </si>
  <si>
    <t>9219</t>
  </si>
  <si>
    <t>9220</t>
  </si>
  <si>
    <t>9221</t>
  </si>
  <si>
    <t>9222</t>
  </si>
  <si>
    <t>9223</t>
  </si>
  <si>
    <t>9224</t>
  </si>
  <si>
    <t>9225</t>
  </si>
  <si>
    <t>9226</t>
  </si>
  <si>
    <t>9228</t>
  </si>
  <si>
    <t>9229</t>
  </si>
  <si>
    <t>9230</t>
  </si>
  <si>
    <t>9232</t>
  </si>
  <si>
    <t>9234</t>
  </si>
  <si>
    <t>9235</t>
  </si>
  <si>
    <t>9237</t>
  </si>
  <si>
    <t>9238</t>
  </si>
  <si>
    <t>9240</t>
  </si>
  <si>
    <t>9241</t>
  </si>
  <si>
    <t>9242</t>
  </si>
  <si>
    <t>9243</t>
  </si>
  <si>
    <t>9244</t>
  </si>
  <si>
    <t>9246</t>
  </si>
  <si>
    <t>9247</t>
  </si>
  <si>
    <t>9250</t>
  </si>
  <si>
    <t>9251</t>
  </si>
  <si>
    <t>9252</t>
  </si>
  <si>
    <t>9253</t>
  </si>
  <si>
    <t>9257</t>
  </si>
  <si>
    <t>9259</t>
  </si>
  <si>
    <t>9260</t>
  </si>
  <si>
    <t>9261</t>
  </si>
  <si>
    <t>9262</t>
  </si>
  <si>
    <t>9266</t>
  </si>
  <si>
    <t>9268</t>
  </si>
  <si>
    <t>9269</t>
  </si>
  <si>
    <t>9273</t>
  </si>
  <si>
    <t>9276</t>
  </si>
  <si>
    <t>9279</t>
  </si>
  <si>
    <t>9280</t>
  </si>
  <si>
    <t>9283</t>
  </si>
  <si>
    <t>9284</t>
  </si>
  <si>
    <t>9286</t>
  </si>
  <si>
    <t>9287</t>
  </si>
  <si>
    <t>9288</t>
  </si>
  <si>
    <t>9289</t>
  </si>
  <si>
    <t>9290</t>
  </si>
  <si>
    <t>9291</t>
  </si>
  <si>
    <t>9292</t>
  </si>
  <si>
    <t>9294</t>
  </si>
  <si>
    <t>9297</t>
  </si>
  <si>
    <t>9298</t>
  </si>
  <si>
    <t>9299</t>
  </si>
  <si>
    <t>9300</t>
  </si>
  <si>
    <t>9302</t>
  </si>
  <si>
    <t>9303</t>
  </si>
  <si>
    <t>9304</t>
  </si>
  <si>
    <t>9305</t>
  </si>
  <si>
    <t>9310</t>
  </si>
  <si>
    <t>9312</t>
  </si>
  <si>
    <t>9313</t>
  </si>
  <si>
    <t>9314</t>
  </si>
  <si>
    <t>9315</t>
  </si>
  <si>
    <t>9316</t>
  </si>
  <si>
    <t>9318</t>
  </si>
  <si>
    <t>9319</t>
  </si>
  <si>
    <t>9321</t>
  </si>
  <si>
    <t>9322</t>
  </si>
  <si>
    <t>9324</t>
  </si>
  <si>
    <t>9325</t>
  </si>
  <si>
    <t>9326</t>
  </si>
  <si>
    <t>9328</t>
  </si>
  <si>
    <t>9332</t>
  </si>
  <si>
    <t>9336</t>
  </si>
  <si>
    <t>9337</t>
  </si>
  <si>
    <t>9339</t>
  </si>
  <si>
    <t>9340</t>
  </si>
  <si>
    <t>9341</t>
  </si>
  <si>
    <t>9342</t>
  </si>
  <si>
    <t>9343</t>
  </si>
  <si>
    <t>9344</t>
  </si>
  <si>
    <t>9345</t>
  </si>
  <si>
    <t>9346</t>
  </si>
  <si>
    <t>9347</t>
  </si>
  <si>
    <t>9349</t>
  </si>
  <si>
    <t>9352</t>
  </si>
  <si>
    <t>9353</t>
  </si>
  <si>
    <t>9355</t>
  </si>
  <si>
    <t>9359</t>
  </si>
  <si>
    <t>9362</t>
  </si>
  <si>
    <t>9366</t>
  </si>
  <si>
    <t>9367</t>
  </si>
  <si>
    <t>9370</t>
  </si>
  <si>
    <t>9372</t>
  </si>
  <si>
    <t>9373</t>
  </si>
  <si>
    <t>9376</t>
  </si>
  <si>
    <t>9377</t>
  </si>
  <si>
    <t>9378</t>
  </si>
  <si>
    <t>9379</t>
  </si>
  <si>
    <t>9380</t>
  </si>
  <si>
    <t>9381</t>
  </si>
  <si>
    <t>9382</t>
  </si>
  <si>
    <t>9383</t>
  </si>
  <si>
    <t>9385</t>
  </si>
  <si>
    <t>9386</t>
  </si>
  <si>
    <t>9388</t>
  </si>
  <si>
    <t>9389</t>
  </si>
  <si>
    <t>9391</t>
  </si>
  <si>
    <t>9393</t>
  </si>
  <si>
    <t>9394</t>
  </si>
  <si>
    <t>9395</t>
  </si>
  <si>
    <t>9396</t>
  </si>
  <si>
    <t>9397</t>
  </si>
  <si>
    <t>9400</t>
  </si>
  <si>
    <t>9401</t>
  </si>
  <si>
    <t>9402</t>
  </si>
  <si>
    <t>9403</t>
  </si>
  <si>
    <t>9404</t>
  </si>
  <si>
    <t>9405</t>
  </si>
  <si>
    <t>9406</t>
  </si>
  <si>
    <t>9409</t>
  </si>
  <si>
    <t>9412</t>
  </si>
  <si>
    <t>9413</t>
  </si>
  <si>
    <t>9414</t>
  </si>
  <si>
    <t>9416</t>
  </si>
  <si>
    <t>9418</t>
  </si>
  <si>
    <t>9422</t>
  </si>
  <si>
    <t>9424</t>
  </si>
  <si>
    <t>9425</t>
  </si>
  <si>
    <t>9426</t>
  </si>
  <si>
    <t>9428</t>
  </si>
  <si>
    <t>9432</t>
  </si>
  <si>
    <t>9433</t>
  </si>
  <si>
    <t>9436</t>
  </si>
  <si>
    <t>9439</t>
  </si>
  <si>
    <t>9440</t>
  </si>
  <si>
    <t>9441</t>
  </si>
  <si>
    <t>9442</t>
  </si>
  <si>
    <t>9443</t>
  </si>
  <si>
    <t>9445</t>
  </si>
  <si>
    <t>9446</t>
  </si>
  <si>
    <t>9447</t>
  </si>
  <si>
    <t>9448</t>
  </si>
  <si>
    <t>9449</t>
  </si>
  <si>
    <t>9450</t>
  </si>
  <si>
    <t>9454</t>
  </si>
  <si>
    <t>9456</t>
  </si>
  <si>
    <t>9458</t>
  </si>
  <si>
    <t>9460</t>
  </si>
  <si>
    <t>9464</t>
  </si>
  <si>
    <t>9465</t>
  </si>
  <si>
    <t>9466</t>
  </si>
  <si>
    <t>9467</t>
  </si>
  <si>
    <t>9468</t>
  </si>
  <si>
    <t>9469</t>
  </si>
  <si>
    <t>9470</t>
  </si>
  <si>
    <t>9471</t>
  </si>
  <si>
    <t>9472</t>
  </si>
  <si>
    <t>9474</t>
  </si>
  <si>
    <t>9475</t>
  </si>
  <si>
    <t>9476</t>
  </si>
  <si>
    <t>9477</t>
  </si>
  <si>
    <t>9479</t>
  </si>
  <si>
    <t>9482</t>
  </si>
  <si>
    <t>9485</t>
  </si>
  <si>
    <t>9486</t>
  </si>
  <si>
    <t>9487</t>
  </si>
  <si>
    <t>9488</t>
  </si>
  <si>
    <t>9490</t>
  </si>
  <si>
    <t>9493</t>
  </si>
  <si>
    <t>9494</t>
  </si>
  <si>
    <t>9495</t>
  </si>
  <si>
    <t>9496</t>
  </si>
  <si>
    <t>9497</t>
  </si>
  <si>
    <t>9498</t>
  </si>
  <si>
    <t>9499</t>
  </si>
  <si>
    <t>9500</t>
  </si>
  <si>
    <t>9504</t>
  </si>
  <si>
    <t>9505</t>
  </si>
  <si>
    <t>9507</t>
  </si>
  <si>
    <t>9508</t>
  </si>
  <si>
    <t>9509</t>
  </si>
  <si>
    <t>9513</t>
  </si>
  <si>
    <t>9514</t>
  </si>
  <si>
    <t>9515</t>
  </si>
  <si>
    <t>9516</t>
  </si>
  <si>
    <t>9520</t>
  </si>
  <si>
    <t>9521</t>
  </si>
  <si>
    <t>9526</t>
  </si>
  <si>
    <t>9527</t>
  </si>
  <si>
    <t>9528</t>
  </si>
  <si>
    <t>9529</t>
  </si>
  <si>
    <t>9530</t>
  </si>
  <si>
    <t>9532</t>
  </si>
  <si>
    <t>9533</t>
  </si>
  <si>
    <t>9535</t>
  </si>
  <si>
    <t>9536</t>
  </si>
  <si>
    <t>9538</t>
  </si>
  <si>
    <t>9539</t>
  </si>
  <si>
    <t>9541</t>
  </si>
  <si>
    <t>9546</t>
  </si>
  <si>
    <t>9547</t>
  </si>
  <si>
    <t>9549</t>
  </si>
  <si>
    <t>9550</t>
  </si>
  <si>
    <t>9553</t>
  </si>
  <si>
    <t>9557</t>
  </si>
  <si>
    <t>9558</t>
  </si>
  <si>
    <t>9559</t>
  </si>
  <si>
    <t>9560</t>
  </si>
  <si>
    <t>9562</t>
  </si>
  <si>
    <t>9563</t>
  </si>
  <si>
    <t>9564</t>
  </si>
  <si>
    <t>9566</t>
  </si>
  <si>
    <t>9568</t>
  </si>
  <si>
    <t>9569</t>
  </si>
  <si>
    <t>9570</t>
  </si>
  <si>
    <t>9572</t>
  </si>
  <si>
    <t>9574</t>
  </si>
  <si>
    <t>9575</t>
  </si>
  <si>
    <t>9576</t>
  </si>
  <si>
    <t>9584</t>
  </si>
  <si>
    <t>9585</t>
  </si>
  <si>
    <t>9586</t>
  </si>
  <si>
    <t>9588</t>
  </si>
  <si>
    <t>9589</t>
  </si>
  <si>
    <t>9591</t>
  </si>
  <si>
    <t>9592</t>
  </si>
  <si>
    <t>9593</t>
  </si>
  <si>
    <t>9596</t>
  </si>
  <si>
    <t>9597</t>
  </si>
  <si>
    <t>9598</t>
  </si>
  <si>
    <t>9601</t>
  </si>
  <si>
    <t>9604</t>
  </si>
  <si>
    <t>9610</t>
  </si>
  <si>
    <t>9612</t>
  </si>
  <si>
    <t>9614</t>
  </si>
  <si>
    <t>9615</t>
  </si>
  <si>
    <t>9616</t>
  </si>
  <si>
    <t>9617</t>
  </si>
  <si>
    <t>9620</t>
  </si>
  <si>
    <t>9621</t>
  </si>
  <si>
    <t>9622</t>
  </si>
  <si>
    <t>9623</t>
  </si>
  <si>
    <t>9624</t>
  </si>
  <si>
    <t>9626</t>
  </si>
  <si>
    <t>9627</t>
  </si>
  <si>
    <t>9628</t>
  </si>
  <si>
    <t>9629</t>
  </si>
  <si>
    <t>9630</t>
  </si>
  <si>
    <t>9631</t>
  </si>
  <si>
    <t>9633</t>
  </si>
  <si>
    <t>9634</t>
  </si>
  <si>
    <t>9638</t>
  </si>
  <si>
    <t>9643</t>
  </si>
  <si>
    <t>9645</t>
  </si>
  <si>
    <t>9646</t>
  </si>
  <si>
    <t>9647</t>
  </si>
  <si>
    <t>9649</t>
  </si>
  <si>
    <t>9651</t>
  </si>
  <si>
    <t>9652</t>
  </si>
  <si>
    <t>9653</t>
  </si>
  <si>
    <t>9654</t>
  </si>
  <si>
    <t>9656</t>
  </si>
  <si>
    <t>9660</t>
  </si>
  <si>
    <t>9662</t>
  </si>
  <si>
    <t>9663</t>
  </si>
  <si>
    <t>9665</t>
  </si>
  <si>
    <t>9667</t>
  </si>
  <si>
    <t>9668</t>
  </si>
  <si>
    <t>9670</t>
  </si>
  <si>
    <t>9671</t>
  </si>
  <si>
    <t>9672</t>
  </si>
  <si>
    <t>9673</t>
  </si>
  <si>
    <t>9674</t>
  </si>
  <si>
    <t>9675</t>
  </si>
  <si>
    <t>9676</t>
  </si>
  <si>
    <t>9678</t>
  </si>
  <si>
    <t>9680</t>
  </si>
  <si>
    <t>9682</t>
  </si>
  <si>
    <t>9683</t>
  </si>
  <si>
    <t>9686</t>
  </si>
  <si>
    <t>9687</t>
  </si>
  <si>
    <t>9688</t>
  </si>
  <si>
    <t>9690</t>
  </si>
  <si>
    <t>9692</t>
  </si>
  <si>
    <t>9693</t>
  </si>
  <si>
    <t>9694</t>
  </si>
  <si>
    <t>9696</t>
  </si>
  <si>
    <t>9699</t>
  </si>
  <si>
    <t>9700</t>
  </si>
  <si>
    <t>9701</t>
  </si>
  <si>
    <t>9702</t>
  </si>
  <si>
    <t>9703</t>
  </si>
  <si>
    <t>9705</t>
  </si>
  <si>
    <t>9707</t>
  </si>
  <si>
    <t>9708</t>
  </si>
  <si>
    <t>9710</t>
  </si>
  <si>
    <t>9711</t>
  </si>
  <si>
    <t>9712</t>
  </si>
  <si>
    <t>9715</t>
  </si>
  <si>
    <t>9716</t>
  </si>
  <si>
    <t>9718</t>
  </si>
  <si>
    <t>9720</t>
  </si>
  <si>
    <t>9721</t>
  </si>
  <si>
    <t>9722</t>
  </si>
  <si>
    <t>9724</t>
  </si>
  <si>
    <t>9725</t>
  </si>
  <si>
    <t>9726</t>
  </si>
  <si>
    <t>9728</t>
  </si>
  <si>
    <t>9729</t>
  </si>
  <si>
    <t>9731</t>
  </si>
  <si>
    <t>9732</t>
  </si>
  <si>
    <t>9733</t>
  </si>
  <si>
    <t>9734</t>
  </si>
  <si>
    <t>9735</t>
  </si>
  <si>
    <t>9736</t>
  </si>
  <si>
    <t>9739</t>
  </si>
  <si>
    <t>9740</t>
  </si>
  <si>
    <t>9742</t>
  </si>
  <si>
    <t>9743</t>
  </si>
  <si>
    <t>9744</t>
  </si>
  <si>
    <t>9745</t>
  </si>
  <si>
    <t>9746</t>
  </si>
  <si>
    <t>9747</t>
  </si>
  <si>
    <t>9749</t>
  </si>
  <si>
    <t>9751</t>
  </si>
  <si>
    <t>9752</t>
  </si>
  <si>
    <t>9753</t>
  </si>
  <si>
    <t>9754</t>
  </si>
  <si>
    <t>9757</t>
  </si>
  <si>
    <t>9759</t>
  </si>
  <si>
    <t>9764</t>
  </si>
  <si>
    <t>9766</t>
  </si>
  <si>
    <t>9768</t>
  </si>
  <si>
    <t>9769</t>
  </si>
  <si>
    <t>9771</t>
  </si>
  <si>
    <t>9772</t>
  </si>
  <si>
    <t>9773</t>
  </si>
  <si>
    <t>9774</t>
  </si>
  <si>
    <t>9775</t>
  </si>
  <si>
    <t>9776</t>
  </si>
  <si>
    <t>9778</t>
  </si>
  <si>
    <t>9779</t>
  </si>
  <si>
    <t>9780</t>
  </si>
  <si>
    <t>9783</t>
  </si>
  <si>
    <t>9785</t>
  </si>
  <si>
    <t>9787</t>
  </si>
  <si>
    <t>9788</t>
  </si>
  <si>
    <t>9789</t>
  </si>
  <si>
    <t>9790</t>
  </si>
  <si>
    <t>9791</t>
  </si>
  <si>
    <t>9792</t>
  </si>
  <si>
    <t>9793</t>
  </si>
  <si>
    <t>9794</t>
  </si>
  <si>
    <t>9796</t>
  </si>
  <si>
    <t>9802</t>
  </si>
  <si>
    <t>9803</t>
  </si>
  <si>
    <t>9805</t>
  </si>
  <si>
    <t>9806</t>
  </si>
  <si>
    <t>9807</t>
  </si>
  <si>
    <t>9809</t>
  </si>
  <si>
    <t>9810</t>
  </si>
  <si>
    <t>9812</t>
  </si>
  <si>
    <t>9813</t>
  </si>
  <si>
    <t>9814</t>
  </si>
  <si>
    <t>9816</t>
  </si>
  <si>
    <t>9817</t>
  </si>
  <si>
    <t>9818</t>
  </si>
  <si>
    <t>9819</t>
  </si>
  <si>
    <t>9821</t>
  </si>
  <si>
    <t>9829</t>
  </si>
  <si>
    <t>9831</t>
  </si>
  <si>
    <t>9833</t>
  </si>
  <si>
    <t>9836</t>
  </si>
  <si>
    <t>9837</t>
  </si>
  <si>
    <t>9838</t>
  </si>
  <si>
    <t>9843</t>
  </si>
  <si>
    <t>9844</t>
  </si>
  <si>
    <t>9848</t>
  </si>
  <si>
    <t>9852</t>
  </si>
  <si>
    <t>9855</t>
  </si>
  <si>
    <t>9856</t>
  </si>
  <si>
    <t>9857</t>
  </si>
  <si>
    <t>9859</t>
  </si>
  <si>
    <t>9860</t>
  </si>
  <si>
    <t>9861</t>
  </si>
  <si>
    <t>9862</t>
  </si>
  <si>
    <t>9863</t>
  </si>
  <si>
    <t>9864</t>
  </si>
  <si>
    <t>9865</t>
  </si>
  <si>
    <t>9866</t>
  </si>
  <si>
    <t>9868</t>
  </si>
  <si>
    <t>9869</t>
  </si>
  <si>
    <t>9870</t>
  </si>
  <si>
    <t>9871</t>
  </si>
  <si>
    <t>9874</t>
  </si>
  <si>
    <t>9876</t>
  </si>
  <si>
    <t>9879</t>
  </si>
  <si>
    <t>9880</t>
  </si>
  <si>
    <t>9882</t>
  </si>
  <si>
    <t>9883</t>
  </si>
  <si>
    <t>9885</t>
  </si>
  <si>
    <t>9886</t>
  </si>
  <si>
    <t>9887</t>
  </si>
  <si>
    <t>9888</t>
  </si>
  <si>
    <t>9889</t>
  </si>
  <si>
    <t>9890</t>
  </si>
  <si>
    <t>9891</t>
  </si>
  <si>
    <t>9892</t>
  </si>
  <si>
    <t>9893</t>
  </si>
  <si>
    <t>9898</t>
  </si>
  <si>
    <t>9899</t>
  </si>
  <si>
    <t>9900</t>
  </si>
  <si>
    <t>9901</t>
  </si>
  <si>
    <t>9902</t>
  </si>
  <si>
    <t>9903</t>
  </si>
  <si>
    <t>9904</t>
  </si>
  <si>
    <t>9907</t>
  </si>
  <si>
    <t>9910</t>
  </si>
  <si>
    <t>9911</t>
  </si>
  <si>
    <t>9913</t>
  </si>
  <si>
    <t>9914</t>
  </si>
  <si>
    <t>9917</t>
  </si>
  <si>
    <t>9918</t>
  </si>
  <si>
    <t>9919</t>
  </si>
  <si>
    <t>9920</t>
  </si>
  <si>
    <t>9922</t>
  </si>
  <si>
    <t>9924</t>
  </si>
  <si>
    <t>9925</t>
  </si>
  <si>
    <t>9928</t>
  </si>
  <si>
    <t>9929</t>
  </si>
  <si>
    <t>9930</t>
  </si>
  <si>
    <t>9931</t>
  </si>
  <si>
    <t>9935</t>
  </si>
  <si>
    <t>9936</t>
  </si>
  <si>
    <t>9941</t>
  </si>
  <si>
    <t>9942</t>
  </si>
  <si>
    <t>9943</t>
  </si>
  <si>
    <t>9944</t>
  </si>
  <si>
    <t>9945</t>
  </si>
  <si>
    <t>9946</t>
  </si>
  <si>
    <t>9950</t>
  </si>
  <si>
    <t>9951</t>
  </si>
  <si>
    <t>9952</t>
  </si>
  <si>
    <t>9953</t>
  </si>
  <si>
    <t>9955</t>
  </si>
  <si>
    <t>9956</t>
  </si>
  <si>
    <t>9958</t>
  </si>
  <si>
    <t>9960</t>
  </si>
  <si>
    <t>9962</t>
  </si>
  <si>
    <t>9963</t>
  </si>
  <si>
    <t>9964</t>
  </si>
  <si>
    <t>9965</t>
  </si>
  <si>
    <t>9967</t>
  </si>
  <si>
    <t>9970</t>
  </si>
  <si>
    <t>9972</t>
  </si>
  <si>
    <t>9977</t>
  </si>
  <si>
    <t>9978</t>
  </si>
  <si>
    <t>9979</t>
  </si>
  <si>
    <t>9980</t>
  </si>
  <si>
    <t>9982</t>
  </si>
  <si>
    <t>9983</t>
  </si>
  <si>
    <t>9985</t>
  </si>
  <si>
    <t>9986</t>
  </si>
  <si>
    <t>9988</t>
  </si>
  <si>
    <t>9989</t>
  </si>
  <si>
    <t>9990</t>
  </si>
  <si>
    <t>9995</t>
  </si>
  <si>
    <t>9996</t>
  </si>
  <si>
    <t>9998</t>
  </si>
  <si>
    <t>9999</t>
  </si>
  <si>
    <t>10000</t>
  </si>
  <si>
    <t>10001</t>
  </si>
  <si>
    <t>10002</t>
  </si>
  <si>
    <t>10003</t>
  </si>
  <si>
    <t>10004</t>
  </si>
  <si>
    <t>10006</t>
  </si>
  <si>
    <t>10007</t>
  </si>
  <si>
    <t>10008</t>
  </si>
  <si>
    <t>10010</t>
  </si>
  <si>
    <t>10012</t>
  </si>
  <si>
    <t>10013</t>
  </si>
  <si>
    <t>10016</t>
  </si>
  <si>
    <t>10019</t>
  </si>
  <si>
    <t>10022</t>
  </si>
  <si>
    <t>10023</t>
  </si>
  <si>
    <t>10026</t>
  </si>
  <si>
    <t>10028</t>
  </si>
  <si>
    <t>10029</t>
  </si>
  <si>
    <t>10032</t>
  </si>
  <si>
    <t>10033</t>
  </si>
  <si>
    <t>10034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</si>
  <si>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</si>
  <si>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</si>
  <si>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</si>
  <si>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</si>
  <si>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</si>
  <si>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</si>
  <si>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</si>
  <si>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</si>
  <si>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</si>
  <si>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10047</t>
  </si>
  <si>
    <t>10050</t>
  </si>
  <si>
    <t>10051</t>
  </si>
  <si>
    <t>10052</t>
  </si>
  <si>
    <t>10055</t>
  </si>
  <si>
    <t>10058</t>
  </si>
  <si>
    <t>10059</t>
  </si>
  <si>
    <t>10060</t>
  </si>
  <si>
    <t>10061</t>
  </si>
  <si>
    <t>10063</t>
  </si>
  <si>
    <t>10064</t>
  </si>
  <si>
    <t>10065</t>
  </si>
  <si>
    <t>10066</t>
  </si>
  <si>
    <t>10068</t>
  </si>
  <si>
    <t>10069</t>
  </si>
  <si>
    <t>10072</t>
  </si>
  <si>
    <t>10073</t>
  </si>
  <si>
    <t>10074</t>
  </si>
  <si>
    <t>10077</t>
  </si>
  <si>
    <t>10078</t>
  </si>
  <si>
    <t>10080</t>
  </si>
  <si>
    <t>10084</t>
  </si>
  <si>
    <t>10085</t>
  </si>
  <si>
    <t>10087</t>
  </si>
  <si>
    <t>10088</t>
  </si>
  <si>
    <t>10090</t>
  </si>
  <si>
    <t>10091</t>
  </si>
  <si>
    <t>10092</t>
  </si>
  <si>
    <t>10093</t>
  </si>
  <si>
    <t>10094</t>
  </si>
  <si>
    <t>10097</t>
  </si>
  <si>
    <t>10098</t>
  </si>
  <si>
    <t>10099</t>
  </si>
  <si>
    <t>10101</t>
  </si>
  <si>
    <t>10103</t>
  </si>
  <si>
    <t>10105</t>
  </si>
  <si>
    <t>10106</t>
  </si>
  <si>
    <t>10108</t>
  </si>
  <si>
    <t>10109</t>
  </si>
  <si>
    <t>10110</t>
  </si>
  <si>
    <t>10111</t>
  </si>
  <si>
    <t>10112</t>
  </si>
  <si>
    <t>10114</t>
  </si>
  <si>
    <t>10115</t>
  </si>
  <si>
    <t>10119</t>
  </si>
  <si>
    <t>10120</t>
  </si>
  <si>
    <t>10123</t>
  </si>
  <si>
    <t>10124</t>
  </si>
  <si>
    <t>10125</t>
  </si>
  <si>
    <t>10126</t>
  </si>
  <si>
    <t>10127</t>
  </si>
  <si>
    <t>10130</t>
  </si>
  <si>
    <t>10132</t>
  </si>
  <si>
    <t>10133</t>
  </si>
  <si>
    <t>10134</t>
  </si>
  <si>
    <t>10136</t>
  </si>
  <si>
    <t>10140</t>
  </si>
  <si>
    <t>10145</t>
  </si>
  <si>
    <t>10147</t>
  </si>
  <si>
    <t>10149</t>
  </si>
  <si>
    <t>10150</t>
  </si>
  <si>
    <t>10151</t>
  </si>
  <si>
    <t>10152</t>
  </si>
  <si>
    <t>10155</t>
  </si>
  <si>
    <t>10168</t>
  </si>
  <si>
    <t>10169</t>
  </si>
  <si>
    <t>10170</t>
  </si>
  <si>
    <t>10171</t>
  </si>
  <si>
    <t>10173</t>
  </si>
  <si>
    <t>10175</t>
  </si>
  <si>
    <t>10177</t>
  </si>
  <si>
    <t>10179</t>
  </si>
  <si>
    <t>10180</t>
  </si>
  <si>
    <t>10182</t>
  </si>
  <si>
    <t>10183</t>
  </si>
  <si>
    <t>10184</t>
  </si>
  <si>
    <t>10185</t>
  </si>
  <si>
    <t>10187</t>
  </si>
  <si>
    <t>10188</t>
  </si>
  <si>
    <t>10189</t>
  </si>
  <si>
    <t>10190</t>
  </si>
  <si>
    <t>10192</t>
  </si>
  <si>
    <t>10193</t>
  </si>
  <si>
    <t>10197</t>
  </si>
  <si>
    <t>10198</t>
  </si>
  <si>
    <t>10201</t>
  </si>
  <si>
    <t>10203</t>
  </si>
  <si>
    <t>10205</t>
  </si>
  <si>
    <t>10209</t>
  </si>
  <si>
    <t>10211</t>
  </si>
  <si>
    <t>10213</t>
  </si>
  <si>
    <t>10214</t>
  </si>
  <si>
    <t>10216</t>
  </si>
  <si>
    <t>10217</t>
  </si>
  <si>
    <t>10219</t>
  </si>
  <si>
    <t>10220</t>
  </si>
  <si>
    <t>10221</t>
  </si>
  <si>
    <t>10223</t>
  </si>
  <si>
    <t>10224</t>
  </si>
  <si>
    <t>10225</t>
  </si>
  <si>
    <t>10227</t>
  </si>
  <si>
    <t>10229</t>
  </si>
  <si>
    <t>10230</t>
  </si>
  <si>
    <t>10234</t>
  </si>
  <si>
    <t>10235</t>
  </si>
  <si>
    <t>10238</t>
  </si>
  <si>
    <t>10239</t>
  </si>
  <si>
    <t>10240</t>
  </si>
  <si>
    <t>10241</t>
  </si>
  <si>
    <t>10242</t>
  </si>
  <si>
    <t>10243</t>
  </si>
  <si>
    <t>10245</t>
  </si>
  <si>
    <t>10249</t>
  </si>
  <si>
    <t>10251</t>
  </si>
  <si>
    <t>10252</t>
  </si>
  <si>
    <t>10253</t>
  </si>
  <si>
    <t>10254</t>
  </si>
  <si>
    <t>10258</t>
  </si>
  <si>
    <t>10263</t>
  </si>
  <si>
    <t>10265</t>
  </si>
  <si>
    <t>10266</t>
  </si>
  <si>
    <t>10270</t>
  </si>
  <si>
    <t>10271</t>
  </si>
  <si>
    <t>10272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</si>
  <si>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</si>
  <si>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</si>
  <si>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</si>
  <si>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</si>
  <si>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</si>
  <si>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</si>
  <si>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</si>
  <si>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</si>
  <si>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10286</t>
  </si>
  <si>
    <t>10287</t>
  </si>
  <si>
    <t>10288</t>
  </si>
  <si>
    <t>10291</t>
  </si>
  <si>
    <t>10293</t>
  </si>
  <si>
    <t>10296</t>
  </si>
  <si>
    <t>10297</t>
  </si>
  <si>
    <t>10299</t>
  </si>
  <si>
    <t>10300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</si>
  <si>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</si>
  <si>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</si>
  <si>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</si>
  <si>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</si>
  <si>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</si>
  <si>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</si>
  <si>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</si>
  <si>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</si>
  <si>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</si>
  <si>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10312</t>
  </si>
  <si>
    <t>10313</t>
  </si>
  <si>
    <t>10319</t>
  </si>
  <si>
    <t>10320</t>
  </si>
  <si>
    <t>10321</t>
  </si>
  <si>
    <t>10323</t>
  </si>
  <si>
    <t>10326</t>
  </si>
  <si>
    <t>10329</t>
  </si>
  <si>
    <t>10331</t>
  </si>
  <si>
    <t>10335</t>
  </si>
  <si>
    <t>10336</t>
  </si>
  <si>
    <t>10337</t>
  </si>
  <si>
    <t>10338</t>
  </si>
  <si>
    <t>10339</t>
  </si>
  <si>
    <t>10340</t>
  </si>
  <si>
    <t>10342</t>
  </si>
  <si>
    <t>10344</t>
  </si>
  <si>
    <t>10345</t>
  </si>
  <si>
    <t>10346</t>
  </si>
  <si>
    <t>10352</t>
  </si>
  <si>
    <t>10353</t>
  </si>
  <si>
    <t>10354</t>
  </si>
  <si>
    <t>10357</t>
  </si>
  <si>
    <t>10361</t>
  </si>
  <si>
    <t>10364</t>
  </si>
  <si>
    <t>10369</t>
  </si>
  <si>
    <t>10370</t>
  </si>
  <si>
    <t>10371</t>
  </si>
  <si>
    <t>10372</t>
  </si>
  <si>
    <t>10374</t>
  </si>
  <si>
    <t>10375</t>
  </si>
  <si>
    <t>10376</t>
  </si>
  <si>
    <t>10378</t>
  </si>
  <si>
    <t>10379</t>
  </si>
  <si>
    <t>10381</t>
  </si>
  <si>
    <t>10384</t>
  </si>
  <si>
    <t>10386</t>
  </si>
  <si>
    <t>10387</t>
  </si>
  <si>
    <t>10388</t>
  </si>
  <si>
    <t>10390</t>
  </si>
  <si>
    <t>10391</t>
  </si>
  <si>
    <t>10392</t>
  </si>
  <si>
    <t>10393</t>
  </si>
  <si>
    <t>10395</t>
  </si>
  <si>
    <t>10397</t>
  </si>
  <si>
    <t>10399</t>
  </si>
  <si>
    <t>10400</t>
  </si>
  <si>
    <t>10401</t>
  </si>
  <si>
    <t>10402</t>
  </si>
  <si>
    <t>10403</t>
  </si>
  <si>
    <t>10408</t>
  </si>
  <si>
    <t>10409</t>
  </si>
  <si>
    <t>10410</t>
  </si>
  <si>
    <t>10412</t>
  </si>
  <si>
    <t>10413</t>
  </si>
  <si>
    <t>10415</t>
  </si>
  <si>
    <t>10416</t>
  </si>
  <si>
    <t>10417</t>
  </si>
  <si>
    <t>10418</t>
  </si>
  <si>
    <t>10420</t>
  </si>
  <si>
    <t>10422</t>
  </si>
  <si>
    <t>10429</t>
  </si>
  <si>
    <t>10432</t>
  </si>
  <si>
    <t>10434</t>
  </si>
  <si>
    <t>10436</t>
  </si>
  <si>
    <t>10437</t>
  </si>
  <si>
    <t>10438</t>
  </si>
  <si>
    <t>10439</t>
  </si>
  <si>
    <t>10440</t>
  </si>
  <si>
    <t>10441</t>
  </si>
  <si>
    <t>10442</t>
  </si>
  <si>
    <t>10443</t>
  </si>
  <si>
    <t>10447</t>
  </si>
  <si>
    <t>10449</t>
  </si>
  <si>
    <t>10451</t>
  </si>
  <si>
    <t>10452</t>
  </si>
  <si>
    <t>10453</t>
  </si>
  <si>
    <t>10465</t>
  </si>
  <si>
    <t>10467</t>
  </si>
  <si>
    <t>10470</t>
  </si>
  <si>
    <t>10471</t>
  </si>
  <si>
    <t>10472</t>
  </si>
  <si>
    <t>10477</t>
  </si>
  <si>
    <t>10481</t>
  </si>
  <si>
    <t>10482</t>
  </si>
  <si>
    <t>10483</t>
  </si>
  <si>
    <t>10486</t>
  </si>
  <si>
    <t>10492</t>
  </si>
  <si>
    <t>10493</t>
  </si>
  <si>
    <t>10495</t>
  </si>
  <si>
    <t>10496</t>
  </si>
  <si>
    <t>10497</t>
  </si>
  <si>
    <t>10499</t>
  </si>
  <si>
    <t>10501</t>
  </si>
  <si>
    <t>10503</t>
  </si>
  <si>
    <t>10504</t>
  </si>
  <si>
    <t>10507</t>
  </si>
  <si>
    <t>10508</t>
  </si>
  <si>
    <t>10510</t>
  </si>
  <si>
    <t>10514</t>
  </si>
  <si>
    <t>10515</t>
  </si>
  <si>
    <t>10516</t>
  </si>
  <si>
    <t>10518</t>
  </si>
  <si>
    <t>10523</t>
  </si>
  <si>
    <t>10525</t>
  </si>
  <si>
    <t>10527</t>
  </si>
  <si>
    <t>10528</t>
  </si>
  <si>
    <t>10529</t>
  </si>
  <si>
    <t>10531</t>
  </si>
  <si>
    <t>10538</t>
  </si>
  <si>
    <t>10539</t>
  </si>
  <si>
    <t>10542</t>
  </si>
  <si>
    <t>10545</t>
  </si>
  <si>
    <t>10547</t>
  </si>
  <si>
    <t>10548</t>
  </si>
  <si>
    <t>10551</t>
  </si>
  <si>
    <t>10553</t>
  </si>
  <si>
    <t>10554</t>
  </si>
  <si>
    <t>10555</t>
  </si>
  <si>
    <t>10556</t>
  </si>
  <si>
    <t>10557</t>
  </si>
  <si>
    <t>10558</t>
  </si>
  <si>
    <t>10559</t>
  </si>
  <si>
    <t>10560</t>
  </si>
  <si>
    <t>10562</t>
  </si>
  <si>
    <t>10566</t>
  </si>
  <si>
    <t>10568</t>
  </si>
  <si>
    <t>10572</t>
  </si>
  <si>
    <t>10573</t>
  </si>
  <si>
    <t>10575</t>
  </si>
  <si>
    <t>10576</t>
  </si>
  <si>
    <t>10578</t>
  </si>
  <si>
    <t>10579</t>
  </si>
  <si>
    <t>10580</t>
  </si>
  <si>
    <t>10583</t>
  </si>
  <si>
    <t>10585</t>
  </si>
  <si>
    <t>10588</t>
  </si>
  <si>
    <t>10589</t>
  </si>
  <si>
    <t>10591</t>
  </si>
  <si>
    <t>10592</t>
  </si>
  <si>
    <t>10593</t>
  </si>
  <si>
    <t>10594</t>
  </si>
  <si>
    <t>10599</t>
  </si>
  <si>
    <t>10600</t>
  </si>
  <si>
    <t>10601</t>
  </si>
  <si>
    <t>10602</t>
  </si>
  <si>
    <t>10604</t>
  </si>
  <si>
    <t>10605</t>
  </si>
  <si>
    <t>10606</t>
  </si>
  <si>
    <t>10607</t>
  </si>
  <si>
    <t>10608</t>
  </si>
  <si>
    <t>10609</t>
  </si>
  <si>
    <t>10610</t>
  </si>
  <si>
    <t>10612</t>
  </si>
  <si>
    <t>10620</t>
  </si>
  <si>
    <t>10623</t>
  </si>
  <si>
    <t>10624</t>
  </si>
  <si>
    <t>10626</t>
  </si>
  <si>
    <t>10627</t>
  </si>
  <si>
    <t>10629</t>
  </si>
  <si>
    <t>10630</t>
  </si>
  <si>
    <t>10632</t>
  </si>
  <si>
    <t>10635</t>
  </si>
  <si>
    <t>10640</t>
  </si>
  <si>
    <t>10647</t>
  </si>
  <si>
    <t>10648</t>
  </si>
  <si>
    <t>10649</t>
  </si>
  <si>
    <t>10652</t>
  </si>
  <si>
    <t>10653</t>
  </si>
  <si>
    <t>10656</t>
  </si>
  <si>
    <t>10657</t>
  </si>
  <si>
    <t>10659</t>
  </si>
  <si>
    <t>10660</t>
  </si>
  <si>
    <t>10661</t>
  </si>
  <si>
    <t>10662</t>
  </si>
  <si>
    <t>10664</t>
  </si>
  <si>
    <t>10665</t>
  </si>
  <si>
    <t>10666</t>
  </si>
  <si>
    <t>10667</t>
  </si>
  <si>
    <t>10668</t>
  </si>
  <si>
    <t>10671</t>
  </si>
  <si>
    <t>10672</t>
  </si>
  <si>
    <t>10673</t>
  </si>
  <si>
    <t>10681</t>
  </si>
  <si>
    <t>10682</t>
  </si>
  <si>
    <t>10685</t>
  </si>
  <si>
    <t>10690</t>
  </si>
  <si>
    <t>10691</t>
  </si>
  <si>
    <t>10693</t>
  </si>
  <si>
    <t>10694</t>
  </si>
  <si>
    <t>10695</t>
  </si>
  <si>
    <t>10697</t>
  </si>
  <si>
    <t>10698</t>
  </si>
  <si>
    <t>10701</t>
  </si>
  <si>
    <t>10702</t>
  </si>
  <si>
    <t>10706</t>
  </si>
  <si>
    <t>10712</t>
  </si>
  <si>
    <t>10714</t>
  </si>
  <si>
    <t>10716</t>
  </si>
  <si>
    <t>10717</t>
  </si>
  <si>
    <t>10724</t>
  </si>
  <si>
    <t>10725</t>
  </si>
  <si>
    <t>10726</t>
  </si>
  <si>
    <t>10729</t>
  </si>
  <si>
    <t>10730</t>
  </si>
  <si>
    <t>10732</t>
  </si>
  <si>
    <t>10733</t>
  </si>
  <si>
    <t>10737</t>
  </si>
  <si>
    <t>10738</t>
  </si>
  <si>
    <t>10739</t>
  </si>
  <si>
    <t>10742</t>
  </si>
  <si>
    <t>10743</t>
  </si>
  <si>
    <t>10746</t>
  </si>
  <si>
    <t>10749</t>
  </si>
  <si>
    <t>10750</t>
  </si>
  <si>
    <t>10752</t>
  </si>
  <si>
    <t>10753</t>
  </si>
  <si>
    <t>10754</t>
  </si>
  <si>
    <t>10755</t>
  </si>
  <si>
    <t>10757</t>
  </si>
  <si>
    <t>10758</t>
  </si>
  <si>
    <t>10763</t>
  </si>
  <si>
    <t>10764</t>
  </si>
  <si>
    <t>10767</t>
  </si>
  <si>
    <t>10769</t>
  </si>
  <si>
    <t>10775</t>
  </si>
  <si>
    <t>10776</t>
  </si>
  <si>
    <t>10777</t>
  </si>
  <si>
    <t>10782</t>
  </si>
  <si>
    <t>10783</t>
  </si>
  <si>
    <t>10784</t>
  </si>
  <si>
    <t>10785</t>
  </si>
  <si>
    <t>10789</t>
  </si>
  <si>
    <t>10791</t>
  </si>
  <si>
    <t>10793</t>
  </si>
  <si>
    <t>10795</t>
  </si>
  <si>
    <t>10798</t>
  </si>
  <si>
    <t>10805</t>
  </si>
  <si>
    <t>10806</t>
  </si>
  <si>
    <t>10807</t>
  </si>
  <si>
    <t>10809</t>
  </si>
  <si>
    <t>10811</t>
  </si>
  <si>
    <t>10812</t>
  </si>
  <si>
    <t>10813</t>
  </si>
  <si>
    <t>10818</t>
  </si>
  <si>
    <t>10819</t>
  </si>
  <si>
    <t>10823</t>
  </si>
  <si>
    <t>10824</t>
  </si>
  <si>
    <t>10834</t>
  </si>
  <si>
    <t>10836</t>
  </si>
  <si>
    <t>10838</t>
  </si>
  <si>
    <t>10840</t>
  </si>
  <si>
    <t>10842</t>
  </si>
  <si>
    <t>10843</t>
  </si>
  <si>
    <t>10844</t>
  </si>
  <si>
    <t>10845</t>
  </si>
  <si>
    <t>10847</t>
  </si>
  <si>
    <t>10848</t>
  </si>
  <si>
    <t>10849</t>
  </si>
  <si>
    <t>10855</t>
  </si>
  <si>
    <t>10856</t>
  </si>
  <si>
    <t>10858</t>
  </si>
  <si>
    <t>10859</t>
  </si>
  <si>
    <t>10860</t>
  </si>
  <si>
    <t>10862</t>
  </si>
  <si>
    <t>10864</t>
  </si>
  <si>
    <t>10865</t>
  </si>
  <si>
    <t>10866</t>
  </si>
  <si>
    <t>10867</t>
  </si>
  <si>
    <t>10868</t>
  </si>
  <si>
    <t>10869</t>
  </si>
  <si>
    <t>10870</t>
  </si>
  <si>
    <t>10871</t>
  </si>
  <si>
    <t>10876</t>
  </si>
  <si>
    <t>10877</t>
  </si>
  <si>
    <t>10878</t>
  </si>
  <si>
    <t>10881</t>
  </si>
  <si>
    <t>10882</t>
  </si>
  <si>
    <t>10884</t>
  </si>
  <si>
    <t>10886</t>
  </si>
  <si>
    <t>10888</t>
  </si>
  <si>
    <t>10890</t>
  </si>
  <si>
    <t>10891</t>
  </si>
  <si>
    <t>10898</t>
  </si>
  <si>
    <t>10899</t>
  </si>
  <si>
    <t>10900</t>
  </si>
  <si>
    <t>10903</t>
  </si>
  <si>
    <t>10904</t>
  </si>
  <si>
    <t>10908</t>
  </si>
  <si>
    <t>10909</t>
  </si>
  <si>
    <t>10912</t>
  </si>
  <si>
    <t>10913</t>
  </si>
  <si>
    <t>10914</t>
  </si>
  <si>
    <t>10915</t>
  </si>
  <si>
    <t>10918</t>
  </si>
  <si>
    <t>10919</t>
  </si>
  <si>
    <t>10920</t>
  </si>
  <si>
    <t>10927</t>
  </si>
  <si>
    <t>10928</t>
  </si>
  <si>
    <t>10931</t>
  </si>
  <si>
    <t>10932</t>
  </si>
  <si>
    <t>10934</t>
  </si>
  <si>
    <t>10935</t>
  </si>
  <si>
    <t>10936</t>
  </si>
  <si>
    <t>10937</t>
  </si>
  <si>
    <t>10938</t>
  </si>
  <si>
    <t>10939</t>
  </si>
  <si>
    <t>10941</t>
  </si>
  <si>
    <t>10942</t>
  </si>
  <si>
    <t>10943</t>
  </si>
  <si>
    <t>10944</t>
  </si>
  <si>
    <t>10946</t>
  </si>
  <si>
    <t>10949</t>
  </si>
  <si>
    <t>10950</t>
  </si>
  <si>
    <t>10952</t>
  </si>
  <si>
    <t>10954</t>
  </si>
  <si>
    <t>10955</t>
  </si>
  <si>
    <t>10958</t>
  </si>
  <si>
    <t>10959</t>
  </si>
  <si>
    <t>10964</t>
  </si>
  <si>
    <t>10968</t>
  </si>
  <si>
    <t>10974</t>
  </si>
  <si>
    <t>10975</t>
  </si>
  <si>
    <t>10976</t>
  </si>
  <si>
    <t>10977</t>
  </si>
  <si>
    <t>10981</t>
  </si>
  <si>
    <t>10984</t>
  </si>
  <si>
    <t>10985</t>
  </si>
  <si>
    <t>10986</t>
  </si>
  <si>
    <t>10987</t>
  </si>
  <si>
    <t>10988</t>
  </si>
  <si>
    <t>10989</t>
  </si>
  <si>
    <t>10990</t>
  </si>
  <si>
    <t>10991</t>
  </si>
  <si>
    <t>10992</t>
  </si>
  <si>
    <t>10994</t>
  </si>
  <si>
    <t>10996</t>
  </si>
  <si>
    <t>10997</t>
  </si>
  <si>
    <t>10998</t>
  </si>
  <si>
    <t>10999</t>
  </si>
  <si>
    <t>11000</t>
  </si>
  <si>
    <t>11003</t>
  </si>
  <si>
    <t>11009</t>
  </si>
  <si>
    <t>11010</t>
  </si>
  <si>
    <t>11011</t>
  </si>
  <si>
    <t>11013</t>
  </si>
  <si>
    <t>11014</t>
  </si>
  <si>
    <t>11015</t>
  </si>
  <si>
    <t>11016</t>
  </si>
  <si>
    <t>11017</t>
  </si>
  <si>
    <t>11020</t>
  </si>
  <si>
    <t>11023</t>
  </si>
  <si>
    <t>11025</t>
  </si>
  <si>
    <t>11026</t>
  </si>
  <si>
    <t>11031</t>
  </si>
  <si>
    <t>11032</t>
  </si>
  <si>
    <t>11034</t>
  </si>
  <si>
    <t>11036</t>
  </si>
  <si>
    <t>11037</t>
  </si>
  <si>
    <t>11039</t>
  </si>
  <si>
    <t>11040</t>
  </si>
  <si>
    <t>11043</t>
  </si>
  <si>
    <t>11044</t>
  </si>
  <si>
    <t>11047</t>
  </si>
  <si>
    <t>11048</t>
  </si>
  <si>
    <t>11049</t>
  </si>
  <si>
    <t>11050</t>
  </si>
  <si>
    <t>11052</t>
  </si>
  <si>
    <t>11053</t>
  </si>
  <si>
    <t>11054</t>
  </si>
  <si>
    <t>11055</t>
  </si>
  <si>
    <t>11056</t>
  </si>
  <si>
    <t>11057</t>
  </si>
  <si>
    <t>11059</t>
  </si>
  <si>
    <t>11061</t>
  </si>
  <si>
    <t>11063</t>
  </si>
  <si>
    <t>11064</t>
  </si>
  <si>
    <t>11065</t>
  </si>
  <si>
    <t>11066</t>
  </si>
  <si>
    <t>11067</t>
  </si>
  <si>
    <t>11069</t>
  </si>
  <si>
    <t>11073</t>
  </si>
  <si>
    <t>11074</t>
  </si>
  <si>
    <t>11076</t>
  </si>
  <si>
    <t>11077</t>
  </si>
  <si>
    <t>11078</t>
  </si>
  <si>
    <t>11084</t>
  </si>
  <si>
    <t>11085</t>
  </si>
  <si>
    <t>11089</t>
  </si>
  <si>
    <t>11092</t>
  </si>
  <si>
    <t>11093</t>
  </si>
  <si>
    <t>11095</t>
  </si>
  <si>
    <t>11096</t>
  </si>
  <si>
    <t>11098</t>
  </si>
  <si>
    <t>11100</t>
  </si>
  <si>
    <t>11104</t>
  </si>
  <si>
    <t>11105</t>
  </si>
  <si>
    <t>11110</t>
  </si>
  <si>
    <t>11111</t>
  </si>
  <si>
    <t>11113</t>
  </si>
  <si>
    <t>11114</t>
  </si>
  <si>
    <t>11116</t>
  </si>
  <si>
    <t>11117</t>
  </si>
  <si>
    <t>11119</t>
  </si>
  <si>
    <t>11120</t>
  </si>
  <si>
    <t>11121</t>
  </si>
  <si>
    <t>11122</t>
  </si>
  <si>
    <t>11123</t>
  </si>
  <si>
    <t>11124</t>
  </si>
  <si>
    <t>11136</t>
  </si>
  <si>
    <t>11137</t>
  </si>
  <si>
    <t>11138</t>
  </si>
  <si>
    <t>11139</t>
  </si>
  <si>
    <t>11141</t>
  </si>
  <si>
    <t>11142</t>
  </si>
  <si>
    <t>11143</t>
  </si>
  <si>
    <t>11144</t>
  </si>
  <si>
    <t>11146</t>
  </si>
  <si>
    <t>11147</t>
  </si>
  <si>
    <t>11148</t>
  </si>
  <si>
    <t>11149</t>
  </si>
  <si>
    <t>11151</t>
  </si>
  <si>
    <t>11152</t>
  </si>
  <si>
    <t>11157</t>
  </si>
  <si>
    <t>11158</t>
  </si>
  <si>
    <t>11159</t>
  </si>
  <si>
    <t>11160</t>
  </si>
  <si>
    <t>11161</t>
  </si>
  <si>
    <t>11163</t>
  </si>
  <si>
    <t>11165</t>
  </si>
  <si>
    <t>11166</t>
  </si>
  <si>
    <t>11172</t>
  </si>
  <si>
    <t>11173</t>
  </si>
  <si>
    <t>11174</t>
  </si>
  <si>
    <t>11176</t>
  </si>
  <si>
    <t>11177</t>
  </si>
  <si>
    <t>11180</t>
  </si>
  <si>
    <t>11181</t>
  </si>
  <si>
    <t>11182</t>
  </si>
  <si>
    <t>11183</t>
  </si>
  <si>
    <t>11184</t>
  </si>
  <si>
    <t>11189</t>
  </si>
  <si>
    <t>11190</t>
  </si>
  <si>
    <t>11191</t>
  </si>
  <si>
    <t>11193</t>
  </si>
  <si>
    <t>11194</t>
  </si>
  <si>
    <t>11195</t>
  </si>
  <si>
    <t>11197</t>
  </si>
  <si>
    <t>11198</t>
  </si>
  <si>
    <t>11203</t>
  </si>
  <si>
    <t>11212</t>
  </si>
  <si>
    <t>11214</t>
  </si>
  <si>
    <t>11215</t>
  </si>
  <si>
    <t>11218</t>
  </si>
  <si>
    <t>012126TM</t>
  </si>
  <si>
    <t>012226TM</t>
  </si>
  <si>
    <t>23366</t>
  </si>
  <si>
    <t>66202</t>
  </si>
  <si>
    <t>110425CHK</t>
  </si>
  <si>
    <t>110725</t>
  </si>
  <si>
    <t>25221730</t>
  </si>
  <si>
    <t>2158341049</t>
  </si>
  <si>
    <t>CASHDEPOSIT</t>
  </si>
  <si>
    <t>CCDEP</t>
  </si>
  <si>
    <t>CM529</t>
  </si>
  <si>
    <t>CM551</t>
  </si>
  <si>
    <t>CM810</t>
  </si>
  <si>
    <t>CM862</t>
  </si>
  <si>
    <t>CM937</t>
  </si>
  <si>
    <t>CM1129</t>
  </si>
  <si>
    <t>CM1228</t>
  </si>
  <si>
    <t>DIFFINCC103025</t>
  </si>
  <si>
    <t>FEB1314152026</t>
  </si>
  <si>
    <t>JAN3026</t>
  </si>
  <si>
    <t>JAN3126</t>
  </si>
  <si>
    <t>MOC022626</t>
  </si>
  <si>
    <t>MOC031226</t>
  </si>
  <si>
    <t>SERVDEP</t>
  </si>
  <si>
    <t>V7007</t>
  </si>
  <si>
    <t>CLEAR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</si>
</sst>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  <numFmt numFmtId="168" formatCode="&quot;$&quot;\ #,##0.00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</font>
    <font>
      <b/>
      <sz val="16"/>
      <color rgb="FF1F4E79"/>
      <name val="Calibri"/>
      <family val="2"/>
    </font>
    <font>
      <i/>
      <sz val="10"/>
      <color rgb="FF555555"/>
      <name val="Calibri"/>
      <family val="2"/>
    </font>
    <font>
      <b/>
      <sz val="11"/>
      <color rgb="FFCC0000"/>
      <name val="Calibri"/>
      <family val="2"/>
    </font>
    <font>
      <b/>
      <sz val="11"/>
      <color rgb="FF006100"/>
      <name val="Calibri"/>
      <family val="2"/>
    </font>
    <font>
      <b/>
      <sz val="13"/>
      <color rgb="FFFFFFFF"/>
      <name val="Calibri"/>
      <family val="2"/>
    </font>
    <font>
      <sz val="11"/>
      <color rgb="FF333333"/>
      <name val="Calibri"/>
      <family val="2"/>
    </font>
    <font>
      <i/>
      <sz val="10"/>
      <color rgb="FF2E75B6"/>
      <name val="Calibri"/>
      <family val="2"/>
    </font>
    <font>
      <b/>
      <sz val="11"/>
      <color rgb="FF333333"/>
      <name val="Calibri"/>
      <family val="2"/>
    </font>
    <font>
      <b/>
      <sz val="11"/>
      <color rgb="FFFFFFFF"/>
      <name val="Calibri"/>
      <family val="2"/>
    </font>
    <font>
      <i/>
      <sz val="10"/>
      <color rgb="FF999999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19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3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6" xfId="0" applyFont="1" applyFill="1" applyBorder="1"/>
    <xf numFmtId="2" fontId="12" fillId="6" borderId="6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0" fontId="1" fillId="3" borderId="13" xfId="0" applyFont="1" applyFill="1" applyBorder="1" applyAlignment="1">
      <alignment horizontal="center" vertical="top"/>
    </xf>
    <xf numFmtId="0" fontId="1" fillId="3" borderId="14" xfId="0" applyFont="1" applyFill="1" applyBorder="1" applyAlignment="1">
      <alignment horizontal="center" vertical="top"/>
    </xf>
    <xf numFmtId="0" fontId="0" fillId="8" borderId="11" xfId="0" applyFill="1" applyBorder="1"/>
    <xf numFmtId="0" fontId="0" fillId="8" borderId="0" xfId="0" applyFill="1"/>
    <xf numFmtId="0" fontId="0" fillId="4" borderId="12" xfId="0" applyFill="1" applyBorder="1"/>
    <xf numFmtId="0" fontId="0" fillId="8" borderId="8" xfId="0" applyFill="1" applyBorder="1"/>
    <xf numFmtId="0" fontId="0" fillId="8" borderId="2" xfId="0" applyFill="1" applyBorder="1"/>
    <xf numFmtId="0" fontId="6" fillId="0" borderId="7" xfId="0" applyFont="1" applyBorder="1" applyAlignment="1">
      <alignment horizontal="center"/>
    </xf>
    <xf numFmtId="0" fontId="0" fillId="8" borderId="9" xfId="0" applyFill="1" applyBorder="1"/>
    <xf numFmtId="0" fontId="0" fillId="8" borderId="10" xfId="0" applyFill="1" applyBorder="1"/>
    <xf numFmtId="0" fontId="1" fillId="3" borderId="6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1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17" xfId="0" applyNumberFormat="1" applyFont="1" applyBorder="1"/>
    <xf numFmtId="0" fontId="14" fillId="0" borderId="2" xfId="0" applyFont="1" applyBorder="1"/>
    <xf numFmtId="0" fontId="15" fillId="0" borderId="0" xfId="0" applyFont="1"/>
    <xf numFmtId="0" fontId="0" fillId="0" borderId="0" xfId="0" applyProtection="1"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3" fillId="2" borderId="1" xfId="0" applyFont="1" applyFill="1" applyBorder="1" applyAlignment="1" applyProtection="1">
      <alignment horizontal="left" vertical="top"/>
      <protection locked="0"/>
    </xf>
    <xf numFmtId="0" fontId="0" fillId="0" borderId="16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67" fontId="0" fillId="0" borderId="9" xfId="0" applyNumberFormat="1" applyBorder="1" applyProtection="1">
      <protection locked="0"/>
    </xf>
    <xf numFmtId="167" fontId="0" fillId="0" borderId="10" xfId="0" applyNumberFormat="1" applyBorder="1" applyProtection="1">
      <protection locked="0"/>
    </xf>
    <xf numFmtId="166" fontId="0" fillId="9" borderId="15" xfId="0" applyNumberFormat="1" applyFill="1" applyBorder="1" applyAlignment="1" applyProtection="1">
      <alignment horizontal="center"/>
      <protection locked="0"/>
    </xf>
    <xf numFmtId="167" fontId="0" fillId="0" borderId="11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6" fillId="0" borderId="0" xfId="0" applyFont="1"/>
    <xf numFmtId="1" fontId="0" fillId="0" borderId="0" xfId="0" applyNumberFormat="1"/>
    <xf numFmtId="168" fontId="16" fillId="10" borderId="0" xfId="0" applyNumberFormat="1" applyFont="1" applyFill="1"/>
    <xf numFmtId="0" fontId="0" fillId="0" borderId="18" xfId="0" applyBorder="1" applyProtection="1">
      <protection locked="0"/>
    </xf>
    <xf numFmtId="0" fontId="1" fillId="3" borderId="18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8" xfId="0" applyNumberFormat="1" applyFont="1" applyFill="1" applyBorder="1" applyAlignment="1">
      <alignment horizontal="right"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19" fillId="12" borderId="0" xfId="0" applyFont="1" applyFill="1" applyAlignment="1">
      <alignment vertical="top" wrapText="1"/>
    </xf>
    <xf numFmtId="0" fontId="20" fillId="11" borderId="0" xfId="0" applyFont="1" applyFill="1" applyAlignment="1">
      <alignment vertical="top" wrapText="1"/>
    </xf>
    <xf numFmtId="0" fontId="21" fillId="13" borderId="0" xfId="0" applyFont="1" applyFill="1" applyAlignment="1">
      <alignment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14" borderId="0" xfId="0" applyFont="1" applyFill="1" applyAlignment="1">
      <alignment vertical="center" indent="2"/>
    </xf>
    <xf numFmtId="0" fontId="25" fillId="15" borderId="0" xfId="0" applyFont="1" applyFill="1" applyAlignment="1">
      <alignment vertical="center" indent="2"/>
    </xf>
    <xf numFmtId="0" fontId="25" fillId="16" borderId="0" xfId="0" applyFont="1" applyFill="1" applyAlignment="1">
      <alignment vertical="center" indent="2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0" fillId="0" borderId="8" xfId="0" applyBorder="1" applyProtection="1">
      <protection locked="0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3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168" fontId="0" fillId="0" borderId="0" xfId="0" applyNumberFormat="1"/>
    <xf numFmtId="7" fontId="0" fillId="0" borderId="0" xfId="0" applyNumberFormat="1"/>
    <xf numFmtId="167" fontId="0" fillId="0" borderId="6" xfId="0" applyNumberFormat="1" applyBorder="1"/>
    <xf numFmtId="0" fontId="7" fillId="5" borderId="0" xfId="0" applyFont="1" applyFill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</cellXfs>
  <cellStyles count="1">
    <cellStyle name="Normal" xfId="0" builtinId="0"/>
  </cellStyles>
  <dxfs count="24"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protection locked="0" hidden="0"/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V3.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20</xdr:col>
      <xdr:colOff>323850</xdr:colOff>
      <xdr:row>5</xdr:row>
      <xdr:rowOff>19050</xdr:rowOff>
    </xdr:from>
    <xdr:to>
      <xdr:col>21</xdr:col>
      <xdr:colOff>542925</xdr:colOff>
      <xdr:row>7</xdr:row>
      <xdr:rowOff>28575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5916275" y="971550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876300</xdr:colOff>
      <xdr:row>3</xdr:row>
      <xdr:rowOff>76200</xdr:rowOff>
    </xdr:from>
    <xdr:to>
      <xdr:col>9</xdr:col>
      <xdr:colOff>1857375</xdr:colOff>
      <xdr:row>5</xdr:row>
      <xdr:rowOff>76200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D19EEB-51D0-4611-AD95-D5F463B3CF06}"/>
            </a:ext>
          </a:extLst>
        </xdr:cNvPr>
        <xdr:cNvSpPr/>
      </xdr:nvSpPr>
      <xdr:spPr>
        <a:xfrm>
          <a:off x="8362950" y="65722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T75" totalsRowShown="0" headerRowDxfId="18" tableBorderDxfId="17">
  <autoFilter ref="N13:T75" xr:uid="{CA06DB1E-5455-490E-A4AF-367BC85C706E}"/>
  <sortState xmlns:xlrd2="http://schemas.microsoft.com/office/spreadsheetml/2017/richdata2" ref="N14:T35">
    <sortCondition descending="1" ref="Q13:Q35"/>
  </sortState>
  <tableColumns count="7">
    <tableColumn id="1" xr3:uid="{BB66A6B8-D3A8-455A-BC26-5282ECB3DE38}" name="RO/Invoice#" dataDxfId="16"/>
    <tableColumn id="2" xr3:uid="{86260D87-DBD3-4756-B711-B40BED2225AF}" name="Amount" dataDxfId="15"/>
    <tableColumn id="7" xr3:uid="{44A2470B-A3BA-450F-A401-681585338086}" name="TYPE" dataDxfId="14"/>
    <tableColumn id="3" xr3:uid="{1FF4F82B-5C60-49A3-9E76-E489101BFBC5}" name="For JE" dataDxfId="13">
      <calculatedColumnFormula>IF(NotOnSch[[#This Row],[Amount]]="","",IF(NotOnSch[[#This Row],[TYPE]]="","531011",CHOOSE(MATCH(NotOnSch[[#This Row],[TYPE]], {"EXT WARRANTY","GM WARRANTY","TOY WARRANTY","PNC"}, 0), "531150", "531140", "541140", "531122")))</calculatedColumnFormula>
    </tableColumn>
    <tableColumn id="4" xr3:uid="{5A422D18-8DBB-40D8-86CC-ED777B442BE5}" name="For JE2" dataDxfId="12">
      <calculatedColumnFormula>-NotOnSch[[#This Row],[Amount]]</calculatedColumnFormula>
    </tableColumn>
    <tableColumn id="5" xr3:uid="{F10A9678-0FA4-4E8F-BCB1-688B03695446}" name="For JE3" dataDxfId="11">
      <calculatedColumnFormula>IF(N14&lt;&gt;"",N14,"")</calculatedColumnFormula>
    </tableColumn>
    <tableColumn id="6" xr3:uid="{6E7FCCE5-928A-459A-A865-719624A02951}" name="Notes" dataDxfId="10">
      <calculatedColumnFormula>IF(N14&lt;&gt;"",_xlfn.XLOOKUP(N14,CC!A:A,CC!D:D,""),"")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9" dataDxfId="8" tableBorderDxfId="7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6"/>
    <tableColumn id="2" xr3:uid="{365CD64A-9492-4767-B8B7-EC58237DF6F3}" name="Amount" dataDxfId="5"/>
    <tableColumn id="3" xr3:uid="{25F2B0F4-67E4-4D7F-84BF-D07BB719633A}" name="For JE" dataDxfId="4">
      <calculatedColumnFormula>IF(DepositTotals[[#This Row],[Amount]]="", "", CHOOSE(MATCH(DepositTotals[[#This Row],[Type]], {"CASH","CREDIT","CHECK","SERVICE POLICY","PARTS POLICY","XTIME"}, 0), "531007", "531001", "531001", "537750", "537650", "531001"))</calculatedColumnFormula>
    </tableColumn>
    <tableColumn id="4" xr3:uid="{27211CB2-A5F1-421A-AEAA-0B2CBB5FC40F}" name="For JE2" dataDxfId="3">
      <calculatedColumnFormula>O4</calculatedColumnFormula>
    </tableColumn>
    <tableColumn id="5" xr3:uid="{E55D70E1-6D9E-4F3C-BA02-5C78236FDCAC}" name="For JE3" dataDxfId="2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1"/>
    <tableColumn id="7" xr3:uid="{A4E3BE34-C0B0-47D2-9684-7E57BCD99026}" name="For JE5" dataDxfId="0">
      <calculatedColumnFormula>IF(O4&lt;&gt;"",N4,"")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sqref="A1:A1048576"/>
    </sheetView>
  </sheetViews>
  <sheetFormatPr defaultRowHeight="15" x14ac:dyDescent="0.25"/>
  <cols>
    <col min="1" max="1" width="131.42578125" customWidth="1"/>
  </cols>
  <sheetData>
    <row r="1" spans="1:1" ht="21" x14ac:dyDescent="0.25">
      <c r="A1" s="59" t="s">
        <v>56</v>
      </c>
    </row>
    <row r="2" spans="1:1" x14ac:dyDescent="0.25">
      <c r="A2" s="60" t="s">
        <v>57</v>
      </c>
    </row>
    <row r="3" spans="1:1" s="39" customFormat="1" ht="15" customHeight="1" x14ac:dyDescent="0.25">
      <c r="A3"/>
    </row>
    <row r="4" spans="1:1" ht="15" customHeight="1" x14ac:dyDescent="0.25">
      <c r="A4" s="61" t="s">
        <v>58</v>
      </c>
    </row>
    <row r="5" spans="1:1" ht="12.75" customHeight="1" x14ac:dyDescent="0.25">
      <c r="A5" s="61" t="s">
        <v>59</v>
      </c>
    </row>
    <row r="7" spans="1:1" x14ac:dyDescent="0.25">
      <c r="A7" s="62" t="s">
        <v>60</v>
      </c>
    </row>
    <row r="9" spans="1:1" ht="17.25" x14ac:dyDescent="0.25">
      <c r="A9" s="63" t="s">
        <v>61</v>
      </c>
    </row>
    <row r="10" spans="1:1" x14ac:dyDescent="0.25">
      <c r="A10" s="64" t="s">
        <v>62</v>
      </c>
    </row>
    <row r="11" spans="1:1" x14ac:dyDescent="0.25">
      <c r="A11" s="64" t="s">
        <v>63</v>
      </c>
    </row>
    <row r="12" spans="1:1" x14ac:dyDescent="0.25">
      <c r="A12" s="65" t="s">
        <v>64</v>
      </c>
    </row>
    <row r="13" spans="1:1" x14ac:dyDescent="0.25">
      <c r="A13" s="64" t="s">
        <v>65</v>
      </c>
    </row>
    <row r="15" spans="1:1" ht="17.25" x14ac:dyDescent="0.25">
      <c r="A15" s="63" t="s">
        <v>66</v>
      </c>
    </row>
    <row r="16" spans="1:1" x14ac:dyDescent="0.25">
      <c r="A16" s="64" t="s">
        <v>67</v>
      </c>
    </row>
    <row r="17" spans="1:1" x14ac:dyDescent="0.25">
      <c r="A17" s="64" t="s">
        <v>68</v>
      </c>
    </row>
    <row r="18" spans="1:1" x14ac:dyDescent="0.25">
      <c r="A18" s="64" t="s">
        <v>69</v>
      </c>
    </row>
    <row r="19" spans="1:1" x14ac:dyDescent="0.25">
      <c r="A19" s="64" t="s">
        <v>70</v>
      </c>
    </row>
    <row r="20" spans="1:1" x14ac:dyDescent="0.25">
      <c r="A20" s="64" t="s">
        <v>71</v>
      </c>
    </row>
    <row r="22" spans="1:1" ht="17.25" x14ac:dyDescent="0.25">
      <c r="A22" s="63" t="s">
        <v>72</v>
      </c>
    </row>
    <row r="23" spans="1:1" x14ac:dyDescent="0.25">
      <c r="A23" s="66" t="s">
        <v>73</v>
      </c>
    </row>
    <row r="25" spans="1:1" x14ac:dyDescent="0.25">
      <c r="A25" s="67" t="s">
        <v>74</v>
      </c>
    </row>
    <row r="27" spans="1:1" x14ac:dyDescent="0.25">
      <c r="A27" s="66" t="s">
        <v>75</v>
      </c>
    </row>
    <row r="28" spans="1:1" x14ac:dyDescent="0.25">
      <c r="A28" s="64" t="s">
        <v>76</v>
      </c>
    </row>
    <row r="29" spans="1:1" x14ac:dyDescent="0.25">
      <c r="A29" s="64" t="s">
        <v>77</v>
      </c>
    </row>
    <row r="30" spans="1:1" x14ac:dyDescent="0.25">
      <c r="A30" s="64" t="s">
        <v>78</v>
      </c>
    </row>
    <row r="31" spans="1:1" x14ac:dyDescent="0.25">
      <c r="A31" s="64" t="s">
        <v>79</v>
      </c>
    </row>
    <row r="32" spans="1:1" x14ac:dyDescent="0.25">
      <c r="A32" s="64" t="s">
        <v>80</v>
      </c>
    </row>
    <row r="33" spans="1:1" x14ac:dyDescent="0.25">
      <c r="A33" s="64" t="s">
        <v>128</v>
      </c>
    </row>
    <row r="35" spans="1:1" ht="17.25" x14ac:dyDescent="0.25">
      <c r="A35" s="63" t="s">
        <v>81</v>
      </c>
    </row>
    <row r="36" spans="1:1" x14ac:dyDescent="0.25">
      <c r="A36" s="64" t="s">
        <v>82</v>
      </c>
    </row>
    <row r="37" spans="1:1" x14ac:dyDescent="0.25">
      <c r="A37" s="64" t="s">
        <v>83</v>
      </c>
    </row>
    <row r="38" spans="1:1" x14ac:dyDescent="0.25">
      <c r="A38" s="64" t="s">
        <v>84</v>
      </c>
    </row>
    <row r="39" spans="1:1" x14ac:dyDescent="0.25">
      <c r="A39" s="65" t="s">
        <v>85</v>
      </c>
    </row>
    <row r="40" spans="1:1" x14ac:dyDescent="0.25">
      <c r="A40" s="64" t="s">
        <v>86</v>
      </c>
    </row>
    <row r="42" spans="1:1" ht="17.25" x14ac:dyDescent="0.25">
      <c r="A42" s="63" t="s">
        <v>87</v>
      </c>
    </row>
    <row r="43" spans="1:1" x14ac:dyDescent="0.25">
      <c r="A43" s="66" t="s">
        <v>88</v>
      </c>
    </row>
    <row r="45" spans="1:1" x14ac:dyDescent="0.25">
      <c r="A45" s="68" t="s">
        <v>89</v>
      </c>
    </row>
    <row r="47" spans="1:1" ht="30" x14ac:dyDescent="0.25">
      <c r="A47" s="64" t="s">
        <v>90</v>
      </c>
    </row>
    <row r="49" spans="1:1" ht="17.25" x14ac:dyDescent="0.25">
      <c r="A49" s="63" t="s">
        <v>91</v>
      </c>
    </row>
    <row r="50" spans="1:1" x14ac:dyDescent="0.25">
      <c r="A50" s="66" t="s">
        <v>92</v>
      </c>
    </row>
    <row r="52" spans="1:1" x14ac:dyDescent="0.25">
      <c r="A52" s="64" t="s">
        <v>93</v>
      </c>
    </row>
    <row r="53" spans="1:1" x14ac:dyDescent="0.25">
      <c r="A53" s="64" t="s">
        <v>94</v>
      </c>
    </row>
    <row r="54" spans="1:1" x14ac:dyDescent="0.25">
      <c r="A54" s="64" t="s">
        <v>95</v>
      </c>
    </row>
    <row r="56" spans="1:1" ht="30" x14ac:dyDescent="0.25">
      <c r="A56" s="66" t="s">
        <v>96</v>
      </c>
    </row>
    <row r="57" spans="1:1" x14ac:dyDescent="0.25">
      <c r="A57" s="64" t="s">
        <v>97</v>
      </c>
    </row>
    <row r="58" spans="1:1" x14ac:dyDescent="0.25">
      <c r="A58" s="64" t="s">
        <v>98</v>
      </c>
    </row>
    <row r="60" spans="1:1" ht="17.25" x14ac:dyDescent="0.25">
      <c r="A60" s="63" t="s">
        <v>99</v>
      </c>
    </row>
    <row r="61" spans="1:1" x14ac:dyDescent="0.25">
      <c r="A61" s="64" t="s">
        <v>100</v>
      </c>
    </row>
    <row r="63" spans="1:1" x14ac:dyDescent="0.25">
      <c r="A63" s="64" t="s">
        <v>101</v>
      </c>
    </row>
    <row r="64" spans="1:1" x14ac:dyDescent="0.25">
      <c r="A64" s="64" t="s">
        <v>102</v>
      </c>
    </row>
    <row r="65" spans="1:1" x14ac:dyDescent="0.25">
      <c r="A65" s="64" t="s">
        <v>103</v>
      </c>
    </row>
    <row r="66" spans="1:1" x14ac:dyDescent="0.25">
      <c r="A66" s="64" t="s">
        <v>104</v>
      </c>
    </row>
    <row r="67" spans="1:1" x14ac:dyDescent="0.25">
      <c r="A67" s="64" t="s">
        <v>105</v>
      </c>
    </row>
    <row r="68" spans="1:1" x14ac:dyDescent="0.25">
      <c r="A68" s="64" t="s">
        <v>106</v>
      </c>
    </row>
    <row r="69" spans="1:1" x14ac:dyDescent="0.25">
      <c r="A69" s="64" t="s">
        <v>107</v>
      </c>
    </row>
    <row r="71" spans="1:1" ht="17.25" x14ac:dyDescent="0.25">
      <c r="A71" s="63" t="s">
        <v>108</v>
      </c>
    </row>
    <row r="72" spans="1:1" x14ac:dyDescent="0.25">
      <c r="A72" s="64" t="s">
        <v>109</v>
      </c>
    </row>
    <row r="73" spans="1:1" x14ac:dyDescent="0.25">
      <c r="A73" s="66" t="s">
        <v>110</v>
      </c>
    </row>
    <row r="74" spans="1:1" x14ac:dyDescent="0.25">
      <c r="A74" s="64" t="s">
        <v>111</v>
      </c>
    </row>
    <row r="76" spans="1:1" ht="17.25" x14ac:dyDescent="0.25">
      <c r="A76" s="63" t="s">
        <v>112</v>
      </c>
    </row>
    <row r="78" spans="1:1" x14ac:dyDescent="0.25">
      <c r="A78" s="69" t="s">
        <v>113</v>
      </c>
    </row>
    <row r="80" spans="1:1" x14ac:dyDescent="0.25">
      <c r="A80" s="64" t="s">
        <v>114</v>
      </c>
    </row>
    <row r="81" spans="1:1" x14ac:dyDescent="0.25">
      <c r="A81" s="64" t="s">
        <v>115</v>
      </c>
    </row>
    <row r="82" spans="1:1" x14ac:dyDescent="0.25">
      <c r="A82" s="64" t="s">
        <v>116</v>
      </c>
    </row>
    <row r="84" spans="1:1" ht="17.25" x14ac:dyDescent="0.25">
      <c r="A84" s="63" t="s">
        <v>117</v>
      </c>
    </row>
    <row r="85" spans="1:1" x14ac:dyDescent="0.25">
      <c r="A85" s="64" t="s">
        <v>118</v>
      </c>
    </row>
    <row r="86" spans="1:1" x14ac:dyDescent="0.25">
      <c r="A86" s="64" t="s">
        <v>119</v>
      </c>
    </row>
    <row r="87" spans="1:1" x14ac:dyDescent="0.25">
      <c r="A87" s="64" t="s">
        <v>126</v>
      </c>
    </row>
    <row r="88" spans="1:1" x14ac:dyDescent="0.25">
      <c r="A88" s="64"/>
    </row>
    <row r="89" spans="1:1" x14ac:dyDescent="0.25">
      <c r="A89" s="67" t="s">
        <v>127</v>
      </c>
    </row>
    <row r="90" spans="1:1" x14ac:dyDescent="0.25">
      <c r="A90" s="64"/>
    </row>
    <row r="91" spans="1:1" x14ac:dyDescent="0.25">
      <c r="A91" s="64" t="s">
        <v>120</v>
      </c>
    </row>
    <row r="92" spans="1:1" x14ac:dyDescent="0.25">
      <c r="A92" s="70" t="s">
        <v>121</v>
      </c>
    </row>
    <row r="93" spans="1:1" x14ac:dyDescent="0.25">
      <c r="A93" s="64" t="s">
        <v>122</v>
      </c>
    </row>
    <row r="95" spans="1:1" ht="17.25" x14ac:dyDescent="0.25">
      <c r="A95" s="63" t="s">
        <v>123</v>
      </c>
    </row>
    <row r="96" spans="1:1" x14ac:dyDescent="0.25">
      <c r="A96" s="64" t="s">
        <v>124</v>
      </c>
    </row>
    <row r="99" spans="1:1" x14ac:dyDescent="0.25">
      <c r="A99" s="71" t="s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W493"/>
  <sheetViews>
    <sheetView tabSelected="1" zoomScaleNormal="100" workbookViewId="0">
      <selection activeCell="O4" sqref="O4"/>
    </sheetView>
  </sheetViews>
  <sheetFormatPr defaultColWidth="9.140625" defaultRowHeight="15" x14ac:dyDescent="0.25"/>
  <cols>
    <col min="1" max="2" width="17.42578125" customWidth="1"/>
    <col min="3" max="3" width="15.7109375" customWidth="1"/>
    <col min="4" max="4" width="15.7109375" hidden="1" customWidth="1"/>
    <col min="5" max="5" width="13" hidden="1" customWidth="1"/>
    <col min="6" max="6" width="13" customWidth="1"/>
    <col min="7" max="7" width="13" style="55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3" x14ac:dyDescent="0.25">
      <c r="A1" s="73" t="s">
        <v>130</v>
      </c>
    </row>
    <row r="2" spans="1:23" x14ac:dyDescent="0.25">
      <c r="L2" s="27" t="s">
        <v>24</v>
      </c>
      <c r="N2" s="88" t="s">
        <v>28</v>
      </c>
      <c r="O2" s="89"/>
      <c r="P2" s="89"/>
      <c r="Q2" s="89"/>
      <c r="R2" s="89"/>
      <c r="S2" s="89"/>
      <c r="T2" s="90"/>
    </row>
    <row r="3" spans="1:23" x14ac:dyDescent="0.25">
      <c r="B3" s="73" t="s">
        <v>6</v>
      </c>
      <c r="K3" s="35" t="s">
        <v>39</v>
      </c>
      <c r="L3" s="49">
        <v>46105</v>
      </c>
      <c r="N3" s="30" t="s">
        <v>29</v>
      </c>
      <c r="O3" s="30" t="s">
        <v>12</v>
      </c>
      <c r="P3" s="31" t="s">
        <v>10</v>
      </c>
      <c r="Q3" s="31" t="s">
        <v>32</v>
      </c>
      <c r="R3" s="31" t="s">
        <v>33</v>
      </c>
      <c r="S3" s="31" t="s">
        <v>34</v>
      </c>
      <c r="T3" s="31" t="s">
        <v>35</v>
      </c>
    </row>
    <row r="4" spans="1:23" x14ac:dyDescent="0.25">
      <c r="N4" s="46" t="s">
        <v>27</v>
      </c>
      <c r="O4" s="47"/>
      <c r="P4" s="25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4" s="32">
        <f t="shared" ref="Q4:Q10" si="0">O4</f>
        <v>0</v>
      </c>
      <c r="R4" s="22" t="str">
        <f>IF(DepositTotals[[#This Row],[Amount]]="", "", CHOOSE(MATCH(DepositTotals[[#This Row],[Type]], {"CASH","CREDIT","CHECK","SERVICE POLICY","PARTS POLICY"}, 0), "CA", "CR", "CK", "SP", "PP") &amp; TEXT($L$3, "MMDD"))</f>
        <v/>
      </c>
      <c r="S4" s="22"/>
      <c r="T4" s="22" t="str">
        <f t="shared" ref="T4:T10" si="1">IF(O4&lt;&gt;"",N4,"")</f>
        <v/>
      </c>
    </row>
    <row r="5" spans="1:23" x14ac:dyDescent="0.25">
      <c r="B5" s="73" t="s">
        <v>131</v>
      </c>
      <c r="N5" s="40" t="s">
        <v>30</v>
      </c>
      <c r="O5" s="48"/>
      <c r="P5" s="26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5" s="33">
        <f t="shared" si="0"/>
        <v>0</v>
      </c>
      <c r="R5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3"/>
      <c r="T5" s="23" t="str">
        <f t="shared" si="1"/>
        <v/>
      </c>
    </row>
    <row r="6" spans="1:23" x14ac:dyDescent="0.25">
      <c r="K6" s="34" t="s">
        <v>38</v>
      </c>
      <c r="L6" s="36">
        <f>SUM(DepositTotals[Amount])</f>
        <v>0</v>
      </c>
      <c r="N6" s="40" t="s">
        <v>31</v>
      </c>
      <c r="O6" s="48"/>
      <c r="P6" s="26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6" s="33">
        <f t="shared" si="0"/>
        <v>0</v>
      </c>
      <c r="R6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3"/>
      <c r="T6" s="23" t="str">
        <f t="shared" si="1"/>
        <v/>
      </c>
    </row>
    <row r="7" spans="1:23" x14ac:dyDescent="0.25">
      <c r="B7" s="74" t="s">
        <v>8</v>
      </c>
      <c r="K7" s="34" t="s">
        <v>37</v>
      </c>
      <c r="L7" s="83">
        <f>-SUM(J14:J493,Q39:Q60,R14:R75)</f>
        <v>35841.87000000001</v>
      </c>
      <c r="N7" s="40" t="s">
        <v>54</v>
      </c>
      <c r="O7" s="48"/>
      <c r="P7" s="26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7" s="33">
        <f t="shared" si="0"/>
        <v>0</v>
      </c>
      <c r="R7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3"/>
      <c r="T7" s="23" t="str">
        <f t="shared" si="1"/>
        <v/>
      </c>
    </row>
    <row r="8" spans="1:23" ht="15.75" thickBot="1" x14ac:dyDescent="0.3">
      <c r="K8" s="34" t="s">
        <v>36</v>
      </c>
      <c r="L8" s="37">
        <f>L6-L7</f>
        <v>-35841.87000000001</v>
      </c>
      <c r="N8" s="40" t="s">
        <v>55</v>
      </c>
      <c r="O8" s="48"/>
      <c r="P8" s="26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8" s="33">
        <f t="shared" si="0"/>
        <v>0</v>
      </c>
      <c r="R8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3"/>
      <c r="T8" s="23" t="str">
        <f t="shared" si="1"/>
        <v/>
      </c>
    </row>
    <row r="9" spans="1:23" ht="15.75" thickTop="1" x14ac:dyDescent="0.25">
      <c r="B9" s="75" t="s">
        <v>5</v>
      </c>
      <c r="N9" s="40"/>
      <c r="O9" s="48"/>
      <c r="P9" s="26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9" s="33">
        <f t="shared" si="0"/>
        <v>0</v>
      </c>
      <c r="R9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3"/>
      <c r="T9" s="23" t="str">
        <f t="shared" si="1"/>
        <v/>
      </c>
    </row>
    <row r="10" spans="1:23" ht="15.75" customHeight="1" x14ac:dyDescent="0.25">
      <c r="B10" s="76" t="s">
        <v>1</v>
      </c>
      <c r="H10" s="38" t="s">
        <v>41</v>
      </c>
      <c r="N10" s="40"/>
      <c r="O10" s="48"/>
      <c r="P10" s="26" t="str">
        <f>IF(DepositTotals[[#This Row],[Amount]]="", "", CHOOSE(MATCH(DepositTotals[[#This Row],[Type]], {"CASH","CREDIT","CHECK","SERVICE POLICY","PARTS POLICY","XTIME"}, 0), "531007", "531001", "531001", "537750", "537650", "531001"))</f>
        <v/>
      </c>
      <c r="Q10" s="33">
        <f t="shared" si="0"/>
        <v>0</v>
      </c>
      <c r="R10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3"/>
      <c r="T10" s="23" t="str">
        <f t="shared" si="1"/>
        <v/>
      </c>
    </row>
    <row r="11" spans="1:23" x14ac:dyDescent="0.25">
      <c r="B11" s="1">
        <v>32271.119999999999</v>
      </c>
    </row>
    <row r="12" spans="1:23" x14ac:dyDescent="0.25">
      <c r="H12" s="57" t="s">
        <v>40</v>
      </c>
      <c r="N12" s="88" t="s">
        <v>26</v>
      </c>
      <c r="O12" s="89"/>
      <c r="P12" s="89"/>
      <c r="Q12" s="89"/>
      <c r="R12" s="89"/>
      <c r="S12" s="89"/>
      <c r="T12" s="90"/>
    </row>
    <row r="13" spans="1:23" ht="15.75" customHeight="1" x14ac:dyDescent="0.25">
      <c r="C13" s="76" t="s">
        <v>2</v>
      </c>
      <c r="D13" s="76" t="s">
        <v>0</v>
      </c>
      <c r="E13" s="76" t="s">
        <v>4</v>
      </c>
      <c r="F13" s="76" t="s">
        <v>7</v>
      </c>
      <c r="G13" s="56" t="s">
        <v>53</v>
      </c>
      <c r="H13" s="24" t="s">
        <v>9</v>
      </c>
      <c r="I13" s="20" t="s">
        <v>10</v>
      </c>
      <c r="J13" s="20" t="s">
        <v>10</v>
      </c>
      <c r="K13" s="20" t="s">
        <v>10</v>
      </c>
      <c r="L13" s="21" t="s">
        <v>25</v>
      </c>
      <c r="N13" s="30" t="s">
        <v>11</v>
      </c>
      <c r="O13" s="30" t="s">
        <v>12</v>
      </c>
      <c r="P13" s="31" t="s">
        <v>129</v>
      </c>
      <c r="Q13" s="31" t="s">
        <v>10</v>
      </c>
      <c r="R13" s="31" t="s">
        <v>32</v>
      </c>
      <c r="S13" s="31" t="s">
        <v>33</v>
      </c>
      <c r="T13" s="30" t="s">
        <v>25</v>
      </c>
    </row>
    <row r="14" spans="1:23" x14ac:dyDescent="0.25">
      <c r="C14" s="77" t="s">
        <v>132</v>
      </c>
      <c r="D14" s="77" t="s">
        <v>3</v>
      </c>
      <c r="E14" s="78">
        <v>1</v>
      </c>
      <c r="F14" s="1">
        <v>20</v>
      </c>
      <c r="G14" s="58">
        <f>IFERROR(SUMPRODUCT((TEXT(CC!$C$3:$C$1000,"0")=TEXT(C14,"0"))*IFERROR(CC!$E$3:$E$1000+0,0)),0)</f>
      </c>
      <c r="H14" s="72"/>
      <c r="I14" s="23" t="str">
        <f>IF(J14&lt;&gt;0,"531011","")</f>
        <v/>
      </c>
      <c r="J14" s="33" cm="1">
        <f t="array" ref="J14">IFERROR(-_xlfn.IFS(OR(H14="y",H14="Y"),F14,AND(H14&lt;&gt;0,ISNUMBER(H14)),H14,G14&lt;&gt;0,G14),0)</f>
        <v>0</v>
      </c>
      <c r="K14" s="28" t="str">
        <f t="shared" ref="K14:K45" si="2">IF(J14&lt;&gt;0,C14,"")</f>
        <v/>
      </c>
      <c r="L14" s="43" t="str">
        <f>IF(C14&lt;&gt;"",_xlfn.XLOOKUP(TEXT(C14,"0"),TEXT(CC!$C$3:$C$1000,"0"),CC!$G$3:$G$1000,""),"")</f>
        <v/>
      </c>
      <c r="N14" s="46">
        <v>167935</v>
      </c>
      <c r="O14" s="47">
        <v>2500</v>
      </c>
      <c r="P14" s="50"/>
      <c r="Q14" s="25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14" s="32">
        <f>-NotOnSch[[#This Row],[Amount]]</f>
        <v>-2500</v>
      </c>
      <c r="S14" s="28">
        <f t="shared" ref="S14:S35" si="3">IF(N14&lt;&gt;"",N14,"")</f>
        <v>167935</v>
      </c>
      <c r="T14" s="46">
        <f>IF(N14&lt;&gt;"",_xlfn.XLOOKUP(TEXT(N14,"0"),TEXT(CC!$C$3:$C$1000,"0"),CC!$G$3:$G$1000,""),"")</f>
      </c>
      <c r="W14" s="82"/>
    </row>
    <row r="15" spans="1:23" x14ac:dyDescent="0.25">
      <c r="C15" s="79" t="s">
        <v>133</v>
      </c>
      <c r="D15" s="79" t="s">
        <v>3</v>
      </c>
      <c r="E15" s="80">
        <v>1</v>
      </c>
      <c r="F15" s="2">
        <v>199</v>
      </c>
      <c r="G15" s="58">
        <f>IFERROR(SUMPRODUCT((TEXT(CC!$C$3:$C$1000,"0")=TEXT(C15,"0"))*IFERROR(CC!$E$3:$E$1000+0,0)),0)</f>
      </c>
      <c r="H15" s="44"/>
      <c r="I15" s="23" t="str">
        <f t="shared" ref="I15:I78" si="4">IF(J15&lt;&gt;0,"531011","")</f>
        <v/>
      </c>
      <c r="J15" s="33" cm="1">
        <f t="array" ref="J15">IFERROR(-_xlfn.IFS(OR(H15="y",H15="Y"),F15,AND(H15&lt;&gt;0,ISNUMBER(H15)),H15,G15&lt;&gt;0,G15),0)</f>
        <v>0</v>
      </c>
      <c r="K15" s="29" t="str">
        <f t="shared" si="2"/>
        <v/>
      </c>
      <c r="L15" s="45" t="str">
        <f>IF(C15&lt;&gt;"",_xlfn.XLOOKUP(TEXT(C15,"0"),TEXT(CC!$C$3:$C$1000,"0"),CC!$G$3:$G$1000,""),"")</f>
        <v/>
      </c>
      <c r="N15" s="40">
        <v>167933</v>
      </c>
      <c r="O15" s="48">
        <v>4000</v>
      </c>
      <c r="P15" s="51"/>
      <c r="Q15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15" s="33">
        <f>-NotOnSch[[#This Row],[Amount]]</f>
        <v>-4000</v>
      </c>
      <c r="S15" s="29">
        <f t="shared" si="3"/>
        <v>167933</v>
      </c>
      <c r="T15" s="40">
        <f>IF(N15&lt;&gt;"",_xlfn.XLOOKUP(TEXT(N15,"0"),TEXT(CC!$C$3:$C$1000,"0"),CC!$G$3:$G$1000,""),"")</f>
      </c>
      <c r="W15" s="82"/>
    </row>
    <row r="16" spans="1:23" x14ac:dyDescent="0.25">
      <c r="C16" s="77" t="s">
        <v>134</v>
      </c>
      <c r="D16" s="77" t="s">
        <v>3</v>
      </c>
      <c r="E16" s="78">
        <v>1</v>
      </c>
      <c r="F16" s="1">
        <v>1510.89</v>
      </c>
      <c r="G16" s="58">
        <f>IFERROR(SUMPRODUCT((TEXT(CC!$C$3:$C$1000,"0")=TEXT(C16,"0"))*IFERROR(CC!$E$3:$E$1000+0,0)),0)</f>
      </c>
      <c r="H16" s="44"/>
      <c r="I16" s="23" t="str">
        <f t="shared" si="4"/>
        <v/>
      </c>
      <c r="J16" s="33" cm="1">
        <f t="array" ref="J16">IFERROR(-_xlfn.IFS(OR(H16="y",H16="Y"),F16,AND(H16&lt;&gt;0,ISNUMBER(H16)),H16,G16&lt;&gt;0,G16),0)</f>
        <v>0</v>
      </c>
      <c r="K16" s="29" t="str">
        <f t="shared" si="2"/>
        <v/>
      </c>
      <c r="L16" s="45" t="str">
        <f>IF(C16&lt;&gt;"",_xlfn.XLOOKUP(TEXT(C16,"0"),TEXT(CC!$C$3:$C$1000,"0"),CC!$G$3:$G$1000,""),"")</f>
        <v/>
      </c>
      <c r="N16" s="40">
        <v>802662</v>
      </c>
      <c r="O16" s="48">
        <v>177.07</v>
      </c>
      <c r="P16" s="51"/>
      <c r="Q16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16" s="33">
        <f>-NotOnSch[[#This Row],[Amount]]</f>
        <v>-177.07</v>
      </c>
      <c r="S16" s="29">
        <f t="shared" si="3"/>
        <v>802662</v>
      </c>
      <c r="T16" s="40">
        <f>IF(N16&lt;&gt;"",_xlfn.XLOOKUP(TEXT(N16,"0"),TEXT(CC!$C$3:$C$1000,"0"),CC!$G$3:$G$1000,""),"")</f>
      </c>
      <c r="W16" s="82"/>
    </row>
    <row r="17" spans="3:23" x14ac:dyDescent="0.25">
      <c r="C17" s="79" t="s">
        <v>135</v>
      </c>
      <c r="D17" s="79" t="s">
        <v>3</v>
      </c>
      <c r="E17" s="80">
        <v>1</v>
      </c>
      <c r="F17" s="2">
        <v>3500</v>
      </c>
      <c r="G17" s="58">
        <f>IFERROR(SUMPRODUCT((TEXT(CC!$C$3:$C$1000,"0")=TEXT(C17,"0"))*IFERROR(CC!$E$3:$E$1000+0,0)),0)</f>
      </c>
      <c r="H17" s="44"/>
      <c r="I17" s="23" t="str">
        <f t="shared" si="4"/>
        <v>531011</v>
      </c>
      <c r="J17" s="33" cm="1">
        <f t="array" ref="J17">IFERROR(-_xlfn.IFS(OR(H17="y",H17="Y"),F17,AND(H17&lt;&gt;0,ISNUMBER(H17)),H17,G17&lt;&gt;0,G17),0)</f>
        <v>-3500</v>
      </c>
      <c r="K17" s="29" t="str">
        <f t="shared" si="2"/>
        <v>84573</v>
      </c>
      <c r="L17" s="45" t="str">
        <f>IF(C17&lt;&gt;"",_xlfn.XLOOKUP(TEXT(C17,"0"),TEXT(CC!$C$3:$C$1000,"0"),CC!$G$3:$G$1000,""),"")</f>
        <v/>
      </c>
      <c r="N17" s="40">
        <v>802721</v>
      </c>
      <c r="O17" s="48">
        <v>13.78</v>
      </c>
      <c r="P17" s="51"/>
      <c r="Q17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17" s="33">
        <f>-NotOnSch[[#This Row],[Amount]]</f>
        <v>-13.78</v>
      </c>
      <c r="S17" s="29">
        <f t="shared" si="3"/>
        <v>802721</v>
      </c>
      <c r="T17" s="40">
        <f>IF(N17&lt;&gt;"",_xlfn.XLOOKUP(TEXT(N17,"0"),TEXT(CC!$C$3:$C$1000,"0"),CC!$G$3:$G$1000,""),"")</f>
      </c>
      <c r="W17" s="82"/>
    </row>
    <row r="18" spans="3:23" x14ac:dyDescent="0.25">
      <c r="C18" s="77" t="s">
        <v>136</v>
      </c>
      <c r="D18" s="77" t="s">
        <v>3</v>
      </c>
      <c r="E18" s="78">
        <v>1</v>
      </c>
      <c r="F18" s="1">
        <v>2000</v>
      </c>
      <c r="G18" s="58">
        <f>IFERROR(SUMPRODUCT((TEXT(CC!$C$3:$C$1000,"0")=TEXT(C18,"0"))*IFERROR(CC!$E$3:$E$1000+0,0)),0)</f>
      </c>
      <c r="H18" s="44"/>
      <c r="I18" s="23" t="str">
        <f t="shared" si="4"/>
        <v/>
      </c>
      <c r="J18" s="33" cm="1">
        <f t="array" ref="J18">IFERROR(-_xlfn.IFS(OR(H18="y",H18="Y"),F18,AND(H18&lt;&gt;0,ISNUMBER(H18)),H18,G18&lt;&gt;0,G18),0)</f>
        <v>0</v>
      </c>
      <c r="K18" s="29" t="str">
        <f t="shared" si="2"/>
        <v/>
      </c>
      <c r="L18" s="45" t="str">
        <f>IF(C18&lt;&gt;"",_xlfn.XLOOKUP(TEXT(C18,"0"),TEXT(CC!$C$3:$C$1000,"0"),CC!$G$3:$G$1000,""),"")</f>
        <v/>
      </c>
      <c r="N18" s="40">
        <v>802514</v>
      </c>
      <c r="O18" s="48">
        <v>385.2</v>
      </c>
      <c r="P18" s="51"/>
      <c r="Q18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18" s="33">
        <f>-NotOnSch[[#This Row],[Amount]]</f>
        <v>-385.2</v>
      </c>
      <c r="S18" s="29">
        <f t="shared" si="3"/>
        <v>802514</v>
      </c>
      <c r="T18" s="40">
        <f>IF(N18&lt;&gt;"",_xlfn.XLOOKUP(TEXT(N18,"0"),TEXT(CC!$C$3:$C$1000,"0"),CC!$G$3:$G$1000,""),"")</f>
      </c>
      <c r="W18" s="82"/>
    </row>
    <row r="19" spans="3:23" x14ac:dyDescent="0.25">
      <c r="C19" s="79" t="s">
        <v>137</v>
      </c>
      <c r="D19" s="79" t="s">
        <v>3</v>
      </c>
      <c r="E19" s="80">
        <v>1</v>
      </c>
      <c r="F19" s="2">
        <v>250</v>
      </c>
      <c r="G19" s="58">
        <f>IFERROR(SUMPRODUCT((TEXT(CC!$C$3:$C$1000,"0")=TEXT(C19,"0"))*IFERROR(CC!$E$3:$E$1000+0,0)),0)</f>
      </c>
      <c r="H19" s="44"/>
      <c r="I19" s="23" t="str">
        <f t="shared" si="4"/>
        <v>531011</v>
      </c>
      <c r="J19" s="33" cm="1">
        <f t="array" ref="J19">IFERROR(-_xlfn.IFS(OR(H19="y",H19="Y"),F19,AND(H19&lt;&gt;0,ISNUMBER(H19)),H19,G19&lt;&gt;0,G19),0)</f>
        <v>-250</v>
      </c>
      <c r="K19" s="29" t="str">
        <f t="shared" si="2"/>
        <v>84575</v>
      </c>
      <c r="L19" s="45" t="str">
        <f>IF(C19&lt;&gt;"",_xlfn.XLOOKUP(TEXT(C19,"0"),TEXT(CC!$C$3:$C$1000,"0"),CC!$G$3:$G$1000,""),"")</f>
        <v/>
      </c>
      <c r="N19" s="40">
        <v>802677</v>
      </c>
      <c r="O19" s="48">
        <v>98.77</v>
      </c>
      <c r="P19" s="51"/>
      <c r="Q19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19" s="33">
        <f>-NotOnSch[[#This Row],[Amount]]</f>
        <v>-98.77</v>
      </c>
      <c r="S19" s="29">
        <f t="shared" si="3"/>
        <v>802677</v>
      </c>
      <c r="T19" s="40">
        <f>IF(N19&lt;&gt;"",_xlfn.XLOOKUP(TEXT(N19,"0"),TEXT(CC!$C$3:$C$1000,"0"),CC!$G$3:$G$1000,""),"")</f>
      </c>
      <c r="W19" s="82"/>
    </row>
    <row r="20" spans="3:23" x14ac:dyDescent="0.25">
      <c r="C20" s="77" t="s">
        <v>138</v>
      </c>
      <c r="D20" s="77" t="s">
        <v>3</v>
      </c>
      <c r="E20" s="78">
        <v>1</v>
      </c>
      <c r="F20" s="1">
        <v>4000</v>
      </c>
      <c r="G20" s="58">
        <f>IFERROR(SUMPRODUCT((TEXT(CC!$C$3:$C$1000,"0")=TEXT(C20,"0"))*IFERROR(CC!$E$3:$E$1000+0,0)),0)</f>
      </c>
      <c r="H20" s="44"/>
      <c r="I20" s="23" t="str">
        <f t="shared" si="4"/>
        <v>531011</v>
      </c>
      <c r="J20" s="33" cm="1">
        <f t="array" ref="J20">IFERROR(-_xlfn.IFS(OR(H20="y",H20="Y"),F20,AND(H20&lt;&gt;0,ISNUMBER(H20)),H20,G20&lt;&gt;0,G20),0)</f>
        <v>-4000</v>
      </c>
      <c r="K20" s="29" t="str">
        <f t="shared" si="2"/>
        <v>84576</v>
      </c>
      <c r="L20" s="45" t="str">
        <f>IF(C20&lt;&gt;"",_xlfn.XLOOKUP(TEXT(C20,"0"),TEXT(CC!$C$3:$C$1000,"0"),CC!$G$3:$G$1000,""),"")</f>
        <v/>
      </c>
      <c r="N20" s="40">
        <v>802719</v>
      </c>
      <c r="O20" s="48">
        <v>160.46</v>
      </c>
      <c r="P20" s="51"/>
      <c r="Q20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0" s="33">
        <f>-NotOnSch[[#This Row],[Amount]]</f>
        <v>-160.46</v>
      </c>
      <c r="S20" s="29">
        <f t="shared" si="3"/>
        <v>802719</v>
      </c>
      <c r="T20" s="40">
        <f>IF(N20&lt;&gt;"",_xlfn.XLOOKUP(TEXT(N20,"0"),TEXT(CC!$C$3:$C$1000,"0"),CC!$G$3:$G$1000,""),"")</f>
      </c>
      <c r="W20" s="82"/>
    </row>
    <row r="21" spans="3:23" x14ac:dyDescent="0.25">
      <c r="C21" s="79" t="s">
        <v>139</v>
      </c>
      <c r="D21" s="79" t="s">
        <v>3</v>
      </c>
      <c r="E21" s="80">
        <v>1</v>
      </c>
      <c r="F21" s="2">
        <v>500</v>
      </c>
      <c r="G21" s="58">
        <f>IFERROR(SUMPRODUCT((TEXT(CC!$C$3:$C$1000,"0")=TEXT(C21,"0"))*IFERROR(CC!$E$3:$E$1000+0,0)),0)</f>
      </c>
      <c r="H21" s="44"/>
      <c r="I21" s="23" t="str">
        <f t="shared" si="4"/>
        <v>531011</v>
      </c>
      <c r="J21" s="33" cm="1">
        <f t="array" ref="J21">IFERROR(-_xlfn.IFS(OR(H21="y",H21="Y"),F21,AND(H21&lt;&gt;0,ISNUMBER(H21)),H21,G21&lt;&gt;0,G21),0)</f>
        <v>-500</v>
      </c>
      <c r="K21" s="29" t="str">
        <f t="shared" si="2"/>
        <v>84577</v>
      </c>
      <c r="L21" s="45" t="str">
        <f>IF(C21&lt;&gt;"",_xlfn.XLOOKUP(TEXT(C21,"0"),TEXT(CC!$C$3:$C$1000,"0"),CC!$G$3:$G$1000,""),"")</f>
        <v/>
      </c>
      <c r="N21" s="40">
        <v>802659</v>
      </c>
      <c r="O21" s="48">
        <v>770.4</v>
      </c>
      <c r="P21" s="51"/>
      <c r="Q21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1" s="33">
        <f>-NotOnSch[[#This Row],[Amount]]</f>
        <v>-770.4</v>
      </c>
      <c r="S21" s="29">
        <f t="shared" si="3"/>
        <v>802659</v>
      </c>
      <c r="T21" s="40">
        <f>IF(N21&lt;&gt;"",_xlfn.XLOOKUP(TEXT(N21,"0"),TEXT(CC!$C$3:$C$1000,"0"),CC!$G$3:$G$1000,""),"")</f>
      </c>
      <c r="W21" s="82"/>
    </row>
    <row r="22" spans="3:23" x14ac:dyDescent="0.25">
      <c r="C22" s="77" t="s">
        <v>140</v>
      </c>
      <c r="D22" s="77" t="s">
        <v>3</v>
      </c>
      <c r="E22" s="78">
        <v>1</v>
      </c>
      <c r="F22" s="1">
        <v>1836</v>
      </c>
      <c r="G22" s="58">
        <f>IFERROR(SUMPRODUCT((TEXT(CC!$C$3:$C$1000,"0")=TEXT(C22,"0"))*IFERROR(CC!$E$3:$E$1000+0,0)),0)</f>
      </c>
      <c r="H22" s="44"/>
      <c r="I22" s="23" t="str">
        <f t="shared" si="4"/>
        <v>531011</v>
      </c>
      <c r="J22" s="33" cm="1">
        <f t="array" ref="J22">IFERROR(-_xlfn.IFS(OR(H22="y",H22="Y"),F22,AND(H22&lt;&gt;0,ISNUMBER(H22)),H22,G22&lt;&gt;0,G22),0)</f>
        <v>-1836</v>
      </c>
      <c r="K22" s="29" t="str">
        <f t="shared" si="2"/>
        <v>84578</v>
      </c>
      <c r="L22" s="45" t="str">
        <f>IF(C22&lt;&gt;"",_xlfn.XLOOKUP(TEXT(C22,"0"),TEXT(CC!$C$3:$C$1000,"0"),CC!$G$3:$G$1000,""),"")</f>
        <v/>
      </c>
      <c r="N22" s="40">
        <v>167927</v>
      </c>
      <c r="O22" s="48">
        <v>0</v>
      </c>
      <c r="P22" s="51"/>
      <c r="Q22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2" s="33">
        <f>-NotOnSch[[#This Row],[Amount]]</f>
        <v>0</v>
      </c>
      <c r="S22" s="29">
        <f t="shared" si="3"/>
        <v>167927</v>
      </c>
      <c r="T22" s="40">
        <f>IF(N22&lt;&gt;"",_xlfn.XLOOKUP(TEXT(N22,"0"),TEXT(CC!$C$3:$C$1000,"0"),CC!$G$3:$G$1000,""),"")</f>
      </c>
      <c r="W22" s="82"/>
    </row>
    <row r="23" spans="3:23" x14ac:dyDescent="0.25">
      <c r="C23" s="79" t="s">
        <v>141</v>
      </c>
      <c r="D23" s="79" t="s">
        <v>3</v>
      </c>
      <c r="E23" s="80">
        <v>1</v>
      </c>
      <c r="F23" s="2">
        <v>1000</v>
      </c>
      <c r="G23" s="58">
        <f>IFERROR(SUMPRODUCT((TEXT(CC!$C$3:$C$1000,"0")=TEXT(C23,"0"))*IFERROR(CC!$E$3:$E$1000+0,0)),0)</f>
      </c>
      <c r="H23" s="44"/>
      <c r="I23" s="23" t="str">
        <f t="shared" si="4"/>
        <v>531011</v>
      </c>
      <c r="J23" s="33" cm="1">
        <f t="array" ref="J23">IFERROR(-_xlfn.IFS(OR(H23="y",H23="Y"),F23,AND(H23&lt;&gt;0,ISNUMBER(H23)),H23,G23&lt;&gt;0,G23),0)</f>
        <v>-1000</v>
      </c>
      <c r="K23" s="29" t="str">
        <f t="shared" si="2"/>
        <v>84579</v>
      </c>
      <c r="L23" s="45" t="str">
        <f>IF(C23&lt;&gt;"",_xlfn.XLOOKUP(TEXT(C23,"0"),TEXT(CC!$C$3:$C$1000,"0"),CC!$G$3:$G$1000,""),"")</f>
        <v/>
      </c>
      <c r="N23" s="40">
        <v>802608</v>
      </c>
      <c r="O23" s="48">
        <v>1324.94</v>
      </c>
      <c r="P23" s="51"/>
      <c r="Q23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3" s="33">
        <f>-NotOnSch[[#This Row],[Amount]]</f>
        <v>-1324.94</v>
      </c>
      <c r="S23" s="29">
        <f t="shared" si="3"/>
        <v>802608</v>
      </c>
      <c r="T23" s="40">
        <f>IF(N23&lt;&gt;"",_xlfn.XLOOKUP(TEXT(N23,"0"),TEXT(CC!$C$3:$C$1000,"0"),CC!$G$3:$G$1000,""),"")</f>
      </c>
      <c r="W23" s="82"/>
    </row>
    <row r="24" spans="3:23" x14ac:dyDescent="0.25">
      <c r="C24" s="77" t="s">
        <v>142</v>
      </c>
      <c r="D24" s="77" t="s">
        <v>3</v>
      </c>
      <c r="E24" s="78">
        <v>1</v>
      </c>
      <c r="F24" s="1">
        <v>4000</v>
      </c>
      <c r="G24" s="58">
        <f>IFERROR(SUMPRODUCT((TEXT(CC!$C$3:$C$1000,"0")=TEXT(C24,"0"))*IFERROR(CC!$E$3:$E$1000+0,0)),0)</f>
      </c>
      <c r="H24" s="44"/>
      <c r="I24" s="23" t="str">
        <f t="shared" si="4"/>
        <v/>
      </c>
      <c r="J24" s="33" cm="1">
        <f t="array" ref="J24">IFERROR(-_xlfn.IFS(OR(H24="y",H24="Y"),F24,AND(H24&lt;&gt;0,ISNUMBER(H24)),H24,G24&lt;&gt;0,G24),0)</f>
        <v>0</v>
      </c>
      <c r="K24" s="29" t="str">
        <f t="shared" si="2"/>
        <v/>
      </c>
      <c r="L24" s="45" t="str">
        <f>IF(C24&lt;&gt;"",_xlfn.XLOOKUP(TEXT(C24,"0"),TEXT(CC!$C$3:$C$1000,"0"),CC!$G$3:$G$1000,""),"")</f>
        <v/>
      </c>
      <c r="N24" s="40">
        <v>802718</v>
      </c>
      <c r="O24" s="48">
        <v>124.54</v>
      </c>
      <c r="P24" s="51"/>
      <c r="Q24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4" s="33">
        <f>-NotOnSch[[#This Row],[Amount]]</f>
        <v>-124.54</v>
      </c>
      <c r="S24" s="29">
        <f t="shared" si="3"/>
        <v>802718</v>
      </c>
      <c r="T24" s="40">
        <f>IF(N24&lt;&gt;"",_xlfn.XLOOKUP(TEXT(N24,"0"),TEXT(CC!$C$3:$C$1000,"0"),CC!$G$3:$G$1000,""),"")</f>
      </c>
      <c r="W24" s="82"/>
    </row>
    <row r="25" spans="3:23" x14ac:dyDescent="0.25">
      <c r="C25" s="79" t="s">
        <v>143</v>
      </c>
      <c r="D25" s="79" t="s">
        <v>3</v>
      </c>
      <c r="E25" s="80">
        <v>1</v>
      </c>
      <c r="F25" s="2">
        <v>2500</v>
      </c>
      <c r="G25" s="58">
        <f>IFERROR(SUMPRODUCT((TEXT(CC!$C$3:$C$1000,"0")=TEXT(C25,"0"))*IFERROR(CC!$E$3:$E$1000+0,0)),0)</f>
      </c>
      <c r="H25" s="44"/>
      <c r="I25" s="23" t="str">
        <f t="shared" si="4"/>
        <v/>
      </c>
      <c r="J25" s="33" cm="1">
        <f t="array" ref="J25">IFERROR(-_xlfn.IFS(OR(H25="y",H25="Y"),F25,AND(H25&lt;&gt;0,ISNUMBER(H25)),H25,G25&lt;&gt;0,G25),0)</f>
        <v>0</v>
      </c>
      <c r="K25" s="29" t="str">
        <f t="shared" si="2"/>
        <v/>
      </c>
      <c r="L25" s="45" t="str">
        <f>IF(C25&lt;&gt;"",_xlfn.XLOOKUP(TEXT(C25,"0"),TEXT(CC!$C$3:$C$1000,"0"),CC!$G$3:$G$1000,""),"")</f>
        <v/>
      </c>
      <c r="N25" s="40">
        <v>802508</v>
      </c>
      <c r="O25" s="48">
        <v>1522.65</v>
      </c>
      <c r="P25" s="51"/>
      <c r="Q25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5" s="33">
        <f>-NotOnSch[[#This Row],[Amount]]</f>
        <v>-1522.65</v>
      </c>
      <c r="S25" s="29">
        <f t="shared" si="3"/>
        <v>802508</v>
      </c>
      <c r="T25" s="40">
        <f>IF(N25&lt;&gt;"",_xlfn.XLOOKUP(TEXT(N25,"0"),TEXT(CC!$C$3:$C$1000,"0"),CC!$G$3:$G$1000,""),"")</f>
      </c>
      <c r="W25" s="82"/>
    </row>
    <row r="26" spans="3:23" x14ac:dyDescent="0.25">
      <c r="C26" s="77" t="s">
        <v>144</v>
      </c>
      <c r="D26" s="77" t="s">
        <v>3</v>
      </c>
      <c r="E26" s="78">
        <v>6</v>
      </c>
      <c r="F26" s="1">
        <v>40.520000000000003</v>
      </c>
      <c r="G26" s="58">
        <f>IFERROR(SUMPRODUCT((TEXT(CC!$C$3:$C$1000,"0")=TEXT(C26,"0"))*IFERROR(CC!$E$3:$E$1000+0,0)),0)</f>
      </c>
      <c r="H26" s="44"/>
      <c r="I26" s="23" t="str">
        <f t="shared" si="4"/>
        <v/>
      </c>
      <c r="J26" s="33" cm="1">
        <f t="array" ref="J26">IFERROR(-_xlfn.IFS(OR(H26="y",H26="Y"),F26,AND(H26&lt;&gt;0,ISNUMBER(H26)),H26,G26&lt;&gt;0,G26),0)</f>
        <v>0</v>
      </c>
      <c r="K26" s="29" t="str">
        <f t="shared" si="2"/>
        <v/>
      </c>
      <c r="L26" s="45" t="str">
        <f>IF(C26&lt;&gt;"",_xlfn.XLOOKUP(TEXT(C26,"0"),TEXT(CC!$C$3:$C$1000,"0"),CC!$G$3:$G$1000,""),"")</f>
        <v/>
      </c>
      <c r="N26" s="40">
        <v>802508</v>
      </c>
      <c r="O26" s="48">
        <v>0</v>
      </c>
      <c r="P26" s="51"/>
      <c r="Q26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6" s="33">
        <f>-NotOnSch[[#This Row],[Amount]]</f>
        <v>0</v>
      </c>
      <c r="S26" s="29">
        <f t="shared" si="3"/>
        <v>802508</v>
      </c>
      <c r="T26" s="40">
        <f>IF(N26&lt;&gt;"",_xlfn.XLOOKUP(TEXT(N26,"0"),TEXT(CC!$C$3:$C$1000,"0"),CC!$G$3:$G$1000,""),"")</f>
      </c>
      <c r="W26" s="82"/>
    </row>
    <row r="27" spans="3:23" x14ac:dyDescent="0.25">
      <c r="C27" s="79" t="s">
        <v>145</v>
      </c>
      <c r="D27" s="79" t="s">
        <v>3</v>
      </c>
      <c r="E27" s="80">
        <v>2</v>
      </c>
      <c r="F27" s="2">
        <v>81.540000000000006</v>
      </c>
      <c r="G27" s="58">
        <f>IFERROR(SUMPRODUCT((TEXT(CC!$C$3:$C$1000,"0")=TEXT(C27,"0"))*IFERROR(CC!$E$3:$E$1000+0,0)),0)</f>
      </c>
      <c r="H27" s="44"/>
      <c r="I27" s="23" t="str">
        <f t="shared" si="4"/>
        <v>531011</v>
      </c>
      <c r="J27" s="33" cm="1">
        <f t="array" ref="J27">IFERROR(-_xlfn.IFS(OR(H27="y",H27="Y"),F27,AND(H27&lt;&gt;0,ISNUMBER(H27)),H27,G27&lt;&gt;0,G27),0)</f>
        <v>-81.540000000000006</v>
      </c>
      <c r="K27" s="29" t="str">
        <f t="shared" si="2"/>
        <v>448658</v>
      </c>
      <c r="L27" s="45" t="str">
        <f>IF(C27&lt;&gt;"",_xlfn.XLOOKUP(TEXT(C27,"0"),TEXT(CC!$C$3:$C$1000,"0"),CC!$G$3:$G$1000,""),"")</f>
        <v/>
      </c>
      <c r="N27" s="40">
        <v>802716</v>
      </c>
      <c r="O27" s="48">
        <v>0</v>
      </c>
      <c r="P27" s="51"/>
      <c r="Q27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7" s="33">
        <f>-NotOnSch[[#This Row],[Amount]]</f>
        <v>0</v>
      </c>
      <c r="S27" s="29">
        <f t="shared" si="3"/>
        <v>802716</v>
      </c>
      <c r="T27" s="40">
        <f>IF(N27&lt;&gt;"",_xlfn.XLOOKUP(TEXT(N27,"0"),TEXT(CC!$C$3:$C$1000,"0"),CC!$G$3:$G$1000,""),"")</f>
      </c>
      <c r="W27" s="82"/>
    </row>
    <row r="28" spans="3:23" x14ac:dyDescent="0.25">
      <c r="C28" s="77" t="s">
        <v>146</v>
      </c>
      <c r="D28" s="77" t="s">
        <v>3</v>
      </c>
      <c r="E28" s="78">
        <v>2</v>
      </c>
      <c r="F28" s="1">
        <v>-150</v>
      </c>
      <c r="G28" s="58">
        <f>IFERROR(SUMPRODUCT((TEXT(CC!$C$3:$C$1000,"0")=TEXT(C28,"0"))*IFERROR(CC!$E$3:$E$1000+0,0)),0)</f>
      </c>
      <c r="H28" s="44"/>
      <c r="I28" s="23" t="str">
        <f t="shared" si="4"/>
        <v/>
      </c>
      <c r="J28" s="33" cm="1">
        <f t="array" ref="J28">IFERROR(-_xlfn.IFS(OR(H28="y",H28="Y"),F28,AND(H28&lt;&gt;0,ISNUMBER(H28)),H28,G28&lt;&gt;0,G28),0)</f>
        <v>0</v>
      </c>
      <c r="K28" s="29" t="str">
        <f t="shared" si="2"/>
        <v/>
      </c>
      <c r="L28" s="45" t="str">
        <f>IF(C28&lt;&gt;"",_xlfn.XLOOKUP(TEXT(C28,"0"),TEXT(CC!$C$3:$C$1000,"0"),CC!$G$3:$G$1000,""),"")</f>
        <v/>
      </c>
      <c r="N28" s="40">
        <v>802716</v>
      </c>
      <c r="O28" s="48">
        <v>61.14</v>
      </c>
      <c r="P28" s="51"/>
      <c r="Q28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8" s="33">
        <f>-NotOnSch[[#This Row],[Amount]]</f>
        <v>-61.14</v>
      </c>
      <c r="S28" s="29">
        <f t="shared" si="3"/>
        <v>802716</v>
      </c>
      <c r="T28" s="40">
        <f>IF(N28&lt;&gt;"",_xlfn.XLOOKUP(TEXT(N28,"0"),TEXT(CC!$C$3:$C$1000,"0"),CC!$G$3:$G$1000,""),"")</f>
      </c>
      <c r="W28" s="82"/>
    </row>
    <row r="29" spans="3:23" x14ac:dyDescent="0.25">
      <c r="C29" s="79" t="s">
        <v>147</v>
      </c>
      <c r="D29" s="79" t="s">
        <v>3</v>
      </c>
      <c r="E29" s="80">
        <v>1</v>
      </c>
      <c r="F29" s="2">
        <v>78.099999999999994</v>
      </c>
      <c r="G29" s="58">
        <f>IFERROR(SUMPRODUCT((TEXT(CC!$C$3:$C$1000,"0")=TEXT(C29,"0"))*IFERROR(CC!$E$3:$E$1000+0,0)),0)</f>
      </c>
      <c r="H29" s="44"/>
      <c r="I29" s="23" t="str">
        <f t="shared" si="4"/>
        <v/>
      </c>
      <c r="J29" s="33" cm="1">
        <f t="array" ref="J29">IFERROR(-_xlfn.IFS(OR(H29="y",H29="Y"),F29,AND(H29&lt;&gt;0,ISNUMBER(H29)),H29,G29&lt;&gt;0,G29),0)</f>
        <v>0</v>
      </c>
      <c r="K29" s="29" t="str">
        <f t="shared" si="2"/>
        <v/>
      </c>
      <c r="L29" s="45" t="str">
        <f>IF(C29&lt;&gt;"",_xlfn.XLOOKUP(TEXT(C29,"0"),TEXT(CC!$C$3:$C$1000,"0"),CC!$G$3:$G$1000,""),"")</f>
        <v/>
      </c>
      <c r="N29" s="40">
        <v>802716</v>
      </c>
      <c r="O29" s="48">
        <v>0</v>
      </c>
      <c r="P29" s="51"/>
      <c r="Q29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29" s="33">
        <f>-NotOnSch[[#This Row],[Amount]]</f>
        <v>0</v>
      </c>
      <c r="S29" s="29">
        <f t="shared" si="3"/>
        <v>802716</v>
      </c>
      <c r="T29" s="40">
        <f>IF(N29&lt;&gt;"",_xlfn.XLOOKUP(TEXT(N29,"0"),TEXT(CC!$C$3:$C$1000,"0"),CC!$G$3:$G$1000,""),"")</f>
      </c>
      <c r="W29" s="82"/>
    </row>
    <row r="30" spans="3:23" x14ac:dyDescent="0.25">
      <c r="C30" s="77" t="s">
        <v>148</v>
      </c>
      <c r="D30" s="77" t="s">
        <v>3</v>
      </c>
      <c r="E30" s="78">
        <v>1</v>
      </c>
      <c r="F30" s="1">
        <v>150</v>
      </c>
      <c r="G30" s="58">
        <f>IFERROR(SUMPRODUCT((TEXT(CC!$C$3:$C$1000,"0")=TEXT(C30,"0"))*IFERROR(CC!$E$3:$E$1000+0,0)),0)</f>
      </c>
      <c r="H30" s="44"/>
      <c r="I30" s="23" t="str">
        <f t="shared" si="4"/>
        <v/>
      </c>
      <c r="J30" s="33" cm="1">
        <f t="array" ref="J30">IFERROR(-_xlfn.IFS(OR(H30="y",H30="Y"),F30,AND(H30&lt;&gt;0,ISNUMBER(H30)),H30,G30&lt;&gt;0,G30),0)</f>
        <v>0</v>
      </c>
      <c r="K30" s="29" t="str">
        <f t="shared" si="2"/>
        <v/>
      </c>
      <c r="L30" s="45" t="str">
        <f>IF(C30&lt;&gt;"",_xlfn.XLOOKUP(TEXT(C30,"0"),TEXT(CC!$C$3:$C$1000,"0"),CC!$G$3:$G$1000,""),"")</f>
        <v/>
      </c>
      <c r="N30" s="40">
        <v>802716</v>
      </c>
      <c r="O30" s="48">
        <v>0</v>
      </c>
      <c r="P30" s="51"/>
      <c r="Q30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0" s="33">
        <f>-NotOnSch[[#This Row],[Amount]]</f>
        <v>0</v>
      </c>
      <c r="S30" s="29">
        <f t="shared" si="3"/>
        <v>802716</v>
      </c>
      <c r="T30" s="40">
        <f>IF(N30&lt;&gt;"",_xlfn.XLOOKUP(TEXT(N30,"0"),TEXT(CC!$C$3:$C$1000,"0"),CC!$G$3:$G$1000,""),"")</f>
      </c>
      <c r="W30" s="82"/>
    </row>
    <row r="31" spans="3:23" x14ac:dyDescent="0.25">
      <c r="C31" s="79" t="s">
        <v>149</v>
      </c>
      <c r="D31" s="79" t="s">
        <v>3</v>
      </c>
      <c r="E31" s="80">
        <v>1</v>
      </c>
      <c r="F31" s="2">
        <v>52.01</v>
      </c>
      <c r="G31" s="58">
        <f>IFERROR(SUMPRODUCT((TEXT(CC!$C$3:$C$1000,"0")=TEXT(C31,"0"))*IFERROR(CC!$E$3:$E$1000+0,0)),0)</f>
      </c>
      <c r="H31" s="44"/>
      <c r="I31" s="23" t="str">
        <f t="shared" si="4"/>
        <v/>
      </c>
      <c r="J31" s="33" cm="1">
        <f t="array" ref="J31">IFERROR(-_xlfn.IFS(OR(H31="y",H31="Y"),F31,AND(H31&lt;&gt;0,ISNUMBER(H31)),H31,G31&lt;&gt;0,G31),0)</f>
        <v>0</v>
      </c>
      <c r="K31" s="29" t="str">
        <f t="shared" si="2"/>
        <v/>
      </c>
      <c r="L31" s="45" t="str">
        <f>IF(C31&lt;&gt;"",_xlfn.XLOOKUP(TEXT(C31,"0"),TEXT(CC!$C$3:$C$1000,"0"),CC!$G$3:$G$1000,""),"")</f>
        <v/>
      </c>
      <c r="N31" s="40">
        <v>802716</v>
      </c>
      <c r="O31" s="48">
        <v>0</v>
      </c>
      <c r="P31" s="51"/>
      <c r="Q31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1" s="33">
        <f>-NotOnSch[[#This Row],[Amount]]</f>
        <v>0</v>
      </c>
      <c r="S31" s="29">
        <f t="shared" si="3"/>
        <v>802716</v>
      </c>
      <c r="T31" s="40">
        <f>IF(N31&lt;&gt;"",_xlfn.XLOOKUP(TEXT(N31,"0"),TEXT(CC!$C$3:$C$1000,"0"),CC!$G$3:$G$1000,""),"")</f>
      </c>
      <c r="W31" s="82"/>
    </row>
    <row r="32" spans="3:23" x14ac:dyDescent="0.25">
      <c r="C32" s="77" t="s">
        <v>150</v>
      </c>
      <c r="D32" s="77" t="s">
        <v>3</v>
      </c>
      <c r="E32" s="78">
        <v>2</v>
      </c>
      <c r="F32" s="1">
        <v>217.21</v>
      </c>
      <c r="G32" s="58">
        <f>IFERROR(SUMPRODUCT((TEXT(CC!$C$3:$C$1000,"0")=TEXT(C32,"0"))*IFERROR(CC!$E$3:$E$1000+0,0)),0)</f>
      </c>
      <c r="H32" s="44"/>
      <c r="I32" s="23" t="str">
        <f t="shared" si="4"/>
        <v/>
      </c>
      <c r="J32" s="33" cm="1">
        <f t="array" ref="J32">IFERROR(-_xlfn.IFS(OR(H32="y",H32="Y"),F32,AND(H32&lt;&gt;0,ISNUMBER(H32)),H32,G32&lt;&gt;0,G32),0)</f>
        <v>0</v>
      </c>
      <c r="K32" s="29" t="str">
        <f t="shared" si="2"/>
        <v/>
      </c>
      <c r="L32" s="45" t="str">
        <f>IF(C32&lt;&gt;"",_xlfn.XLOOKUP(TEXT(C32,"0"),TEXT(CC!$C$3:$C$1000,"0"),CC!$G$3:$G$1000,""),"")</f>
        <v/>
      </c>
      <c r="N32" s="40">
        <v>802714</v>
      </c>
      <c r="O32" s="48">
        <v>28.32</v>
      </c>
      <c r="P32" s="51"/>
      <c r="Q32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2" s="33">
        <f>-NotOnSch[[#This Row],[Amount]]</f>
        <v>-28.32</v>
      </c>
      <c r="S32" s="29">
        <f t="shared" si="3"/>
        <v>802714</v>
      </c>
      <c r="T32" s="40">
        <f>IF(N32&lt;&gt;"",_xlfn.XLOOKUP(TEXT(N32,"0"),TEXT(CC!$C$3:$C$1000,"0"),CC!$G$3:$G$1000,""),"")</f>
      </c>
    </row>
    <row r="33" spans="3:20" x14ac:dyDescent="0.25">
      <c r="C33" s="79" t="s">
        <v>151</v>
      </c>
      <c r="D33" s="79" t="s">
        <v>3</v>
      </c>
      <c r="E33" s="80">
        <v>1</v>
      </c>
      <c r="F33" s="2">
        <v>76.260000000000005</v>
      </c>
      <c r="G33" s="58">
        <f>IFERROR(SUMPRODUCT((TEXT(CC!$C$3:$C$1000,"0")=TEXT(C33,"0"))*IFERROR(CC!$E$3:$E$1000+0,0)),0)</f>
      </c>
      <c r="H33" s="44"/>
      <c r="I33" s="23" t="str">
        <f t="shared" si="4"/>
        <v/>
      </c>
      <c r="J33" s="33" cm="1">
        <f t="array" ref="J33">IFERROR(-_xlfn.IFS(OR(H33="y",H33="Y"),F33,AND(H33&lt;&gt;0,ISNUMBER(H33)),H33,G33&lt;&gt;0,G33),0)</f>
        <v>0</v>
      </c>
      <c r="K33" s="29" t="str">
        <f t="shared" si="2"/>
        <v/>
      </c>
      <c r="L33" s="45" t="str">
        <f>IF(C33&lt;&gt;"",_xlfn.XLOOKUP(TEXT(C33,"0"),TEXT(CC!$C$3:$C$1000,"0"),CC!$G$3:$G$1000,""),"")</f>
        <v/>
      </c>
      <c r="N33" s="40">
        <v>802711</v>
      </c>
      <c r="O33" s="48">
        <v>483.87</v>
      </c>
      <c r="P33" s="51"/>
      <c r="Q33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3" s="33">
        <f>-NotOnSch[[#This Row],[Amount]]</f>
        <v>-483.87</v>
      </c>
      <c r="S33" s="29">
        <f t="shared" si="3"/>
        <v>802711</v>
      </c>
      <c r="T33" s="40">
        <f>IF(N33&lt;&gt;"",_xlfn.XLOOKUP(TEXT(N33,"0"),TEXT(CC!$C$3:$C$1000,"0"),CC!$G$3:$G$1000,""),"")</f>
      </c>
    </row>
    <row r="34" spans="3:20" x14ac:dyDescent="0.25">
      <c r="C34" s="77" t="s">
        <v>152</v>
      </c>
      <c r="D34" s="77" t="s">
        <v>3</v>
      </c>
      <c r="E34" s="78">
        <v>1</v>
      </c>
      <c r="F34" s="1">
        <v>22.75</v>
      </c>
      <c r="G34" s="58">
        <f>IFERROR(SUMPRODUCT((TEXT(CC!$C$3:$C$1000,"0")=TEXT(C34,"0"))*IFERROR(CC!$E$3:$E$1000+0,0)),0)</f>
      </c>
      <c r="H34" s="44"/>
      <c r="I34" s="23" t="str">
        <f t="shared" si="4"/>
        <v>531011</v>
      </c>
      <c r="J34" s="33" cm="1">
        <f t="array" ref="J34">IFERROR(-_xlfn.IFS(OR(H34="y",H34="Y"),F34,AND(H34&lt;&gt;0,ISNUMBER(H34)),H34,G34&lt;&gt;0,G34),0)</f>
        <v>-22.75</v>
      </c>
      <c r="K34" s="29" t="str">
        <f t="shared" si="2"/>
        <v>448704</v>
      </c>
      <c r="L34" s="45" t="str">
        <f>IF(C34&lt;&gt;"",_xlfn.XLOOKUP(TEXT(C34,"0"),TEXT(CC!$C$3:$C$1000,"0"),CC!$G$3:$G$1000,""),"")</f>
        <v/>
      </c>
      <c r="N34" s="40">
        <v>802713</v>
      </c>
      <c r="O34" s="48">
        <v>19.78</v>
      </c>
      <c r="P34" s="51"/>
      <c r="Q34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4" s="33">
        <f>-NotOnSch[[#This Row],[Amount]]</f>
        <v>-19.78</v>
      </c>
      <c r="S34" s="29">
        <f t="shared" si="3"/>
        <v>802713</v>
      </c>
      <c r="T34" s="40">
        <f>IF(N34&lt;&gt;"",_xlfn.XLOOKUP(TEXT(N34,"0"),TEXT(CC!$C$3:$C$1000,"0"),CC!$G$3:$G$1000,""),"")</f>
      </c>
    </row>
    <row r="35" spans="3:20" x14ac:dyDescent="0.25">
      <c r="C35" s="79" t="s">
        <v>153</v>
      </c>
      <c r="D35" s="79" t="s">
        <v>3</v>
      </c>
      <c r="E35" s="80">
        <v>1</v>
      </c>
      <c r="F35" s="2">
        <v>327.42</v>
      </c>
      <c r="G35" s="58">
        <f>IFERROR(SUMPRODUCT((TEXT(CC!$C$3:$C$1000,"0")=TEXT(C35,"0"))*IFERROR(CC!$E$3:$E$1000+0,0)),0)</f>
      </c>
      <c r="H35" s="44"/>
      <c r="I35" s="23" t="str">
        <f t="shared" si="4"/>
        <v>531011</v>
      </c>
      <c r="J35" s="33" cm="1">
        <f t="array" ref="J35">IFERROR(-_xlfn.IFS(OR(H35="y",H35="Y"),F35,AND(H35&lt;&gt;0,ISNUMBER(H35)),H35,G35&lt;&gt;0,G35),0)</f>
        <v>-327.42</v>
      </c>
      <c r="K35" s="29" t="str">
        <f t="shared" si="2"/>
        <v>448706</v>
      </c>
      <c r="L35" s="45" t="str">
        <f>IF(C35&lt;&gt;"",_xlfn.XLOOKUP(TEXT(C35,"0"),TEXT(CC!$C$3:$C$1000,"0"),CC!$G$3:$G$1000,""),"")</f>
        <v/>
      </c>
      <c r="N35" s="40">
        <v>802657</v>
      </c>
      <c r="O35" s="48">
        <v>1058.53</v>
      </c>
      <c r="P35" s="51"/>
      <c r="Q35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5" s="33">
        <f>-NotOnSch[[#This Row],[Amount]]</f>
        <v>-1058.53</v>
      </c>
      <c r="S35" s="29">
        <f t="shared" si="3"/>
        <v>802657</v>
      </c>
      <c r="T35" s="40">
        <f>IF(N35&lt;&gt;"",_xlfn.XLOOKUP(TEXT(N35,"0"),TEXT(CC!$C$3:$C$1000,"0"),CC!$G$3:$G$1000,""),"")</f>
      </c>
    </row>
    <row r="36" spans="3:20" x14ac:dyDescent="0.25">
      <c r="C36" s="77" t="s">
        <v>154</v>
      </c>
      <c r="D36" s="77" t="s">
        <v>3</v>
      </c>
      <c r="E36" s="78">
        <v>1</v>
      </c>
      <c r="F36" s="1">
        <v>457.76</v>
      </c>
      <c r="G36" s="58">
        <f>IFERROR(SUMPRODUCT((TEXT(CC!$C$3:$C$1000,"0")=TEXT(C36,"0"))*IFERROR(CC!$E$3:$E$1000+0,0)),0)</f>
      </c>
      <c r="H36" s="44"/>
      <c r="I36" s="23" t="str">
        <f t="shared" si="4"/>
        <v>531011</v>
      </c>
      <c r="J36" s="33" cm="1">
        <f t="array" ref="J36">IFERROR(-_xlfn.IFS(OR(H36="y",H36="Y"),F36,AND(H36&lt;&gt;0,ISNUMBER(H36)),H36,G36&lt;&gt;0,G36),0)</f>
        <v>-457.76</v>
      </c>
      <c r="K36" s="29" t="str">
        <f t="shared" si="2"/>
        <v>448707</v>
      </c>
      <c r="L36" s="45" t="str">
        <f>IF(C36&lt;&gt;"",_xlfn.XLOOKUP(TEXT(C36,"0"),TEXT(CC!$C$3:$C$1000,"0"),CC!$G$3:$G$1000,""),"")</f>
        <v/>
      </c>
      <c r="N36" s="40">
        <v>802715</v>
      </c>
      <c r="O36" s="48">
        <v>19.78</v>
      </c>
      <c r="P36" s="51"/>
      <c r="Q36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6" s="33">
        <f>-NotOnSch[[#This Row],[Amount]]</f>
        <v>-19.78</v>
      </c>
      <c r="S36" s="29">
        <f t="shared" ref="S36:S55" si="5">IF(N36&lt;&gt;"",N36,"")</f>
        <v>802715</v>
      </c>
      <c r="T36" s="40">
        <f>IF(N36&lt;&gt;"",_xlfn.XLOOKUP(TEXT(N36,"0"),TEXT(CC!$C$3:$C$1000,"0"),CC!$G$3:$G$1000,""),"")</f>
      </c>
    </row>
    <row r="37" spans="3:20" x14ac:dyDescent="0.25">
      <c r="C37" s="79" t="s">
        <v>155</v>
      </c>
      <c r="D37" s="79" t="s">
        <v>3</v>
      </c>
      <c r="E37" s="80">
        <v>1</v>
      </c>
      <c r="F37" s="2">
        <v>54.78</v>
      </c>
      <c r="G37" s="58">
        <f>IFERROR(SUMPRODUCT((TEXT(CC!$C$3:$C$1000,"0")=TEXT(C37,"0"))*IFERROR(CC!$E$3:$E$1000+0,0)),0)</f>
      </c>
      <c r="H37" s="44"/>
      <c r="I37" s="23" t="str">
        <f t="shared" si="4"/>
        <v>531011</v>
      </c>
      <c r="J37" s="33" cm="1">
        <f t="array" ref="J37">IFERROR(-_xlfn.IFS(OR(H37="y",H37="Y"),F37,AND(H37&lt;&gt;0,ISNUMBER(H37)),H37,G37&lt;&gt;0,G37),0)</f>
        <v>-54.78</v>
      </c>
      <c r="K37" s="29" t="str">
        <f t="shared" si="2"/>
        <v>448709</v>
      </c>
      <c r="L37" s="45" t="str">
        <f>IF(C37&lt;&gt;"",_xlfn.XLOOKUP(TEXT(C37,"0"),TEXT(CC!$C$3:$C$1000,"0"),CC!$G$3:$G$1000,""),"")</f>
        <v/>
      </c>
      <c r="N37" s="40">
        <v>802717</v>
      </c>
      <c r="O37" s="48">
        <v>19.78</v>
      </c>
      <c r="P37" s="51"/>
      <c r="Q37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7" s="33">
        <f>-NotOnSch[[#This Row],[Amount]]</f>
        <v>-19.78</v>
      </c>
      <c r="S37" s="29">
        <f t="shared" si="5"/>
        <v>802717</v>
      </c>
      <c r="T37" s="40">
        <f>IF(N37&lt;&gt;"",_xlfn.XLOOKUP(TEXT(N37,"0"),TEXT(CC!$C$3:$C$1000,"0"),CC!$G$3:$G$1000,""),"")</f>
      </c>
    </row>
    <row r="38" spans="3:20" x14ac:dyDescent="0.25">
      <c r="C38" s="77" t="s">
        <v>156</v>
      </c>
      <c r="D38" s="77" t="s">
        <v>3</v>
      </c>
      <c r="E38" s="78">
        <v>1</v>
      </c>
      <c r="F38" s="1">
        <v>10.65</v>
      </c>
      <c r="G38" s="58">
        <f>IFERROR(SUMPRODUCT((TEXT(CC!$C$3:$C$1000,"0")=TEXT(C38,"0"))*IFERROR(CC!$E$3:$E$1000+0,0)),0)</f>
      </c>
      <c r="H38" s="44"/>
      <c r="I38" s="23" t="str">
        <f t="shared" si="4"/>
        <v>531011</v>
      </c>
      <c r="J38" s="33" cm="1">
        <f t="array" ref="J38">IFERROR(-_xlfn.IFS(OR(H38="y",H38="Y"),F38,AND(H38&lt;&gt;0,ISNUMBER(H38)),H38,G38&lt;&gt;0,G38),0)</f>
        <v>-10.65</v>
      </c>
      <c r="K38" s="29" t="str">
        <f t="shared" si="2"/>
        <v>448713</v>
      </c>
      <c r="L38" s="45" t="str">
        <f>IF(C38&lt;&gt;"",_xlfn.XLOOKUP(TEXT(C38,"0"),TEXT(CC!$C$3:$C$1000,"0"),CC!$G$3:$G$1000,""),"")</f>
        <v/>
      </c>
      <c r="N38" s="40">
        <v>802712</v>
      </c>
      <c r="O38" s="48">
        <v>0</v>
      </c>
      <c r="P38" s="51"/>
      <c r="Q38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8" s="33">
        <f>-NotOnSch[[#This Row],[Amount]]</f>
        <v>0</v>
      </c>
      <c r="S38" s="29">
        <f t="shared" si="5"/>
        <v>802712</v>
      </c>
      <c r="T38" s="40">
        <f>IF(N38&lt;&gt;"",_xlfn.XLOOKUP(TEXT(N38,"0"),TEXT(CC!$C$3:$C$1000,"0"),CC!$G$3:$G$1000,""),"")</f>
      </c>
    </row>
    <row r="39" spans="3:20" x14ac:dyDescent="0.25">
      <c r="C39" s="79" t="s">
        <v>157</v>
      </c>
      <c r="D39" s="79" t="s">
        <v>3</v>
      </c>
      <c r="E39" s="80">
        <v>1</v>
      </c>
      <c r="F39" s="2">
        <v>599.46</v>
      </c>
      <c r="G39" s="58">
        <f>IFERROR(SUMPRODUCT((TEXT(CC!$C$3:$C$1000,"0")=TEXT(C39,"0"))*IFERROR(CC!$E$3:$E$1000+0,0)),0)</f>
      </c>
      <c r="H39" s="44"/>
      <c r="I39" s="23" t="str">
        <f t="shared" si="4"/>
        <v/>
      </c>
      <c r="J39" s="33" cm="1">
        <f t="array" ref="J39">IFERROR(-_xlfn.IFS(OR(H39="y",H39="Y"),F39,AND(H39&lt;&gt;0,ISNUMBER(H39)),H39,G39&lt;&gt;0,G39),0)</f>
        <v>0</v>
      </c>
      <c r="K39" s="29" t="str">
        <f t="shared" si="2"/>
        <v/>
      </c>
      <c r="L39" s="45" t="str">
        <f>IF(C39&lt;&gt;"",_xlfn.XLOOKUP(TEXT(C39,"0"),TEXT(CC!$C$3:$C$1000,"0"),CC!$G$3:$G$1000,""),"")</f>
        <v/>
      </c>
      <c r="N39" s="40">
        <v>802712</v>
      </c>
      <c r="O39" s="48">
        <v>132.41999999999999</v>
      </c>
      <c r="P39" s="51"/>
      <c r="Q39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39" s="33">
        <f>-NotOnSch[[#This Row],[Amount]]</f>
        <v>-132.41999999999999</v>
      </c>
      <c r="S39" s="29">
        <f t="shared" si="5"/>
        <v>802712</v>
      </c>
      <c r="T39" s="40">
        <f>IF(N39&lt;&gt;"",_xlfn.XLOOKUP(TEXT(N39,"0"),TEXT(CC!$C$3:$C$1000,"0"),CC!$G$3:$G$1000,""),"")</f>
      </c>
    </row>
    <row r="40" spans="3:20" x14ac:dyDescent="0.25">
      <c r="C40" s="77" t="s">
        <v>158</v>
      </c>
      <c r="D40" s="77" t="s">
        <v>3</v>
      </c>
      <c r="E40" s="78">
        <v>22</v>
      </c>
      <c r="F40" s="1">
        <v>2297.91</v>
      </c>
      <c r="G40" s="58">
        <f>IFERROR(SUMPRODUCT((TEXT(CC!$C$3:$C$1000,"0")=TEXT(C40,"0"))*IFERROR(CC!$E$3:$E$1000+0,0)),0)</f>
      </c>
      <c r="H40" s="44"/>
      <c r="I40" s="23" t="str">
        <f t="shared" si="4"/>
        <v/>
      </c>
      <c r="J40" s="33" cm="1">
        <f t="array" ref="J40">IFERROR(-_xlfn.IFS(OR(H40="y",H40="Y"),F40,AND(H40&lt;&gt;0,ISNUMBER(H40)),H40,G40&lt;&gt;0,G40),0)</f>
        <v>0</v>
      </c>
      <c r="K40" s="29" t="str">
        <f t="shared" si="2"/>
        <v/>
      </c>
      <c r="L40" s="45" t="str">
        <f>IF(C40&lt;&gt;"",_xlfn.XLOOKUP(TEXT(C40,"0"),TEXT(CC!$C$3:$C$1000,"0"),CC!$G$3:$G$1000,""),"")</f>
        <v/>
      </c>
      <c r="N40" s="40">
        <v>802663</v>
      </c>
      <c r="O40" s="48">
        <v>333.32</v>
      </c>
      <c r="P40" s="51"/>
      <c r="Q40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0" s="33">
        <f>-NotOnSch[[#This Row],[Amount]]</f>
        <v>-333.32</v>
      </c>
      <c r="S40" s="29">
        <f t="shared" si="5"/>
        <v>802663</v>
      </c>
      <c r="T40" s="40">
        <f>IF(N40&lt;&gt;"",_xlfn.XLOOKUP(TEXT(N40,"0"),TEXT(CC!$C$3:$C$1000,"0"),CC!$G$3:$G$1000,""),"")</f>
      </c>
    </row>
    <row r="41" spans="3:20" x14ac:dyDescent="0.25">
      <c r="C41" s="79" t="s">
        <v>159</v>
      </c>
      <c r="D41" s="79" t="s">
        <v>3</v>
      </c>
      <c r="E41" s="80">
        <v>1</v>
      </c>
      <c r="F41" s="2">
        <v>19.78</v>
      </c>
      <c r="G41" s="58">
        <f>IFERROR(SUMPRODUCT((TEXT(CC!$C$3:$C$1000,"0")=TEXT(C41,"0"))*IFERROR(CC!$E$3:$E$1000+0,0)),0)</f>
      </c>
      <c r="H41" s="44"/>
      <c r="I41" s="23" t="str">
        <f t="shared" si="4"/>
        <v/>
      </c>
      <c r="J41" s="33" cm="1">
        <f t="array" ref="J41">IFERROR(-_xlfn.IFS(OR(H41="y",H41="Y"),F41,AND(H41&lt;&gt;0,ISNUMBER(H41)),H41,G41&lt;&gt;0,G41),0)</f>
        <v>0</v>
      </c>
      <c r="K41" s="29" t="str">
        <f t="shared" si="2"/>
        <v/>
      </c>
      <c r="L41" s="45" t="str">
        <f>IF(C41&lt;&gt;"",_xlfn.XLOOKUP(TEXT(C41,"0"),TEXT(CC!$C$3:$C$1000,"0"),CC!$G$3:$G$1000,""),"")</f>
        <v/>
      </c>
      <c r="N41" s="40">
        <v>802623</v>
      </c>
      <c r="O41" s="48">
        <v>433.29</v>
      </c>
      <c r="P41" s="51"/>
      <c r="Q41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1" s="33">
        <f>-NotOnSch[[#This Row],[Amount]]</f>
        <v>-433.29</v>
      </c>
      <c r="S41" s="29">
        <f t="shared" si="5"/>
        <v>802623</v>
      </c>
      <c r="T41" s="40">
        <f>IF(N41&lt;&gt;"",_xlfn.XLOOKUP(TEXT(N41,"0"),TEXT(CC!$C$3:$C$1000,"0"),CC!$G$3:$G$1000,""),"")</f>
      </c>
    </row>
    <row r="42" spans="3:20" x14ac:dyDescent="0.25">
      <c r="C42" s="77" t="s">
        <v>160</v>
      </c>
      <c r="D42" s="77" t="s">
        <v>3</v>
      </c>
      <c r="E42" s="78">
        <v>9</v>
      </c>
      <c r="F42" s="1">
        <v>453.6</v>
      </c>
      <c r="G42" s="58">
        <f>IFERROR(SUMPRODUCT((TEXT(CC!$C$3:$C$1000,"0")=TEXT(C42,"0"))*IFERROR(CC!$E$3:$E$1000+0,0)),0)</f>
      </c>
      <c r="H42" s="44"/>
      <c r="I42" s="23" t="str">
        <f t="shared" si="4"/>
        <v/>
      </c>
      <c r="J42" s="33" cm="1">
        <f t="array" ref="J42">IFERROR(-_xlfn.IFS(OR(H42="y",H42="Y"),F42,AND(H42&lt;&gt;0,ISNUMBER(H42)),H42,G42&lt;&gt;0,G42),0)</f>
        <v>0</v>
      </c>
      <c r="K42" s="29" t="str">
        <f t="shared" si="2"/>
        <v/>
      </c>
      <c r="L42" s="45" t="str">
        <f>IF(C42&lt;&gt;"",_xlfn.XLOOKUP(TEXT(C42,"0"),TEXT(CC!$C$3:$C$1000,"0"),CC!$G$3:$G$1000,""),"")</f>
        <v/>
      </c>
      <c r="N42" s="40">
        <v>802707</v>
      </c>
      <c r="O42" s="48">
        <v>137.03</v>
      </c>
      <c r="P42" s="51"/>
      <c r="Q42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2" s="33">
        <f>-NotOnSch[[#This Row],[Amount]]</f>
        <v>-137.03</v>
      </c>
      <c r="S42" s="29">
        <f t="shared" si="5"/>
        <v>802707</v>
      </c>
      <c r="T42" s="40">
        <f>IF(N42&lt;&gt;"",_xlfn.XLOOKUP(TEXT(N42,"0"),TEXT(CC!$C$3:$C$1000,"0"),CC!$G$3:$G$1000,""),"")</f>
      </c>
    </row>
    <row r="43" spans="3:20" x14ac:dyDescent="0.25">
      <c r="C43" s="79" t="s">
        <v>161</v>
      </c>
      <c r="D43" s="79" t="s">
        <v>3</v>
      </c>
      <c r="E43" s="80">
        <v>1</v>
      </c>
      <c r="F43" s="2">
        <v>582.59</v>
      </c>
      <c r="G43" s="58">
        <f>IFERROR(SUMPRODUCT((TEXT(CC!$C$3:$C$1000,"0")=TEXT(C43,"0"))*IFERROR(CC!$E$3:$E$1000+0,0)),0)</f>
      </c>
      <c r="H43" s="44"/>
      <c r="I43" s="23" t="str">
        <f t="shared" si="4"/>
        <v/>
      </c>
      <c r="J43" s="33" cm="1">
        <f t="array" ref="J43">IFERROR(-_xlfn.IFS(OR(H43="y",H43="Y"),F43,AND(H43&lt;&gt;0,ISNUMBER(H43)),H43,G43&lt;&gt;0,G43),0)</f>
        <v>0</v>
      </c>
      <c r="K43" s="29" t="str">
        <f t="shared" si="2"/>
        <v/>
      </c>
      <c r="L43" s="45" t="str">
        <f>IF(C43&lt;&gt;"",_xlfn.XLOOKUP(TEXT(C43,"0"),TEXT(CC!$C$3:$C$1000,"0"),CC!$G$3:$G$1000,""),"")</f>
        <v/>
      </c>
      <c r="N43" s="40">
        <v>802523</v>
      </c>
      <c r="O43" s="48">
        <v>686.24</v>
      </c>
      <c r="P43" s="51"/>
      <c r="Q43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3" s="33">
        <f>-NotOnSch[[#This Row],[Amount]]</f>
        <v>-686.24</v>
      </c>
      <c r="S43" s="29">
        <f t="shared" si="5"/>
        <v>802523</v>
      </c>
      <c r="T43" s="40">
        <f>IF(N43&lt;&gt;"",_xlfn.XLOOKUP(TEXT(N43,"0"),TEXT(CC!$C$3:$C$1000,"0"),CC!$G$3:$G$1000,""),"")</f>
      </c>
    </row>
    <row r="44" spans="3:20" x14ac:dyDescent="0.25">
      <c r="C44" s="77" t="s">
        <v>162</v>
      </c>
      <c r="D44" s="77" t="s">
        <v>3</v>
      </c>
      <c r="E44" s="78">
        <v>1</v>
      </c>
      <c r="F44" s="1">
        <v>94.95</v>
      </c>
      <c r="G44" s="58">
        <f>IFERROR(SUMPRODUCT((TEXT(CC!$C$3:$C$1000,"0")=TEXT(C44,"0"))*IFERROR(CC!$E$3:$E$1000+0,0)),0)</f>
      </c>
      <c r="H44" s="44"/>
      <c r="I44" s="23" t="str">
        <f t="shared" si="4"/>
        <v>531011</v>
      </c>
      <c r="J44" s="33" cm="1">
        <f t="array" ref="J44">IFERROR(-_xlfn.IFS(OR(H44="y",H44="Y"),F44,AND(H44&lt;&gt;0,ISNUMBER(H44)),H44,G44&lt;&gt;0,G44),0)</f>
        <v>-94.95</v>
      </c>
      <c r="K44" s="29" t="str">
        <f t="shared" si="2"/>
        <v>802654</v>
      </c>
      <c r="L44" s="45" t="str">
        <f>IF(C44&lt;&gt;"",_xlfn.XLOOKUP(TEXT(C44,"0"),TEXT(CC!$C$3:$C$1000,"0"),CC!$G$3:$G$1000,""),"")</f>
        <v/>
      </c>
      <c r="N44" s="40">
        <v>802523</v>
      </c>
      <c r="O44" s="48">
        <v>0</v>
      </c>
      <c r="P44" s="51"/>
      <c r="Q44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4" s="33">
        <f>-NotOnSch[[#This Row],[Amount]]</f>
        <v>0</v>
      </c>
      <c r="S44" s="29">
        <f t="shared" si="5"/>
        <v>802523</v>
      </c>
      <c r="T44" s="40">
        <f>IF(N44&lt;&gt;"",_xlfn.XLOOKUP(TEXT(N44,"0"),TEXT(CC!$C$3:$C$1000,"0"),CC!$G$3:$G$1000,""),"")</f>
      </c>
    </row>
    <row r="45" spans="3:20" x14ac:dyDescent="0.25">
      <c r="C45" s="79" t="s">
        <v>163</v>
      </c>
      <c r="D45" s="79" t="s">
        <v>3</v>
      </c>
      <c r="E45" s="80">
        <v>1</v>
      </c>
      <c r="F45" s="2">
        <v>426.9</v>
      </c>
      <c r="G45" s="58">
        <f>IFERROR(SUMPRODUCT((TEXT(CC!$C$3:$C$1000,"0")=TEXT(C45,"0"))*IFERROR(CC!$E$3:$E$1000+0,0)),0)</f>
      </c>
      <c r="H45" s="44"/>
      <c r="I45" s="23" t="str">
        <f t="shared" si="4"/>
        <v>531011</v>
      </c>
      <c r="J45" s="33" cm="1">
        <f t="array" ref="J45">IFERROR(-_xlfn.IFS(OR(H45="y",H45="Y"),F45,AND(H45&lt;&gt;0,ISNUMBER(H45)),H45,G45&lt;&gt;0,G45),0)</f>
        <v>-426.9</v>
      </c>
      <c r="K45" s="29" t="str">
        <f t="shared" si="2"/>
        <v>802656</v>
      </c>
      <c r="L45" s="45" t="str">
        <f>IF(C45&lt;&gt;"",_xlfn.XLOOKUP(TEXT(C45,"0"),TEXT(CC!$C$3:$C$1000,"0"),CC!$G$3:$G$1000,""),"")</f>
        <v/>
      </c>
      <c r="N45" s="40">
        <v>802684</v>
      </c>
      <c r="O45" s="48">
        <v>116.22</v>
      </c>
      <c r="P45" s="51"/>
      <c r="Q45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5" s="33">
        <f>-NotOnSch[[#This Row],[Amount]]</f>
        <v>-116.22</v>
      </c>
      <c r="S45" s="29">
        <f t="shared" si="5"/>
        <v>802684</v>
      </c>
      <c r="T45" s="40">
        <f>IF(N45&lt;&gt;"",_xlfn.XLOOKUP(TEXT(N45,"0"),TEXT(CC!$C$3:$C$1000,"0"),CC!$G$3:$G$1000,""),"")</f>
      </c>
    </row>
    <row r="46" spans="3:20" x14ac:dyDescent="0.25">
      <c r="C46" s="77" t="s">
        <v>164</v>
      </c>
      <c r="D46" s="77" t="s">
        <v>3</v>
      </c>
      <c r="E46" s="78">
        <v>1</v>
      </c>
      <c r="F46" s="1">
        <v>586.12</v>
      </c>
      <c r="G46" s="58">
        <f>IFERROR(SUMPRODUCT((TEXT(CC!$C$3:$C$1000,"0")=TEXT(C46,"0"))*IFERROR(CC!$E$3:$E$1000+0,0)),0)</f>
      </c>
      <c r="H46" s="44"/>
      <c r="I46" s="23" t="str">
        <f t="shared" si="4"/>
        <v>531011</v>
      </c>
      <c r="J46" s="33" cm="1">
        <f t="array" ref="J46">IFERROR(-_xlfn.IFS(OR(H46="y",H46="Y"),F46,AND(H46&lt;&gt;0,ISNUMBER(H46)),H46,G46&lt;&gt;0,G46),0)</f>
        <v>-586.12</v>
      </c>
      <c r="K46" s="29" t="str">
        <f t="shared" ref="K46:K77" si="6">IF(J46&lt;&gt;0,C46,"")</f>
        <v>802661</v>
      </c>
      <c r="L46" s="45" t="str">
        <f>IF(C46&lt;&gt;"",_xlfn.XLOOKUP(TEXT(C46,"0"),TEXT(CC!$C$3:$C$1000,"0"),CC!$G$3:$G$1000,""),"")</f>
        <v/>
      </c>
      <c r="N46" s="40">
        <v>802669</v>
      </c>
      <c r="O46" s="48">
        <v>641.03</v>
      </c>
      <c r="P46" s="51"/>
      <c r="Q46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6" s="33">
        <f>-NotOnSch[[#This Row],[Amount]]</f>
        <v>-641.03</v>
      </c>
      <c r="S46" s="29">
        <f t="shared" si="5"/>
        <v>802669</v>
      </c>
      <c r="T46" s="40">
        <f>IF(N46&lt;&gt;"",_xlfn.XLOOKUP(TEXT(N46,"0"),TEXT(CC!$C$3:$C$1000,"0"),CC!$G$3:$G$1000,""),"")</f>
      </c>
    </row>
    <row r="47" spans="3:20" x14ac:dyDescent="0.25">
      <c r="C47" s="79" t="s">
        <v>165</v>
      </c>
      <c r="D47" s="79" t="s">
        <v>3</v>
      </c>
      <c r="E47" s="80">
        <v>1</v>
      </c>
      <c r="F47" s="2">
        <v>137.03</v>
      </c>
      <c r="G47" s="58">
        <f>IFERROR(SUMPRODUCT((TEXT(CC!$C$3:$C$1000,"0")=TEXT(C47,"0"))*IFERROR(CC!$E$3:$E$1000+0,0)),0)</f>
      </c>
      <c r="H47" s="44"/>
      <c r="I47" s="23" t="str">
        <f t="shared" si="4"/>
        <v>531011</v>
      </c>
      <c r="J47" s="33" cm="1">
        <f t="array" ref="J47">IFERROR(-_xlfn.IFS(OR(H47="y",H47="Y"),F47,AND(H47&lt;&gt;0,ISNUMBER(H47)),H47,G47&lt;&gt;0,G47),0)</f>
        <v>-137.03</v>
      </c>
      <c r="K47" s="29" t="str">
        <f t="shared" si="6"/>
        <v>802664</v>
      </c>
      <c r="L47" s="45" t="str">
        <f>IF(C47&lt;&gt;"",_xlfn.XLOOKUP(TEXT(C47,"0"),TEXT(CC!$C$3:$C$1000,"0"),CC!$G$3:$G$1000,""),"")</f>
        <v/>
      </c>
      <c r="N47" s="40">
        <v>802669</v>
      </c>
      <c r="O47" s="48">
        <v>0</v>
      </c>
      <c r="P47" s="51"/>
      <c r="Q47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7" s="33">
        <f>-NotOnSch[[#This Row],[Amount]]</f>
        <v>0</v>
      </c>
      <c r="S47" s="29">
        <f t="shared" si="5"/>
        <v>802669</v>
      </c>
      <c r="T47" s="40">
        <f>IF(N47&lt;&gt;"",_xlfn.XLOOKUP(TEXT(N47,"0"),TEXT(CC!$C$3:$C$1000,"0"),CC!$G$3:$G$1000,""),"")</f>
      </c>
    </row>
    <row r="48" spans="3:20" x14ac:dyDescent="0.25">
      <c r="C48" s="77" t="s">
        <v>166</v>
      </c>
      <c r="D48" s="77" t="s">
        <v>3</v>
      </c>
      <c r="E48" s="78">
        <v>1</v>
      </c>
      <c r="F48" s="1">
        <v>255.46</v>
      </c>
      <c r="G48" s="58">
        <f>IFERROR(SUMPRODUCT((TEXT(CC!$C$3:$C$1000,"0")=TEXT(C48,"0"))*IFERROR(CC!$E$3:$E$1000+0,0)),0)</f>
      </c>
      <c r="H48" s="44"/>
      <c r="I48" s="23" t="str">
        <f t="shared" si="4"/>
        <v>531011</v>
      </c>
      <c r="J48" s="33" cm="1">
        <f t="array" ref="J48">IFERROR(-_xlfn.IFS(OR(H48="y",H48="Y"),F48,AND(H48&lt;&gt;0,ISNUMBER(H48)),H48,G48&lt;&gt;0,G48),0)</f>
        <v>-255.46</v>
      </c>
      <c r="K48" s="29" t="str">
        <f t="shared" si="6"/>
        <v>802665</v>
      </c>
      <c r="L48" s="45" t="str">
        <f>IF(C48&lt;&gt;"",_xlfn.XLOOKUP(TEXT(C48,"0"),TEXT(CC!$C$3:$C$1000,"0"),CC!$G$3:$G$1000,""),"")</f>
        <v/>
      </c>
      <c r="N48" s="40">
        <v>802700</v>
      </c>
      <c r="O48" s="48">
        <v>163.58000000000001</v>
      </c>
      <c r="P48" s="51"/>
      <c r="Q48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8" s="33">
        <f>-NotOnSch[[#This Row],[Amount]]</f>
        <v>-163.58000000000001</v>
      </c>
      <c r="S48" s="29">
        <f t="shared" si="5"/>
        <v>802700</v>
      </c>
      <c r="T48" s="40">
        <f>IF(N48&lt;&gt;"",_xlfn.XLOOKUP(TEXT(N48,"0"),TEXT(CC!$C$3:$C$1000,"0"),CC!$G$3:$G$1000,""),"")</f>
      </c>
    </row>
    <row r="49" spans="3:20" x14ac:dyDescent="0.25">
      <c r="C49" s="79" t="s">
        <v>167</v>
      </c>
      <c r="D49" s="79" t="s">
        <v>3</v>
      </c>
      <c r="E49" s="80">
        <v>1</v>
      </c>
      <c r="F49" s="2">
        <v>137.03</v>
      </c>
      <c r="G49" s="58">
        <f>IFERROR(SUMPRODUCT((TEXT(CC!$C$3:$C$1000,"0")=TEXT(C49,"0"))*IFERROR(CC!$E$3:$E$1000+0,0)),0)</f>
      </c>
      <c r="H49" s="44"/>
      <c r="I49" s="23" t="str">
        <f t="shared" si="4"/>
        <v>531011</v>
      </c>
      <c r="J49" s="33" cm="1">
        <f t="array" ref="J49">IFERROR(-_xlfn.IFS(OR(H49="y",H49="Y"),F49,AND(H49&lt;&gt;0,ISNUMBER(H49)),H49,G49&lt;&gt;0,G49),0)</f>
        <v>-137.03</v>
      </c>
      <c r="K49" s="29" t="str">
        <f t="shared" si="6"/>
        <v>802670</v>
      </c>
      <c r="L49" s="45" t="str">
        <f>IF(C49&lt;&gt;"",_xlfn.XLOOKUP(TEXT(C49,"0"),TEXT(CC!$C$3:$C$1000,"0"),CC!$G$3:$G$1000,""),"")</f>
        <v/>
      </c>
      <c r="N49" s="40">
        <v>167918</v>
      </c>
      <c r="O49" s="48">
        <v>2000</v>
      </c>
      <c r="P49" s="51"/>
      <c r="Q49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49" s="33">
        <f>-NotOnSch[[#This Row],[Amount]]</f>
        <v>-2000</v>
      </c>
      <c r="S49" s="29">
        <f t="shared" si="5"/>
        <v>167918</v>
      </c>
      <c r="T49" s="40">
        <f>IF(N49&lt;&gt;"",_xlfn.XLOOKUP(TEXT(N49,"0"),TEXT(CC!$C$3:$C$1000,"0"),CC!$G$3:$G$1000,""),"")</f>
      </c>
    </row>
    <row r="50" spans="3:20" x14ac:dyDescent="0.25">
      <c r="C50" s="77" t="s">
        <v>168</v>
      </c>
      <c r="D50" s="77" t="s">
        <v>3</v>
      </c>
      <c r="E50" s="78">
        <v>1</v>
      </c>
      <c r="F50" s="1">
        <v>137.03</v>
      </c>
      <c r="G50" s="58">
        <f>IFERROR(SUMPRODUCT((TEXT(CC!$C$3:$C$1000,"0")=TEXT(C50,"0"))*IFERROR(CC!$E$3:$E$1000+0,0)),0)</f>
      </c>
      <c r="H50" s="44"/>
      <c r="I50" s="23" t="str">
        <f t="shared" si="4"/>
        <v>531011</v>
      </c>
      <c r="J50" s="33" cm="1">
        <f t="array" ref="J50">IFERROR(-_xlfn.IFS(OR(H50="y",H50="Y"),F50,AND(H50&lt;&gt;0,ISNUMBER(H50)),H50,G50&lt;&gt;0,G50),0)</f>
        <v>-137.03</v>
      </c>
      <c r="K50" s="29" t="str">
        <f t="shared" si="6"/>
        <v>802671</v>
      </c>
      <c r="L50" s="45" t="str">
        <f>IF(C50&lt;&gt;"",_xlfn.XLOOKUP(TEXT(C50,"0"),TEXT(CC!$C$3:$C$1000,"0"),CC!$G$3:$G$1000,""),"")</f>
        <v/>
      </c>
      <c r="N50" s="40">
        <v>167918</v>
      </c>
      <c r="O50" s="48">
        <v>0</v>
      </c>
      <c r="P50" s="51"/>
      <c r="Q50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50" s="33">
        <f>-NotOnSch[[#This Row],[Amount]]</f>
        <v>0</v>
      </c>
      <c r="S50" s="29">
        <f t="shared" si="5"/>
        <v>167918</v>
      </c>
      <c r="T50" s="40">
        <f>IF(N50&lt;&gt;"",_xlfn.XLOOKUP(TEXT(N50,"0"),TEXT(CC!$C$3:$C$1000,"0"),CC!$G$3:$G$1000,""),"")</f>
      </c>
    </row>
    <row r="51" spans="3:20" x14ac:dyDescent="0.25">
      <c r="C51" s="79" t="s">
        <v>169</v>
      </c>
      <c r="D51" s="79" t="s">
        <v>3</v>
      </c>
      <c r="E51" s="80">
        <v>1</v>
      </c>
      <c r="F51" s="2">
        <v>197.58</v>
      </c>
      <c r="G51" s="58">
        <f>IFERROR(SUMPRODUCT((TEXT(CC!$C$3:$C$1000,"0")=TEXT(C51,"0"))*IFERROR(CC!$E$3:$E$1000+0,0)),0)</f>
      </c>
      <c r="H51" s="44"/>
      <c r="I51" s="23" t="str">
        <f t="shared" si="4"/>
        <v>531011</v>
      </c>
      <c r="J51" s="33" cm="1">
        <f t="array" ref="J51">IFERROR(-_xlfn.IFS(OR(H51="y",H51="Y"),F51,AND(H51&lt;&gt;0,ISNUMBER(H51)),H51,G51&lt;&gt;0,G51),0)</f>
        <v>-197.58</v>
      </c>
      <c r="K51" s="29" t="str">
        <f t="shared" si="6"/>
        <v>802672</v>
      </c>
      <c r="L51" s="45" t="str">
        <f>IF(C51&lt;&gt;"",_xlfn.XLOOKUP(TEXT(C51,"0"),TEXT(CC!$C$3:$C$1000,"0"),CC!$G$3:$G$1000,""),"")</f>
        <v/>
      </c>
      <c r="N51" s="40">
        <v>800283</v>
      </c>
      <c r="O51" s="48">
        <v>780.94</v>
      </c>
      <c r="P51" s="51"/>
      <c r="Q51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51" s="33">
        <f>-NotOnSch[[#This Row],[Amount]]</f>
        <v>-780.94</v>
      </c>
      <c r="S51" s="29">
        <f t="shared" si="5"/>
        <v>800283</v>
      </c>
      <c r="T51" s="40">
        <f>IF(N51&lt;&gt;"",_xlfn.XLOOKUP(TEXT(N51,"0"),TEXT(CC!$C$3:$C$1000,"0"),CC!$G$3:$G$1000,""),"")</f>
      </c>
    </row>
    <row r="52" spans="3:20" x14ac:dyDescent="0.25">
      <c r="C52" s="77" t="s">
        <v>170</v>
      </c>
      <c r="D52" s="77" t="s">
        <v>3</v>
      </c>
      <c r="E52" s="78">
        <v>1</v>
      </c>
      <c r="F52" s="1">
        <v>364.96</v>
      </c>
      <c r="G52" s="58">
        <f>IFERROR(SUMPRODUCT((TEXT(CC!$C$3:$C$1000,"0")=TEXT(C52,"0"))*IFERROR(CC!$E$3:$E$1000+0,0)),0)</f>
      </c>
      <c r="H52" s="44"/>
      <c r="I52" s="23" t="str">
        <f t="shared" si="4"/>
        <v>531011</v>
      </c>
      <c r="J52" s="33" cm="1">
        <f t="array" ref="J52">IFERROR(-_xlfn.IFS(OR(H52="y",H52="Y"),F52,AND(H52&lt;&gt;0,ISNUMBER(H52)),H52,G52&lt;&gt;0,G52),0)</f>
        <v>-364.96</v>
      </c>
      <c r="K52" s="29" t="str">
        <f t="shared" si="6"/>
        <v>802675</v>
      </c>
      <c r="L52" s="45" t="str">
        <f>IF(C52&lt;&gt;"",_xlfn.XLOOKUP(TEXT(C52,"0"),TEXT(CC!$C$3:$C$1000,"0"),CC!$G$3:$G$1000,""),"")</f>
        <v/>
      </c>
      <c r="N52" s="40">
        <v>800283</v>
      </c>
      <c r="O52" s="48">
        <v>0</v>
      </c>
      <c r="P52" s="51"/>
      <c r="Q52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52" s="33">
        <f>-NotOnSch[[#This Row],[Amount]]</f>
        <v>0</v>
      </c>
      <c r="S52" s="29">
        <f t="shared" si="5"/>
        <v>800283</v>
      </c>
      <c r="T52" s="40">
        <f>IF(N52&lt;&gt;"",_xlfn.XLOOKUP(TEXT(N52,"0"),TEXT(CC!$C$3:$C$1000,"0"),CC!$G$3:$G$1000,""),"")</f>
      </c>
    </row>
    <row r="53" spans="3:20" x14ac:dyDescent="0.25">
      <c r="C53" s="79" t="s">
        <v>171</v>
      </c>
      <c r="D53" s="79" t="s">
        <v>3</v>
      </c>
      <c r="E53" s="80">
        <v>1</v>
      </c>
      <c r="F53" s="2">
        <v>186.24</v>
      </c>
      <c r="G53" s="58">
        <f>IFERROR(SUMPRODUCT((TEXT(CC!$C$3:$C$1000,"0")=TEXT(C53,"0"))*IFERROR(CC!$E$3:$E$1000+0,0)),0)</f>
      </c>
      <c r="H53" s="44"/>
      <c r="I53" s="23" t="str">
        <f t="shared" si="4"/>
        <v>531011</v>
      </c>
      <c r="J53" s="33" cm="1">
        <f t="array" ref="J53">IFERROR(-_xlfn.IFS(OR(H53="y",H53="Y"),F53,AND(H53&lt;&gt;0,ISNUMBER(H53)),H53,G53&lt;&gt;0,G53),0)</f>
        <v>-186.24</v>
      </c>
      <c r="K53" s="29" t="str">
        <f t="shared" si="6"/>
        <v>802678</v>
      </c>
      <c r="L53" s="45" t="str">
        <f>IF(C53&lt;&gt;"",_xlfn.XLOOKUP(TEXT(C53,"0"),TEXT(CC!$C$3:$C$1000,"0"),CC!$G$3:$G$1000,""),"")</f>
        <v/>
      </c>
      <c r="N53" s="40">
        <v>792603</v>
      </c>
      <c r="O53" s="48">
        <v>25</v>
      </c>
      <c r="P53" s="51"/>
      <c r="Q53" s="26" t="str">
        <f>IF(NotOnSch[[#This Row],[Amount]]="","",IF(NotOnSch[[#This Row],[TYPE]]="","531011",CHOOSE(MATCH(NotOnSch[[#This Row],[TYPE]], {"EXT WARRANTY","GM WARRANTY","TOY WARRANTY","PNC"}, 0), "531150", "531140", "541140", "531122")))</f>
        <v>531011</v>
      </c>
      <c r="R53" s="33">
        <f>-NotOnSch[[#This Row],[Amount]]</f>
        <v>-25</v>
      </c>
      <c r="S53" s="29">
        <f t="shared" si="5"/>
        <v>792603</v>
      </c>
      <c r="T53" s="40">
        <f>IF(N53&lt;&gt;"",_xlfn.XLOOKUP(TEXT(N53,"0"),TEXT(CC!$C$3:$C$1000,"0"),CC!$G$3:$G$1000,""),"")</f>
      </c>
    </row>
    <row r="54" spans="3:20" x14ac:dyDescent="0.25">
      <c r="C54" s="77" t="s">
        <v>172</v>
      </c>
      <c r="D54" s="77" t="s">
        <v>3</v>
      </c>
      <c r="E54" s="78">
        <v>1</v>
      </c>
      <c r="F54" s="1">
        <v>126.12</v>
      </c>
      <c r="G54" s="58">
        <f>IFERROR(SUMPRODUCT((TEXT(CC!$C$3:$C$1000,"0")=TEXT(C54,"0"))*IFERROR(CC!$E$3:$E$1000+0,0)),0)</f>
      </c>
      <c r="H54" s="44"/>
      <c r="I54" s="23" t="str">
        <f t="shared" si="4"/>
        <v>531011</v>
      </c>
      <c r="J54" s="33" cm="1">
        <f t="array" ref="J54">IFERROR(-_xlfn.IFS(OR(H54="y",H54="Y"),F54,AND(H54&lt;&gt;0,ISNUMBER(H54)),H54,G54&lt;&gt;0,G54),0)</f>
        <v>-126.12</v>
      </c>
      <c r="K54" s="29" t="str">
        <f t="shared" si="6"/>
        <v>802679</v>
      </c>
      <c r="L54" s="45" t="str">
        <f>IF(C54&lt;&gt;"",_xlfn.XLOOKUP(TEXT(C54,"0"),TEXT(CC!$C$3:$C$1000,"0"),CC!$G$3:$G$1000,""),"")</f>
        <v/>
      </c>
      <c r="N54" s="40"/>
      <c r="O54" s="48"/>
      <c r="P54" s="51"/>
      <c r="Q54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54" s="33">
        <f>-NotOnSch[[#This Row],[Amount]]</f>
        <v>0</v>
      </c>
      <c r="S54" s="29" t="str">
        <f t="shared" si="5"/>
        <v/>
      </c>
      <c r="T54" s="40" t="str">
        <f>IF(N54&lt;&gt;"",_xlfn.XLOOKUP(TEXT(N54,"0"),TEXT(CC!$C$3:$C$1000,"0"),CC!$G$3:$G$1000,""),"")</f>
        <v/>
      </c>
    </row>
    <row r="55" spans="3:20" x14ac:dyDescent="0.25">
      <c r="C55" s="79" t="s">
        <v>173</v>
      </c>
      <c r="D55" s="79" t="s">
        <v>3</v>
      </c>
      <c r="E55" s="80">
        <v>1</v>
      </c>
      <c r="F55" s="2">
        <v>106.86</v>
      </c>
      <c r="G55" s="58">
        <f>IFERROR(SUMPRODUCT((TEXT(CC!$C$3:$C$1000,"0")=TEXT(C55,"0"))*IFERROR(CC!$E$3:$E$1000+0,0)),0)</f>
      </c>
      <c r="H55" s="44"/>
      <c r="I55" s="23" t="str">
        <f t="shared" si="4"/>
        <v>531011</v>
      </c>
      <c r="J55" s="33" cm="1">
        <f t="array" ref="J55">IFERROR(-_xlfn.IFS(OR(H55="y",H55="Y"),F55,AND(H55&lt;&gt;0,ISNUMBER(H55)),H55,G55&lt;&gt;0,G55),0)</f>
        <v>-106.86</v>
      </c>
      <c r="K55" s="29" t="str">
        <f t="shared" si="6"/>
        <v>802680</v>
      </c>
      <c r="L55" s="45" t="str">
        <f>IF(C55&lt;&gt;"",_xlfn.XLOOKUP(TEXT(C55,"0"),TEXT(CC!$C$3:$C$1000,"0"),CC!$G$3:$G$1000,""),"")</f>
        <v/>
      </c>
      <c r="N55" s="40"/>
      <c r="O55" s="48"/>
      <c r="P55" s="51"/>
      <c r="Q55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55" s="33">
        <f>-NotOnSch[[#This Row],[Amount]]</f>
        <v>0</v>
      </c>
      <c r="S55" s="29" t="str">
        <f t="shared" si="5"/>
        <v/>
      </c>
      <c r="T55" s="40" t="str">
        <f>IF(N55&lt;&gt;"",_xlfn.XLOOKUP(TEXT(N55,"0"),TEXT(CC!$C$3:$C$1000,"0"),CC!$G$3:$G$1000,""),"")</f>
        <v/>
      </c>
    </row>
    <row r="56" spans="3:20" x14ac:dyDescent="0.25">
      <c r="C56" s="77" t="s">
        <v>174</v>
      </c>
      <c r="D56" s="77" t="s">
        <v>3</v>
      </c>
      <c r="E56" s="78">
        <v>1</v>
      </c>
      <c r="F56" s="1">
        <v>854.31</v>
      </c>
      <c r="G56" s="58">
        <f>IFERROR(SUMPRODUCT((TEXT(CC!$C$3:$C$1000,"0")=TEXT(C56,"0"))*IFERROR(CC!$E$3:$E$1000+0,0)),0)</f>
      </c>
      <c r="H56" s="44"/>
      <c r="I56" s="23" t="str">
        <f t="shared" si="4"/>
        <v>531011</v>
      </c>
      <c r="J56" s="33" cm="1">
        <f t="array" ref="J56">IFERROR(-_xlfn.IFS(OR(H56="y",H56="Y"),F56,AND(H56&lt;&gt;0,ISNUMBER(H56)),H56,G56&lt;&gt;0,G56),0)</f>
        <v>-854.31</v>
      </c>
      <c r="K56" s="29" t="str">
        <f t="shared" si="6"/>
        <v>802685</v>
      </c>
      <c r="L56" s="45" t="str">
        <f>IF(C56&lt;&gt;"",_xlfn.XLOOKUP(TEXT(C56,"0"),TEXT(CC!$C$3:$C$1000,"0"),CC!$G$3:$G$1000,""),"")</f>
        <v/>
      </c>
      <c r="N56" s="40"/>
      <c r="O56" s="48"/>
      <c r="P56" s="51"/>
      <c r="Q56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56" s="33">
        <f>-NotOnSch[[#This Row],[Amount]]</f>
        <v>0</v>
      </c>
      <c r="S56" s="29" t="str">
        <f t="shared" ref="S56:S75" si="7">IF(N56&lt;&gt;"",N56,"")</f>
        <v/>
      </c>
      <c r="T56" s="40" t="str">
        <f>IF(N56&lt;&gt;"",_xlfn.XLOOKUP(TEXT(N56,"0"),TEXT(CC!$C$3:$C$1000,"0"),CC!$G$3:$G$1000,""),"")</f>
        <v/>
      </c>
    </row>
    <row r="57" spans="3:20" x14ac:dyDescent="0.25">
      <c r="C57" s="79" t="s">
        <v>175</v>
      </c>
      <c r="D57" s="79" t="s">
        <v>3</v>
      </c>
      <c r="E57" s="80">
        <v>1</v>
      </c>
      <c r="F57" s="2">
        <v>137.03</v>
      </c>
      <c r="G57" s="58">
        <f>IFERROR(SUMPRODUCT((TEXT(CC!$C$3:$C$1000,"0")=TEXT(C57,"0"))*IFERROR(CC!$E$3:$E$1000+0,0)),0)</f>
      </c>
      <c r="H57" s="44"/>
      <c r="I57" s="23" t="str">
        <f t="shared" si="4"/>
        <v>531011</v>
      </c>
      <c r="J57" s="33" cm="1">
        <f t="array" ref="J57">IFERROR(-_xlfn.IFS(OR(H57="y",H57="Y"),F57,AND(H57&lt;&gt;0,ISNUMBER(H57)),H57,G57&lt;&gt;0,G57),0)</f>
        <v>-137.03</v>
      </c>
      <c r="K57" s="29" t="str">
        <f t="shared" si="6"/>
        <v>802686</v>
      </c>
      <c r="L57" s="45" t="str">
        <f>IF(C57&lt;&gt;"",_xlfn.XLOOKUP(TEXT(C57,"0"),TEXT(CC!$C$3:$C$1000,"0"),CC!$G$3:$G$1000,""),"")</f>
        <v/>
      </c>
      <c r="N57" s="40"/>
      <c r="O57" s="48"/>
      <c r="P57" s="51"/>
      <c r="Q57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57" s="33">
        <f>-NotOnSch[[#This Row],[Amount]]</f>
        <v>0</v>
      </c>
      <c r="S57" s="29" t="str">
        <f t="shared" si="7"/>
        <v/>
      </c>
      <c r="T57" s="40" t="str">
        <f>IF(N57&lt;&gt;"",_xlfn.XLOOKUP(TEXT(N57,"0"),TEXT(CC!$C$3:$C$1000,"0"),CC!$G$3:$G$1000,""),"")</f>
        <v/>
      </c>
    </row>
    <row r="58" spans="3:20" x14ac:dyDescent="0.25">
      <c r="C58" s="77" t="s">
        <v>176</v>
      </c>
      <c r="D58" s="77" t="s">
        <v>3</v>
      </c>
      <c r="E58" s="78">
        <v>1</v>
      </c>
      <c r="F58" s="1">
        <v>414.84</v>
      </c>
      <c r="G58" s="58">
        <f>IFERROR(SUMPRODUCT((TEXT(CC!$C$3:$C$1000,"0")=TEXT(C58,"0"))*IFERROR(CC!$E$3:$E$1000+0,0)),0)</f>
      </c>
      <c r="H58" s="44"/>
      <c r="I58" s="23" t="str">
        <f t="shared" si="4"/>
        <v>531011</v>
      </c>
      <c r="J58" s="33" cm="1">
        <f t="array" ref="J58">IFERROR(-_xlfn.IFS(OR(H58="y",H58="Y"),F58,AND(H58&lt;&gt;0,ISNUMBER(H58)),H58,G58&lt;&gt;0,G58),0)</f>
        <v>-414.84</v>
      </c>
      <c r="K58" s="29" t="str">
        <f t="shared" si="6"/>
        <v>802690</v>
      </c>
      <c r="L58" s="45" t="str">
        <f>IF(C58&lt;&gt;"",_xlfn.XLOOKUP(TEXT(C58,"0"),TEXT(CC!$C$3:$C$1000,"0"),CC!$G$3:$G$1000,""),"")</f>
        <v/>
      </c>
      <c r="N58" s="40"/>
      <c r="O58" s="48"/>
      <c r="P58" s="51"/>
      <c r="Q58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58" s="33">
        <f>-NotOnSch[[#This Row],[Amount]]</f>
        <v>0</v>
      </c>
      <c r="S58" s="29" t="str">
        <f t="shared" si="7"/>
        <v/>
      </c>
      <c r="T58" s="40" t="str">
        <f>IF(N58&lt;&gt;"",_xlfn.XLOOKUP(TEXT(N58,"0"),TEXT(CC!$C$3:$C$1000,"0"),CC!$G$3:$G$1000,""),"")</f>
        <v/>
      </c>
    </row>
    <row r="59" spans="3:20" x14ac:dyDescent="0.25">
      <c r="C59" s="79" t="s">
        <v>177</v>
      </c>
      <c r="D59" s="79" t="s">
        <v>3</v>
      </c>
      <c r="E59" s="80">
        <v>1</v>
      </c>
      <c r="F59" s="2">
        <v>186.24</v>
      </c>
      <c r="G59" s="58">
        <f>IFERROR(SUMPRODUCT((TEXT(CC!$C$3:$C$1000,"0")=TEXT(C59,"0"))*IFERROR(CC!$E$3:$E$1000+0,0)),0)</f>
      </c>
      <c r="H59" s="44"/>
      <c r="I59" s="23" t="str">
        <f t="shared" si="4"/>
        <v>531011</v>
      </c>
      <c r="J59" s="33" cm="1">
        <f t="array" ref="J59">IFERROR(-_xlfn.IFS(OR(H59="y",H59="Y"),F59,AND(H59&lt;&gt;0,ISNUMBER(H59)),H59,G59&lt;&gt;0,G59),0)</f>
        <v>-186.24</v>
      </c>
      <c r="K59" s="29" t="str">
        <f t="shared" si="6"/>
        <v>802691</v>
      </c>
      <c r="L59" s="45" t="str">
        <f>IF(C59&lt;&gt;"",_xlfn.XLOOKUP(TEXT(C59,"0"),TEXT(CC!$C$3:$C$1000,"0"),CC!$G$3:$G$1000,""),"")</f>
        <v/>
      </c>
      <c r="N59" s="40"/>
      <c r="O59" s="48"/>
      <c r="P59" s="51"/>
      <c r="Q59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59" s="33">
        <f>-NotOnSch[[#This Row],[Amount]]</f>
        <v>0</v>
      </c>
      <c r="S59" s="29" t="str">
        <f t="shared" si="7"/>
        <v/>
      </c>
      <c r="T59" s="40" t="str">
        <f>IF(N59&lt;&gt;"",_xlfn.XLOOKUP(TEXT(N59,"0"),TEXT(CC!$C$3:$C$1000,"0"),CC!$G$3:$G$1000,""),"")</f>
        <v/>
      </c>
    </row>
    <row r="60" spans="3:20" x14ac:dyDescent="0.25">
      <c r="C60" s="77" t="s">
        <v>178</v>
      </c>
      <c r="D60" s="77" t="s">
        <v>3</v>
      </c>
      <c r="E60" s="78">
        <v>1</v>
      </c>
      <c r="F60" s="1">
        <v>197.58</v>
      </c>
      <c r="G60" s="58">
        <f>IFERROR(SUMPRODUCT((TEXT(CC!$C$3:$C$1000,"0")=TEXT(C60,"0"))*IFERROR(CC!$E$3:$E$1000+0,0)),0)</f>
      </c>
      <c r="H60" s="44"/>
      <c r="I60" s="23" t="str">
        <f t="shared" si="4"/>
        <v>531011</v>
      </c>
      <c r="J60" s="33" cm="1">
        <f t="array" ref="J60">IFERROR(-_xlfn.IFS(OR(H60="y",H60="Y"),F60,AND(H60&lt;&gt;0,ISNUMBER(H60)),H60,G60&lt;&gt;0,G60),0)</f>
        <v>-197.58</v>
      </c>
      <c r="K60" s="29" t="str">
        <f t="shared" si="6"/>
        <v>802692</v>
      </c>
      <c r="L60" s="45" t="str">
        <f>IF(C60&lt;&gt;"",_xlfn.XLOOKUP(TEXT(C60,"0"),TEXT(CC!$C$3:$C$1000,"0"),CC!$G$3:$G$1000,""),"")</f>
        <v/>
      </c>
      <c r="N60" s="40"/>
      <c r="O60" s="48"/>
      <c r="P60" s="51"/>
      <c r="Q60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0" s="33">
        <f>-NotOnSch[[#This Row],[Amount]]</f>
        <v>0</v>
      </c>
      <c r="S60" s="29" t="str">
        <f t="shared" si="7"/>
        <v/>
      </c>
      <c r="T60" s="40" t="str">
        <f>IF(N60&lt;&gt;"",_xlfn.XLOOKUP(TEXT(N60,"0"),TEXT(CC!$C$3:$C$1000,"0"),CC!$G$3:$G$1000,""),"")</f>
        <v/>
      </c>
    </row>
    <row r="61" spans="3:20" x14ac:dyDescent="0.25">
      <c r="C61" s="79" t="s">
        <v>179</v>
      </c>
      <c r="D61" s="79" t="s">
        <v>3</v>
      </c>
      <c r="E61" s="80">
        <v>1</v>
      </c>
      <c r="F61" s="2">
        <v>19.78</v>
      </c>
      <c r="G61" s="58">
        <f>IFERROR(SUMPRODUCT((TEXT(CC!$C$3:$C$1000,"0")=TEXT(C61,"0"))*IFERROR(CC!$E$3:$E$1000+0,0)),0)</f>
      </c>
      <c r="H61" s="44"/>
      <c r="I61" s="23" t="str">
        <f t="shared" si="4"/>
        <v>531011</v>
      </c>
      <c r="J61" s="33" cm="1">
        <f t="array" ref="J61">IFERROR(-_xlfn.IFS(OR(H61="y",H61="Y"),F61,AND(H61&lt;&gt;0,ISNUMBER(H61)),H61,G61&lt;&gt;0,G61),0)</f>
        <v>-19.78</v>
      </c>
      <c r="K61" s="29" t="str">
        <f t="shared" si="6"/>
        <v>802693</v>
      </c>
      <c r="L61" s="45" t="str">
        <f>IF(C61&lt;&gt;"",_xlfn.XLOOKUP(TEXT(C61,"0"),TEXT(CC!$C$3:$C$1000,"0"),CC!$G$3:$G$1000,""),"")</f>
        <v/>
      </c>
      <c r="N61" s="40"/>
      <c r="O61" s="48"/>
      <c r="P61" s="51"/>
      <c r="Q61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1" s="33">
        <f>-NotOnSch[[#This Row],[Amount]]</f>
        <v>0</v>
      </c>
      <c r="S61" s="29" t="str">
        <f t="shared" si="7"/>
        <v/>
      </c>
      <c r="T61" s="40" t="str">
        <f>IF(N61&lt;&gt;"",_xlfn.XLOOKUP(TEXT(N61,"0"),TEXT(CC!$C$3:$C$1000,"0"),CC!$G$3:$G$1000,""),"")</f>
        <v/>
      </c>
    </row>
    <row r="62" spans="3:20" x14ac:dyDescent="0.25">
      <c r="C62" s="77" t="s">
        <v>180</v>
      </c>
      <c r="D62" s="77" t="s">
        <v>3</v>
      </c>
      <c r="E62" s="78">
        <v>1</v>
      </c>
      <c r="F62" s="1">
        <v>347.44</v>
      </c>
      <c r="G62" s="58">
        <f>IFERROR(SUMPRODUCT((TEXT(CC!$C$3:$C$1000,"0")=TEXT(C62,"0"))*IFERROR(CC!$E$3:$E$1000+0,0)),0)</f>
      </c>
      <c r="H62" s="44"/>
      <c r="I62" s="23" t="str">
        <f t="shared" si="4"/>
        <v>531011</v>
      </c>
      <c r="J62" s="33" cm="1">
        <f t="array" ref="J62">IFERROR(-_xlfn.IFS(OR(H62="y",H62="Y"),F62,AND(H62&lt;&gt;0,ISNUMBER(H62)),H62,G62&lt;&gt;0,G62),0)</f>
        <v>-347.44</v>
      </c>
      <c r="K62" s="29" t="str">
        <f t="shared" si="6"/>
        <v>802694</v>
      </c>
      <c r="L62" s="45" t="str">
        <f>IF(C62&lt;&gt;"",_xlfn.XLOOKUP(TEXT(C62,"0"),TEXT(CC!$C$3:$C$1000,"0"),CC!$G$3:$G$1000,""),"")</f>
        <v/>
      </c>
      <c r="N62" s="40"/>
      <c r="O62" s="48"/>
      <c r="P62" s="51"/>
      <c r="Q62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2" s="33">
        <f>-NotOnSch[[#This Row],[Amount]]</f>
        <v>0</v>
      </c>
      <c r="S62" s="29" t="str">
        <f t="shared" si="7"/>
        <v/>
      </c>
      <c r="T62" s="40" t="str">
        <f>IF(N62&lt;&gt;"",_xlfn.XLOOKUP(TEXT(N62,"0"),TEXT(CC!$C$3:$C$1000,"0"),CC!$G$3:$G$1000,""),"")</f>
        <v/>
      </c>
    </row>
    <row r="63" spans="3:20" x14ac:dyDescent="0.25">
      <c r="C63" s="79" t="s">
        <v>181</v>
      </c>
      <c r="D63" s="79" t="s">
        <v>3</v>
      </c>
      <c r="E63" s="80">
        <v>1</v>
      </c>
      <c r="F63" s="2">
        <v>132.13</v>
      </c>
      <c r="G63" s="58">
        <f>IFERROR(SUMPRODUCT((TEXT(CC!$C$3:$C$1000,"0")=TEXT(C63,"0"))*IFERROR(CC!$E$3:$E$1000+0,0)),0)</f>
      </c>
      <c r="H63" s="44"/>
      <c r="I63" s="23" t="str">
        <f t="shared" si="4"/>
        <v>531011</v>
      </c>
      <c r="J63" s="33" cm="1">
        <f t="array" ref="J63">IFERROR(-_xlfn.IFS(OR(H63="y",H63="Y"),F63,AND(H63&lt;&gt;0,ISNUMBER(H63)),H63,G63&lt;&gt;0,G63),0)</f>
        <v>-132.13</v>
      </c>
      <c r="K63" s="29" t="str">
        <f t="shared" si="6"/>
        <v>802697</v>
      </c>
      <c r="L63" s="45" t="str">
        <f>IF(C63&lt;&gt;"",_xlfn.XLOOKUP(TEXT(C63,"0"),TEXT(CC!$C$3:$C$1000,"0"),CC!$G$3:$G$1000,""),"")</f>
        <v/>
      </c>
      <c r="N63" s="40"/>
      <c r="O63" s="48"/>
      <c r="P63" s="51"/>
      <c r="Q63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3" s="33">
        <f>-NotOnSch[[#This Row],[Amount]]</f>
        <v>0</v>
      </c>
      <c r="S63" s="29" t="str">
        <f t="shared" si="7"/>
        <v/>
      </c>
      <c r="T63" s="40" t="str">
        <f>IF(N63&lt;&gt;"",_xlfn.XLOOKUP(TEXT(N63,"0"),TEXT(CC!$C$3:$C$1000,"0"),CC!$G$3:$G$1000,""),"")</f>
        <v/>
      </c>
    </row>
    <row r="64" spans="3:20" x14ac:dyDescent="0.25">
      <c r="C64" s="77" t="s">
        <v>182</v>
      </c>
      <c r="D64" s="77" t="s">
        <v>3</v>
      </c>
      <c r="E64" s="78">
        <v>1</v>
      </c>
      <c r="F64" s="1">
        <v>207.72</v>
      </c>
      <c r="G64" s="58">
        <f>IFERROR(SUMPRODUCT((TEXT(CC!$C$3:$C$1000,"0")=TEXT(C64,"0"))*IFERROR(CC!$E$3:$E$1000+0,0)),0)</f>
      </c>
      <c r="H64" s="44"/>
      <c r="I64" s="23" t="str">
        <f t="shared" si="4"/>
        <v>531011</v>
      </c>
      <c r="J64" s="33" cm="1">
        <f t="array" ref="J64">IFERROR(-_xlfn.IFS(OR(H64="y",H64="Y"),F64,AND(H64&lt;&gt;0,ISNUMBER(H64)),H64,G64&lt;&gt;0,G64),0)</f>
        <v>-207.72</v>
      </c>
      <c r="K64" s="29" t="str">
        <f t="shared" si="6"/>
        <v>802698</v>
      </c>
      <c r="L64" s="45" t="str">
        <f>IF(C64&lt;&gt;"",_xlfn.XLOOKUP(TEXT(C64,"0"),TEXT(CC!$C$3:$C$1000,"0"),CC!$G$3:$G$1000,""),"")</f>
        <v/>
      </c>
      <c r="N64" s="40"/>
      <c r="O64" s="48"/>
      <c r="P64" s="51"/>
      <c r="Q64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4" s="33">
        <f>-NotOnSch[[#This Row],[Amount]]</f>
        <v>0</v>
      </c>
      <c r="S64" s="29" t="str">
        <f t="shared" si="7"/>
        <v/>
      </c>
      <c r="T64" s="40" t="str">
        <f>IF(N64&lt;&gt;"",_xlfn.XLOOKUP(TEXT(N64,"0"),TEXT(CC!$C$3:$C$1000,"0"),CC!$G$3:$G$1000,""),"")</f>
        <v/>
      </c>
    </row>
    <row r="65" spans="3:20" x14ac:dyDescent="0.25">
      <c r="C65" s="79" t="s">
        <v>183</v>
      </c>
      <c r="D65" s="79" t="s">
        <v>3</v>
      </c>
      <c r="E65" s="80">
        <v>1</v>
      </c>
      <c r="F65" s="2">
        <v>207.72</v>
      </c>
      <c r="G65" s="58">
        <f>IFERROR(SUMPRODUCT((TEXT(CC!$C$3:$C$1000,"0")=TEXT(C65,"0"))*IFERROR(CC!$E$3:$E$1000+0,0)),0)</f>
      </c>
      <c r="H65" s="44"/>
      <c r="I65" s="23" t="str">
        <f t="shared" si="4"/>
        <v>531011</v>
      </c>
      <c r="J65" s="33" cm="1">
        <f t="array" ref="J65">IFERROR(-_xlfn.IFS(OR(H65="y",H65="Y"),F65,AND(H65&lt;&gt;0,ISNUMBER(H65)),H65,G65&lt;&gt;0,G65),0)</f>
        <v>-207.72</v>
      </c>
      <c r="K65" s="29" t="str">
        <f t="shared" si="6"/>
        <v>802699</v>
      </c>
      <c r="L65" s="45" t="str">
        <f>IF(C65&lt;&gt;"",_xlfn.XLOOKUP(TEXT(C65,"0"),TEXT(CC!$C$3:$C$1000,"0"),CC!$G$3:$G$1000,""),"")</f>
        <v/>
      </c>
      <c r="N65" s="40"/>
      <c r="O65" s="48"/>
      <c r="P65" s="51"/>
      <c r="Q65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5" s="33">
        <f>-NotOnSch[[#This Row],[Amount]]</f>
        <v>0</v>
      </c>
      <c r="S65" s="29" t="str">
        <f t="shared" si="7"/>
        <v/>
      </c>
      <c r="T65" s="40" t="str">
        <f>IF(N65&lt;&gt;"",_xlfn.XLOOKUP(TEXT(N65,"0"),TEXT(CC!$C$3:$C$1000,"0"),CC!$G$3:$G$1000,""),"")</f>
        <v/>
      </c>
    </row>
    <row r="66" spans="3:20" x14ac:dyDescent="0.25">
      <c r="C66" s="77" t="s">
        <v>184</v>
      </c>
      <c r="D66" s="77" t="s">
        <v>3</v>
      </c>
      <c r="E66" s="78">
        <v>1</v>
      </c>
      <c r="F66" s="1">
        <v>19.78</v>
      </c>
      <c r="G66" s="58">
        <f>IFERROR(SUMPRODUCT((TEXT(CC!$C$3:$C$1000,"0")=TEXT(C66,"0"))*IFERROR(CC!$E$3:$E$1000+0,0)),0)</f>
      </c>
      <c r="H66" s="44"/>
      <c r="I66" s="23" t="str">
        <f t="shared" si="4"/>
        <v>531011</v>
      </c>
      <c r="J66" s="33" cm="1">
        <f t="array" ref="J66">IFERROR(-_xlfn.IFS(OR(H66="y",H66="Y"),F66,AND(H66&lt;&gt;0,ISNUMBER(H66)),H66,G66&lt;&gt;0,G66),0)</f>
        <v>-19.78</v>
      </c>
      <c r="K66" s="29" t="str">
        <f t="shared" si="6"/>
        <v>802701</v>
      </c>
      <c r="L66" s="45" t="str">
        <f>IF(C66&lt;&gt;"",_xlfn.XLOOKUP(TEXT(C66,"0"),TEXT(CC!$C$3:$C$1000,"0"),CC!$G$3:$G$1000,""),"")</f>
        <v/>
      </c>
      <c r="N66" s="40"/>
      <c r="O66" s="48"/>
      <c r="P66" s="51"/>
      <c r="Q66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6" s="33">
        <f>-NotOnSch[[#This Row],[Amount]]</f>
        <v>0</v>
      </c>
      <c r="S66" s="29" t="str">
        <f t="shared" si="7"/>
        <v/>
      </c>
      <c r="T66" s="40" t="str">
        <f>IF(N66&lt;&gt;"",_xlfn.XLOOKUP(TEXT(N66,"0"),TEXT(CC!$C$3:$C$1000,"0"),CC!$G$3:$G$1000,""),"")</f>
        <v/>
      </c>
    </row>
    <row r="67" spans="3:20" x14ac:dyDescent="0.25">
      <c r="C67" s="79" t="s">
        <v>185</v>
      </c>
      <c r="D67" s="79" t="s">
        <v>3</v>
      </c>
      <c r="E67" s="80">
        <v>1</v>
      </c>
      <c r="F67" s="2">
        <v>102.04</v>
      </c>
      <c r="G67" s="58">
        <f>IFERROR(SUMPRODUCT((TEXT(CC!$C$3:$C$1000,"0")=TEXT(C67,"0"))*IFERROR(CC!$E$3:$E$1000+0,0)),0)</f>
      </c>
      <c r="H67" s="44"/>
      <c r="I67" s="23" t="str">
        <f t="shared" si="4"/>
        <v>531011</v>
      </c>
      <c r="J67" s="33" cm="1">
        <f t="array" ref="J67">IFERROR(-_xlfn.IFS(OR(H67="y",H67="Y"),F67,AND(H67&lt;&gt;0,ISNUMBER(H67)),H67,G67&lt;&gt;0,G67),0)</f>
        <v>-102.04</v>
      </c>
      <c r="K67" s="29" t="str">
        <f t="shared" si="6"/>
        <v>802705</v>
      </c>
      <c r="L67" s="45" t="str">
        <f>IF(C67&lt;&gt;"",_xlfn.XLOOKUP(TEXT(C67,"0"),TEXT(CC!$C$3:$C$1000,"0"),CC!$G$3:$G$1000,""),"")</f>
        <v/>
      </c>
      <c r="N67" s="40"/>
      <c r="O67" s="48"/>
      <c r="P67" s="51"/>
      <c r="Q67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7" s="33">
        <f>-NotOnSch[[#This Row],[Amount]]</f>
        <v>0</v>
      </c>
      <c r="S67" s="29" t="str">
        <f t="shared" si="7"/>
        <v/>
      </c>
      <c r="T67" s="40" t="str">
        <f>IF(N67&lt;&gt;"",_xlfn.XLOOKUP(TEXT(N67,"0"),TEXT(CC!$C$3:$C$1000,"0"),CC!$G$3:$G$1000,""),"")</f>
        <v/>
      </c>
    </row>
    <row r="68" spans="3:20" x14ac:dyDescent="0.25">
      <c r="G68" s="58">
        <f>IFERROR(SUMPRODUCT((TEXT(CC!$C$3:$C$1000,"0")=TEXT(C68,"0"))*IFERROR(CC!$E$3:$E$1000+0,0)),0)</f>
      </c>
      <c r="H68" s="44"/>
      <c r="I68" s="23" t="str">
        <f t="shared" si="4"/>
        <v/>
      </c>
      <c r="J68" s="33" cm="1">
        <f t="array" ref="J68">IFERROR(-_xlfn.IFS(OR(H68="y",H68="Y"),F68,AND(H68&lt;&gt;0,ISNUMBER(H68)),H68,G68&lt;&gt;0,G68),0)</f>
        <v>0</v>
      </c>
      <c r="K68" s="29" t="str">
        <f t="shared" si="6"/>
        <v/>
      </c>
      <c r="L68" s="45" t="str">
        <f>IF(C68&lt;&gt;"",_xlfn.XLOOKUP(TEXT(C68,"0"),TEXT(CC!$C$3:$C$1000,"0"),CC!$G$3:$G$1000,""),"")</f>
        <v/>
      </c>
      <c r="N68" s="40"/>
      <c r="O68" s="48"/>
      <c r="P68" s="51"/>
      <c r="Q68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8" s="33">
        <f>-NotOnSch[[#This Row],[Amount]]</f>
        <v>0</v>
      </c>
      <c r="S68" s="29" t="str">
        <f t="shared" si="7"/>
        <v/>
      </c>
      <c r="T68" s="40" t="str">
        <f>IF(N68&lt;&gt;"",_xlfn.XLOOKUP(TEXT(N68,"0"),TEXT(CC!$C$3:$C$1000,"0"),CC!$G$3:$G$1000,""),"")</f>
        <v/>
      </c>
    </row>
    <row r="69" spans="3:20" x14ac:dyDescent="0.25">
      <c r="G69" s="58">
        <f>IFERROR(SUMPRODUCT((TEXT(CC!$C$3:$C$1000,"0")=TEXT(C69,"0"))*IFERROR(CC!$E$3:$E$1000+0,0)),0)</f>
      </c>
      <c r="H69" s="44"/>
      <c r="I69" s="23" t="str">
        <f t="shared" si="4"/>
        <v/>
      </c>
      <c r="J69" s="33" cm="1">
        <f t="array" ref="J69">IFERROR(-_xlfn.IFS(OR(H69="y",H69="Y"),F69,AND(H69&lt;&gt;0,ISNUMBER(H69)),H69,G69&lt;&gt;0,G69),0)</f>
        <v>0</v>
      </c>
      <c r="K69" s="29" t="str">
        <f t="shared" si="6"/>
        <v/>
      </c>
      <c r="L69" s="45" t="str">
        <f>IF(C69&lt;&gt;"",_xlfn.XLOOKUP(TEXT(C69,"0"),TEXT(CC!$C$3:$C$1000,"0"),CC!$G$3:$G$1000,""),"")</f>
        <v/>
      </c>
      <c r="N69" s="40"/>
      <c r="O69" s="48"/>
      <c r="P69" s="51"/>
      <c r="Q69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69" s="33">
        <f>-NotOnSch[[#This Row],[Amount]]</f>
        <v>0</v>
      </c>
      <c r="S69" s="29" t="str">
        <f t="shared" si="7"/>
        <v/>
      </c>
      <c r="T69" s="40" t="str">
        <f>IF(N69&lt;&gt;"",_xlfn.XLOOKUP(TEXT(N69,"0"),TEXT(CC!$C$3:$C$1000,"0"),CC!$G$3:$G$1000,""),"")</f>
        <v/>
      </c>
    </row>
    <row r="70" spans="3:20" x14ac:dyDescent="0.25">
      <c r="G70" s="58">
        <f>IFERROR(SUMPRODUCT((TEXT(CC!$C$3:$C$1000,"0")=TEXT(C70,"0"))*IFERROR(CC!$E$3:$E$1000+0,0)),0)</f>
      </c>
      <c r="H70" s="44"/>
      <c r="I70" s="23" t="str">
        <f t="shared" si="4"/>
        <v/>
      </c>
      <c r="J70" s="33" cm="1">
        <f t="array" ref="J70">IFERROR(-_xlfn.IFS(OR(H70="y",H70="Y"),F70,AND(H70&lt;&gt;0,ISNUMBER(H70)),H70,G70&lt;&gt;0,G70),0)</f>
        <v>0</v>
      </c>
      <c r="K70" s="29" t="str">
        <f t="shared" si="6"/>
        <v/>
      </c>
      <c r="L70" s="45" t="str">
        <f>IF(C70&lt;&gt;"",_xlfn.XLOOKUP(TEXT(C70,"0"),TEXT(CC!$C$3:$C$1000,"0"),CC!$G$3:$G$1000,""),"")</f>
        <v/>
      </c>
      <c r="N70" s="40"/>
      <c r="O70" s="48"/>
      <c r="P70" s="51"/>
      <c r="Q70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70" s="33">
        <f>-NotOnSch[[#This Row],[Amount]]</f>
        <v>0</v>
      </c>
      <c r="S70" s="29" t="str">
        <f t="shared" si="7"/>
        <v/>
      </c>
      <c r="T70" s="40" t="str">
        <f>IF(N70&lt;&gt;"",_xlfn.XLOOKUP(TEXT(N70,"0"),TEXT(CC!$C$3:$C$1000,"0"),CC!$G$3:$G$1000,""),"")</f>
        <v/>
      </c>
    </row>
    <row r="71" spans="3:20" x14ac:dyDescent="0.25">
      <c r="G71" s="58">
        <f>IFERROR(SUMPRODUCT((TEXT(CC!$C$3:$C$1000,"0")=TEXT(C71,"0"))*IFERROR(CC!$E$3:$E$1000+0,0)),0)</f>
      </c>
      <c r="H71" s="44"/>
      <c r="I71" s="23" t="str">
        <f t="shared" si="4"/>
        <v/>
      </c>
      <c r="J71" s="33" cm="1">
        <f t="array" ref="J71">IFERROR(-_xlfn.IFS(OR(H71="y",H71="Y"),F71,AND(H71&lt;&gt;0,ISNUMBER(H71)),H71,G71&lt;&gt;0,G71),0)</f>
        <v>0</v>
      </c>
      <c r="K71" s="29" t="str">
        <f t="shared" si="6"/>
        <v/>
      </c>
      <c r="L71" s="45" t="str">
        <f>IF(C71&lt;&gt;"",_xlfn.XLOOKUP(TEXT(C71,"0"),TEXT(CC!$C$3:$C$1000,"0"),CC!$G$3:$G$1000,""),"")</f>
        <v/>
      </c>
      <c r="N71" s="40"/>
      <c r="O71" s="48"/>
      <c r="P71" s="51"/>
      <c r="Q71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71" s="33">
        <f>-NotOnSch[[#This Row],[Amount]]</f>
        <v>0</v>
      </c>
      <c r="S71" s="29" t="str">
        <f t="shared" si="7"/>
        <v/>
      </c>
      <c r="T71" s="40" t="str">
        <f>IF(N71&lt;&gt;"",_xlfn.XLOOKUP(TEXT(N71,"0"),TEXT(CC!$C$3:$C$1000,"0"),CC!$G$3:$G$1000,""),"")</f>
        <v/>
      </c>
    </row>
    <row r="72" spans="3:20" x14ac:dyDescent="0.25">
      <c r="G72" s="58">
        <f>IFERROR(SUMPRODUCT((TEXT(CC!$C$3:$C$1000,"0")=TEXT(C72,"0"))*IFERROR(CC!$E$3:$E$1000+0,0)),0)</f>
      </c>
      <c r="H72" s="44"/>
      <c r="I72" s="23" t="str">
        <f t="shared" si="4"/>
        <v/>
      </c>
      <c r="J72" s="33" cm="1">
        <f t="array" ref="J72">IFERROR(-_xlfn.IFS(OR(H72="y",H72="Y"),F72,AND(H72&lt;&gt;0,ISNUMBER(H72)),H72,G72&lt;&gt;0,G72),0)</f>
        <v>0</v>
      </c>
      <c r="K72" s="29" t="str">
        <f t="shared" si="6"/>
        <v/>
      </c>
      <c r="L72" s="45" t="str">
        <f>IF(C72&lt;&gt;"",_xlfn.XLOOKUP(TEXT(C72,"0"),TEXT(CC!$C$3:$C$1000,"0"),CC!$G$3:$G$1000,""),"")</f>
        <v/>
      </c>
      <c r="N72" s="40"/>
      <c r="O72" s="48"/>
      <c r="P72" s="51"/>
      <c r="Q72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72" s="33">
        <f>-NotOnSch[[#This Row],[Amount]]</f>
        <v>0</v>
      </c>
      <c r="S72" s="29" t="str">
        <f t="shared" si="7"/>
        <v/>
      </c>
      <c r="T72" s="40" t="str">
        <f>IF(N72&lt;&gt;"",_xlfn.XLOOKUP(TEXT(N72,"0"),TEXT(CC!$C$3:$C$1000,"0"),CC!$G$3:$G$1000,""),"")</f>
        <v/>
      </c>
    </row>
    <row r="73" spans="3:20" x14ac:dyDescent="0.25">
      <c r="G73" s="58">
        <f>IFERROR(SUMPRODUCT((TEXT(CC!$C$3:$C$1000,"0")=TEXT(C73,"0"))*IFERROR(CC!$E$3:$E$1000+0,0)),0)</f>
      </c>
      <c r="H73" s="44"/>
      <c r="I73" s="23" t="str">
        <f t="shared" si="4"/>
        <v/>
      </c>
      <c r="J73" s="33" cm="1">
        <f t="array" ref="J73">IFERROR(-_xlfn.IFS(OR(H73="y",H73="Y"),F73,AND(H73&lt;&gt;0,ISNUMBER(H73)),H73,G73&lt;&gt;0,G73),0)</f>
        <v>0</v>
      </c>
      <c r="K73" s="29" t="str">
        <f t="shared" si="6"/>
        <v/>
      </c>
      <c r="L73" s="45" t="str">
        <f>IF(C73&lt;&gt;"",_xlfn.XLOOKUP(TEXT(C73,"0"),TEXT(CC!$C$3:$C$1000,"0"),CC!$G$3:$G$1000,""),"")</f>
        <v/>
      </c>
      <c r="N73" s="40"/>
      <c r="O73" s="48"/>
      <c r="P73" s="51"/>
      <c r="Q73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73" s="33">
        <f>-NotOnSch[[#This Row],[Amount]]</f>
        <v>0</v>
      </c>
      <c r="S73" s="29" t="str">
        <f t="shared" si="7"/>
        <v/>
      </c>
      <c r="T73" s="40" t="str">
        <f>IF(N73&lt;&gt;"",_xlfn.XLOOKUP(TEXT(N73,"0"),TEXT(CC!$C$3:$C$1000,"0"),CC!$G$3:$G$1000,""),"")</f>
        <v/>
      </c>
    </row>
    <row r="74" spans="3:20" x14ac:dyDescent="0.25">
      <c r="G74" s="58">
        <f>IFERROR(SUMPRODUCT((TEXT(CC!$C$3:$C$1000,"0")=TEXT(C74,"0"))*IFERROR(CC!$E$3:$E$1000+0,0)),0)</f>
      </c>
      <c r="H74" s="44"/>
      <c r="I74" s="23" t="str">
        <f t="shared" si="4"/>
        <v/>
      </c>
      <c r="J74" s="33" cm="1">
        <f t="array" ref="J74">IFERROR(-_xlfn.IFS(OR(H74="y",H74="Y"),F74,AND(H74&lt;&gt;0,ISNUMBER(H74)),H74,G74&lt;&gt;0,G74),0)</f>
        <v>0</v>
      </c>
      <c r="K74" s="29" t="str">
        <f t="shared" si="6"/>
        <v/>
      </c>
      <c r="L74" s="45" t="str">
        <f>IF(C74&lt;&gt;"",_xlfn.XLOOKUP(TEXT(C74,"0"),TEXT(CC!$C$3:$C$1000,"0"),CC!$G$3:$G$1000,""),"")</f>
        <v/>
      </c>
      <c r="N74" s="40"/>
      <c r="O74" s="48"/>
      <c r="P74" s="51"/>
      <c r="Q74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74" s="33">
        <f>-NotOnSch[[#This Row],[Amount]]</f>
        <v>0</v>
      </c>
      <c r="S74" s="29" t="str">
        <f t="shared" si="7"/>
        <v/>
      </c>
      <c r="T74" s="40" t="str">
        <f>IF(N74&lt;&gt;"",_xlfn.XLOOKUP(TEXT(N74,"0"),TEXT(CC!$C$3:$C$1000,"0"),CC!$G$3:$G$1000,""),"")</f>
        <v/>
      </c>
    </row>
    <row r="75" spans="3:20" x14ac:dyDescent="0.25">
      <c r="G75" s="58">
        <f>IFERROR(SUMPRODUCT((TEXT(CC!$C$3:$C$1000,"0")=TEXT(C75,"0"))*IFERROR(CC!$E$3:$E$1000+0,0)),0)</f>
      </c>
      <c r="H75" s="44"/>
      <c r="I75" s="23" t="str">
        <f t="shared" si="4"/>
        <v/>
      </c>
      <c r="J75" s="33" cm="1">
        <f t="array" ref="J75">IFERROR(-_xlfn.IFS(OR(H75="y",H75="Y"),F75,AND(H75&lt;&gt;0,ISNUMBER(H75)),H75,G75&lt;&gt;0,G75),0)</f>
        <v>0</v>
      </c>
      <c r="K75" s="29" t="str">
        <f t="shared" si="6"/>
        <v/>
      </c>
      <c r="L75" s="45" t="str">
        <f>IF(C75&lt;&gt;"",_xlfn.XLOOKUP(TEXT(C75,"0"),TEXT(CC!$C$3:$C$1000,"0"),CC!$G$3:$G$1000,""),"")</f>
        <v/>
      </c>
      <c r="N75" s="40"/>
      <c r="O75" s="48"/>
      <c r="P75" s="51"/>
      <c r="Q75" s="26" t="str">
        <f>IF(NotOnSch[[#This Row],[Amount]]="","",IF(NotOnSch[[#This Row],[TYPE]]="","531011",CHOOSE(MATCH(NotOnSch[[#This Row],[TYPE]], {"EXT WARRANTY","GM WARRANTY","TOY WARRANTY","PNC"}, 0), "531150", "531140", "541140", "531122")))</f>
        <v/>
      </c>
      <c r="R75" s="33">
        <f>-NotOnSch[[#This Row],[Amount]]</f>
        <v>0</v>
      </c>
      <c r="S75" s="29" t="str">
        <f t="shared" si="7"/>
        <v/>
      </c>
      <c r="T75" s="40" t="str">
        <f>IF(N75&lt;&gt;"",_xlfn.XLOOKUP(TEXT(N75,"0"),TEXT(CC!$C$3:$C$1000,"0"),CC!$G$3:$G$1000,""),"")</f>
        <v/>
      </c>
    </row>
    <row r="76" spans="3:20" x14ac:dyDescent="0.25">
      <c r="G76" s="58">
        <f>IFERROR(SUMPRODUCT((TEXT(CC!$C$3:$C$1000,"0")=TEXT(C76,"0"))*IFERROR(CC!$E$3:$E$1000+0,0)),0)</f>
      </c>
      <c r="H76" s="44"/>
      <c r="I76" s="23" t="str">
        <f t="shared" si="4"/>
        <v/>
      </c>
      <c r="J76" s="33" cm="1">
        <f t="array" ref="J76">IFERROR(-_xlfn.IFS(OR(H76="y",H76="Y"),F76,AND(H76&lt;&gt;0,ISNUMBER(H76)),H76,G76&lt;&gt;0,G76),0)</f>
        <v>0</v>
      </c>
      <c r="K76" s="29" t="str">
        <f t="shared" si="6"/>
        <v/>
      </c>
      <c r="L76" s="45" t="str">
        <f>IF(C76&lt;&gt;"",_xlfn.XLOOKUP(TEXT(C76,"0"),TEXT(CC!$C$3:$C$1000,"0"),CC!$G$3:$G$1000,""),"")</f>
        <v/>
      </c>
    </row>
    <row r="77" spans="3:20" x14ac:dyDescent="0.25">
      <c r="G77" s="58">
        <f>IFERROR(SUMPRODUCT((TEXT(CC!$C$3:$C$1000,"0")=TEXT(C77,"0"))*IFERROR(CC!$E$3:$E$1000+0,0)),0)</f>
      </c>
      <c r="H77" s="44"/>
      <c r="I77" s="23" t="str">
        <f t="shared" si="4"/>
        <v/>
      </c>
      <c r="J77" s="33" cm="1">
        <f t="array" ref="J77">IFERROR(-_xlfn.IFS(OR(H77="y",H77="Y"),F77,AND(H77&lt;&gt;0,ISNUMBER(H77)),H77,G77&lt;&gt;0,G77),0)</f>
        <v>0</v>
      </c>
      <c r="K77" s="29" t="str">
        <f t="shared" si="6"/>
        <v/>
      </c>
      <c r="L77" s="45" t="str">
        <f>IF(C77&lt;&gt;"",_xlfn.XLOOKUP(TEXT(C77,"0"),TEXT(CC!$C$3:$C$1000,"0"),CC!$G$3:$G$1000,""),"")</f>
        <v/>
      </c>
    </row>
    <row r="78" spans="3:20" x14ac:dyDescent="0.25">
      <c r="G78" s="58">
        <f>IFERROR(SUMPRODUCT((TEXT(CC!$C$3:$C$1000,"0")=TEXT(C78,"0"))*IFERROR(CC!$E$3:$E$1000+0,0)),0)</f>
      </c>
      <c r="H78" s="44"/>
      <c r="I78" s="23" t="str">
        <f t="shared" si="4"/>
        <v/>
      </c>
      <c r="J78" s="33" cm="1">
        <f t="array" ref="J78">IFERROR(-_xlfn.IFS(OR(H78="y",H78="Y"),F78,AND(H78&lt;&gt;0,ISNUMBER(H78)),H78,G78&lt;&gt;0,G78),0)</f>
        <v>0</v>
      </c>
      <c r="K78" s="29" t="str">
        <f t="shared" ref="K78:K108" si="8">IF(J78&lt;&gt;0,C78,"")</f>
        <v/>
      </c>
      <c r="L78" s="45" t="str">
        <f>IF(C78&lt;&gt;"",_xlfn.XLOOKUP(TEXT(C78,"0"),TEXT(CC!$C$3:$C$1000,"0"),CC!$G$3:$G$1000,""),"")</f>
        <v/>
      </c>
    </row>
    <row r="79" spans="3:20" x14ac:dyDescent="0.25">
      <c r="G79" s="58">
        <f>IFERROR(SUMPRODUCT((TEXT(CC!$C$3:$C$1000,"0")=TEXT(C79,"0"))*IFERROR(CC!$E$3:$E$1000+0,0)),0)</f>
      </c>
      <c r="H79" s="44"/>
      <c r="I79" s="23" t="str">
        <f t="shared" ref="I79:I142" si="9">IF(J79&lt;&gt;0,"531011","")</f>
        <v/>
      </c>
      <c r="J79" s="33" cm="1">
        <f t="array" ref="J79">IFERROR(-_xlfn.IFS(OR(H79="y",H79="Y"),F79,AND(H79&lt;&gt;0,ISNUMBER(H79)),H79,G79&lt;&gt;0,G79),0)</f>
        <v>0</v>
      </c>
      <c r="K79" s="29" t="str">
        <f t="shared" si="8"/>
        <v/>
      </c>
      <c r="L79" s="45" t="str">
        <f>IF(C79&lt;&gt;"",_xlfn.XLOOKUP(TEXT(C79,"0"),TEXT(CC!$C$3:$C$1000,"0"),CC!$G$3:$G$1000,""),"")</f>
        <v/>
      </c>
    </row>
    <row r="80" spans="3:20" x14ac:dyDescent="0.25">
      <c r="G80" s="58">
        <f>IFERROR(SUMPRODUCT((TEXT(CC!$C$3:$C$1000,"0")=TEXT(C80,"0"))*IFERROR(CC!$E$3:$E$1000+0,0)),0)</f>
      </c>
      <c r="H80" s="44"/>
      <c r="I80" s="23" t="str">
        <f t="shared" si="9"/>
        <v/>
      </c>
      <c r="J80" s="33" cm="1">
        <f t="array" ref="J80">IFERROR(-_xlfn.IFS(OR(H80="y",H80="Y"),F80,AND(H80&lt;&gt;0,ISNUMBER(H80)),H80,G80&lt;&gt;0,G80),0)</f>
        <v>0</v>
      </c>
      <c r="K80" s="29" t="str">
        <f t="shared" si="8"/>
        <v/>
      </c>
      <c r="L80" s="45" t="str">
        <f>IF(C80&lt;&gt;"",_xlfn.XLOOKUP(TEXT(C80,"0"),TEXT(CC!$C$3:$C$1000,"0"),CC!$G$3:$G$1000,""),"")</f>
        <v/>
      </c>
    </row>
    <row r="81" spans="7:12" x14ac:dyDescent="0.25">
      <c r="G81" s="58">
        <f>IFERROR(SUMPRODUCT((TEXT(CC!$C$3:$C$1000,"0")=TEXT(C81,"0"))*IFERROR(CC!$E$3:$E$1000+0,0)),0)</f>
      </c>
      <c r="H81" s="44"/>
      <c r="I81" s="23" t="str">
        <f t="shared" si="9"/>
        <v/>
      </c>
      <c r="J81" s="33" cm="1">
        <f t="array" ref="J81">IFERROR(-_xlfn.IFS(OR(H81="y",H81="Y"),F81,AND(H81&lt;&gt;0,ISNUMBER(H81)),H81,G81&lt;&gt;0,G81),0)</f>
        <v>0</v>
      </c>
      <c r="K81" s="29" t="str">
        <f t="shared" si="8"/>
        <v/>
      </c>
      <c r="L81" s="45" t="str">
        <f>IF(C81&lt;&gt;"",_xlfn.XLOOKUP(TEXT(C81,"0"),TEXT(CC!$C$3:$C$1000,"0"),CC!$G$3:$G$1000,""),"")</f>
        <v/>
      </c>
    </row>
    <row r="82" spans="7:12" x14ac:dyDescent="0.25">
      <c r="G82" s="58">
        <f>IFERROR(SUMPRODUCT((TEXT(CC!$C$3:$C$1000,"0")=TEXT(C82,"0"))*IFERROR(CC!$E$3:$E$1000+0,0)),0)</f>
      </c>
      <c r="H82" s="44"/>
      <c r="I82" s="23" t="str">
        <f t="shared" si="9"/>
        <v/>
      </c>
      <c r="J82" s="33" cm="1">
        <f t="array" ref="J82">IFERROR(-_xlfn.IFS(OR(H82="y",H82="Y"),F82,AND(H82&lt;&gt;0,ISNUMBER(H82)),H82,G82&lt;&gt;0,G82),0)</f>
        <v>0</v>
      </c>
      <c r="K82" s="29" t="str">
        <f t="shared" si="8"/>
        <v/>
      </c>
      <c r="L82" s="45" t="str">
        <f>IF(C82&lt;&gt;"",_xlfn.XLOOKUP(TEXT(C82,"0"),TEXT(CC!$C$3:$C$1000,"0"),CC!$G$3:$G$1000,""),"")</f>
        <v/>
      </c>
    </row>
    <row r="83" spans="7:12" x14ac:dyDescent="0.25">
      <c r="G83" s="58">
        <f>IFERROR(SUMPRODUCT((TEXT(CC!$C$3:$C$1000,"0")=TEXT(C83,"0"))*IFERROR(CC!$E$3:$E$1000+0,0)),0)</f>
      </c>
      <c r="H83" s="44"/>
      <c r="I83" s="23" t="str">
        <f t="shared" si="9"/>
        <v/>
      </c>
      <c r="J83" s="33" cm="1">
        <f t="array" ref="J83">IFERROR(-_xlfn.IFS(OR(H83="y",H83="Y"),F83,AND(H83&lt;&gt;0,ISNUMBER(H83)),H83,G83&lt;&gt;0,G83),0)</f>
        <v>0</v>
      </c>
      <c r="K83" s="29" t="str">
        <f t="shared" si="8"/>
        <v/>
      </c>
      <c r="L83" s="45" t="str">
        <f>IF(C83&lt;&gt;"",_xlfn.XLOOKUP(TEXT(C83,"0"),TEXT(CC!$C$3:$C$1000,"0"),CC!$G$3:$G$1000,""),"")</f>
        <v/>
      </c>
    </row>
    <row r="84" spans="7:12" x14ac:dyDescent="0.25">
      <c r="G84" s="58">
        <f>IFERROR(SUMPRODUCT((TEXT(CC!$C$3:$C$1000,"0")=TEXT(C84,"0"))*IFERROR(CC!$E$3:$E$1000+0,0)),0)</f>
      </c>
      <c r="H84" s="44"/>
      <c r="I84" s="23" t="str">
        <f t="shared" si="9"/>
        <v/>
      </c>
      <c r="J84" s="33" cm="1">
        <f t="array" ref="J84">IFERROR(-_xlfn.IFS(OR(H84="y",H84="Y"),F84,AND(H84&lt;&gt;0,ISNUMBER(H84)),H84,G84&lt;&gt;0,G84),0)</f>
        <v>0</v>
      </c>
      <c r="K84" s="29" t="str">
        <f t="shared" si="8"/>
        <v/>
      </c>
      <c r="L84" s="45" t="str">
        <f>IF(C84&lt;&gt;"",_xlfn.XLOOKUP(TEXT(C84,"0"),TEXT(CC!$C$3:$C$1000,"0"),CC!$G$3:$G$1000,""),"")</f>
        <v/>
      </c>
    </row>
    <row r="85" spans="7:12" x14ac:dyDescent="0.25">
      <c r="G85" s="58">
        <f>IFERROR(SUMPRODUCT((TEXT(CC!$C$3:$C$1000,"0")=TEXT(C85,"0"))*IFERROR(CC!$E$3:$E$1000+0,0)),0)</f>
      </c>
      <c r="H85" s="44"/>
      <c r="I85" s="23" t="str">
        <f t="shared" si="9"/>
        <v/>
      </c>
      <c r="J85" s="33" cm="1">
        <f t="array" ref="J85">IFERROR(-_xlfn.IFS(OR(H85="y",H85="Y"),F85,AND(H85&lt;&gt;0,ISNUMBER(H85)),H85,G85&lt;&gt;0,G85),0)</f>
        <v>0</v>
      </c>
      <c r="K85" s="29" t="str">
        <f t="shared" si="8"/>
        <v/>
      </c>
      <c r="L85" s="45" t="str">
        <f>IF(C85&lt;&gt;"",_xlfn.XLOOKUP(TEXT(C85,"0"),TEXT(CC!$C$3:$C$1000,"0"),CC!$G$3:$G$1000,""),"")</f>
        <v/>
      </c>
    </row>
    <row r="86" spans="7:12" x14ac:dyDescent="0.25">
      <c r="G86" s="58">
        <f>IFERROR(SUMPRODUCT((TEXT(CC!$C$3:$C$1000,"0")=TEXT(C86,"0"))*IFERROR(CC!$E$3:$E$1000+0,0)),0)</f>
      </c>
      <c r="H86" s="44"/>
      <c r="I86" s="23" t="str">
        <f t="shared" si="9"/>
        <v/>
      </c>
      <c r="J86" s="33" cm="1">
        <f t="array" ref="J86">IFERROR(-_xlfn.IFS(OR(H86="y",H86="Y"),F86,AND(H86&lt;&gt;0,ISNUMBER(H86)),H86,G86&lt;&gt;0,G86),0)</f>
        <v>0</v>
      </c>
      <c r="K86" s="29" t="str">
        <f t="shared" si="8"/>
        <v/>
      </c>
      <c r="L86" s="45" t="str">
        <f>IF(C86&lt;&gt;"",_xlfn.XLOOKUP(TEXT(C86,"0"),TEXT(CC!$C$3:$C$1000,"0"),CC!$G$3:$G$1000,""),"")</f>
        <v/>
      </c>
    </row>
    <row r="87" spans="7:12" x14ac:dyDescent="0.25">
      <c r="G87" s="58">
        <f>IFERROR(SUMPRODUCT((TEXT(CC!$C$3:$C$1000,"0")=TEXT(C87,"0"))*IFERROR(CC!$E$3:$E$1000+0,0)),0)</f>
      </c>
      <c r="H87" s="44"/>
      <c r="I87" s="23" t="str">
        <f t="shared" si="9"/>
        <v/>
      </c>
      <c r="J87" s="33" cm="1">
        <f t="array" ref="J87">IFERROR(-_xlfn.IFS(OR(H87="y",H87="Y"),F87,AND(H87&lt;&gt;0,ISNUMBER(H87)),H87,G87&lt;&gt;0,G87),0)</f>
        <v>0</v>
      </c>
      <c r="K87" s="29" t="str">
        <f t="shared" si="8"/>
        <v/>
      </c>
      <c r="L87" s="45" t="str">
        <f>IF(C87&lt;&gt;"",_xlfn.XLOOKUP(TEXT(C87,"0"),TEXT(CC!$C$3:$C$1000,"0"),CC!$G$3:$G$1000,""),"")</f>
        <v/>
      </c>
    </row>
    <row r="88" spans="7:12" x14ac:dyDescent="0.25">
      <c r="G88" s="58">
        <f>IFERROR(SUMPRODUCT((TEXT(CC!$C$3:$C$1000,"0")=TEXT(C88,"0"))*IFERROR(CC!$E$3:$E$1000+0,0)),0)</f>
      </c>
      <c r="H88" s="44"/>
      <c r="I88" s="23" t="str">
        <f t="shared" si="9"/>
        <v/>
      </c>
      <c r="J88" s="33" cm="1">
        <f t="array" ref="J88">IFERROR(-_xlfn.IFS(OR(H88="y",H88="Y"),F88,AND(H88&lt;&gt;0,ISNUMBER(H88)),H88,G88&lt;&gt;0,G88),0)</f>
        <v>0</v>
      </c>
      <c r="K88" s="29" t="str">
        <f t="shared" si="8"/>
        <v/>
      </c>
      <c r="L88" s="45" t="str">
        <f>IF(C88&lt;&gt;"",_xlfn.XLOOKUP(TEXT(C88,"0"),TEXT(CC!$C$3:$C$1000,"0"),CC!$G$3:$G$1000,""),"")</f>
        <v/>
      </c>
    </row>
    <row r="89" spans="7:12" x14ac:dyDescent="0.25">
      <c r="G89" s="58">
        <f>IFERROR(SUMPRODUCT((TEXT(CC!$C$3:$C$1000,"0")=TEXT(C89,"0"))*IFERROR(CC!$E$3:$E$1000+0,0)),0)</f>
      </c>
      <c r="H89" s="44"/>
      <c r="I89" s="23" t="str">
        <f t="shared" si="9"/>
        <v/>
      </c>
      <c r="J89" s="33" cm="1">
        <f t="array" ref="J89">IFERROR(-_xlfn.IFS(OR(H89="y",H89="Y"),F89,AND(H89&lt;&gt;0,ISNUMBER(H89)),H89,G89&lt;&gt;0,G89),0)</f>
        <v>0</v>
      </c>
      <c r="K89" s="29" t="str">
        <f t="shared" si="8"/>
        <v/>
      </c>
      <c r="L89" s="45" t="str">
        <f>IF(C89&lt;&gt;"",_xlfn.XLOOKUP(TEXT(C89,"0"),TEXT(CC!$C$3:$C$1000,"0"),CC!$G$3:$G$1000,""),"")</f>
        <v/>
      </c>
    </row>
    <row r="90" spans="7:12" x14ac:dyDescent="0.25">
      <c r="G90" s="58">
        <f>IFERROR(SUMPRODUCT((TEXT(CC!$C$3:$C$1000,"0")=TEXT(C90,"0"))*IFERROR(CC!$E$3:$E$1000+0,0)),0)</f>
      </c>
      <c r="H90" s="44"/>
      <c r="I90" s="23" t="str">
        <f t="shared" si="9"/>
        <v/>
      </c>
      <c r="J90" s="33" cm="1">
        <f t="array" ref="J90">IFERROR(-_xlfn.IFS(OR(H90="y",H90="Y"),F90,AND(H90&lt;&gt;0,ISNUMBER(H90)),H90,G90&lt;&gt;0,G90),0)</f>
        <v>0</v>
      </c>
      <c r="K90" s="29" t="str">
        <f t="shared" si="8"/>
        <v/>
      </c>
      <c r="L90" s="45" t="str">
        <f>IF(C90&lt;&gt;"",_xlfn.XLOOKUP(TEXT(C90,"0"),TEXT(CC!$C$3:$C$1000,"0"),CC!$G$3:$G$1000,""),"")</f>
        <v/>
      </c>
    </row>
    <row r="91" spans="7:12" x14ac:dyDescent="0.25">
      <c r="G91" s="58">
        <f>IFERROR(SUMPRODUCT((TEXT(CC!$C$3:$C$1000,"0")=TEXT(C91,"0"))*IFERROR(CC!$E$3:$E$1000+0,0)),0)</f>
      </c>
      <c r="H91" s="44"/>
      <c r="I91" s="23" t="str">
        <f t="shared" si="9"/>
        <v/>
      </c>
      <c r="J91" s="33" cm="1">
        <f t="array" ref="J91">IFERROR(-_xlfn.IFS(OR(H91="y",H91="Y"),F91,AND(H91&lt;&gt;0,ISNUMBER(H91)),H91,G91&lt;&gt;0,G91),0)</f>
        <v>0</v>
      </c>
      <c r="K91" s="29" t="str">
        <f t="shared" si="8"/>
        <v/>
      </c>
      <c r="L91" s="45" t="str">
        <f>IF(C91&lt;&gt;"",_xlfn.XLOOKUP(TEXT(C91,"0"),TEXT(CC!$C$3:$C$1000,"0"),CC!$G$3:$G$1000,""),"")</f>
        <v/>
      </c>
    </row>
    <row r="92" spans="7:12" x14ac:dyDescent="0.25">
      <c r="G92" s="58">
        <f>IFERROR(SUMPRODUCT((TEXT(CC!$C$3:$C$1000,"0")=TEXT(C92,"0"))*IFERROR(CC!$E$3:$E$1000+0,0)),0)</f>
      </c>
      <c r="H92" s="44"/>
      <c r="I92" s="23" t="str">
        <f t="shared" si="9"/>
        <v/>
      </c>
      <c r="J92" s="33" cm="1">
        <f t="array" ref="J92">IFERROR(-_xlfn.IFS(OR(H92="y",H92="Y"),F92,AND(H92&lt;&gt;0,ISNUMBER(H92)),H92,G92&lt;&gt;0,G92),0)</f>
        <v>0</v>
      </c>
      <c r="K92" s="29" t="str">
        <f t="shared" si="8"/>
        <v/>
      </c>
      <c r="L92" s="45" t="str">
        <f>IF(C92&lt;&gt;"",_xlfn.XLOOKUP(TEXT(C92,"0"),TEXT(CC!$C$3:$C$1000,"0"),CC!$G$3:$G$1000,""),"")</f>
        <v/>
      </c>
    </row>
    <row r="93" spans="7:12" x14ac:dyDescent="0.25">
      <c r="G93" s="58">
        <f>IFERROR(SUMPRODUCT((TEXT(CC!$C$3:$C$1000,"0")=TEXT(C93,"0"))*IFERROR(CC!$E$3:$E$1000+0,0)),0)</f>
      </c>
      <c r="H93" s="44"/>
      <c r="I93" s="23" t="str">
        <f t="shared" si="9"/>
        <v/>
      </c>
      <c r="J93" s="33" cm="1">
        <f t="array" ref="J93">IFERROR(-_xlfn.IFS(OR(H93="y",H93="Y"),F93,AND(H93&lt;&gt;0,ISNUMBER(H93)),H93,G93&lt;&gt;0,G93),0)</f>
        <v>0</v>
      </c>
      <c r="K93" s="29" t="str">
        <f t="shared" si="8"/>
        <v/>
      </c>
      <c r="L93" s="45" t="str">
        <f>IF(C93&lt;&gt;"",_xlfn.XLOOKUP(TEXT(C93,"0"),TEXT(CC!$C$3:$C$1000,"0"),CC!$G$3:$G$1000,""),"")</f>
        <v/>
      </c>
    </row>
    <row r="94" spans="7:12" x14ac:dyDescent="0.25">
      <c r="G94" s="58">
        <f>IFERROR(SUMPRODUCT((TEXT(CC!$C$3:$C$1000,"0")=TEXT(C94,"0"))*IFERROR(CC!$E$3:$E$1000+0,0)),0)</f>
      </c>
      <c r="H94" s="44"/>
      <c r="I94" s="23" t="str">
        <f t="shared" si="9"/>
        <v/>
      </c>
      <c r="J94" s="33" cm="1">
        <f t="array" ref="J94">IFERROR(-_xlfn.IFS(OR(H94="y",H94="Y"),F94,AND(H94&lt;&gt;0,ISNUMBER(H94)),H94,G94&lt;&gt;0,G94),0)</f>
        <v>0</v>
      </c>
      <c r="K94" s="29" t="str">
        <f t="shared" si="8"/>
        <v/>
      </c>
      <c r="L94" s="45" t="str">
        <f>IF(C94&lt;&gt;"",_xlfn.XLOOKUP(TEXT(C94,"0"),TEXT(CC!$C$3:$C$1000,"0"),CC!$G$3:$G$1000,""),"")</f>
        <v/>
      </c>
    </row>
    <row r="95" spans="7:12" x14ac:dyDescent="0.25">
      <c r="G95" s="58">
        <f>IFERROR(SUMPRODUCT((TEXT(CC!$C$3:$C$1000,"0")=TEXT(C95,"0"))*IFERROR(CC!$E$3:$E$1000+0,0)),0)</f>
      </c>
      <c r="H95" s="44"/>
      <c r="I95" s="23" t="str">
        <f t="shared" si="9"/>
        <v/>
      </c>
      <c r="J95" s="33" cm="1">
        <f t="array" ref="J95">IFERROR(-_xlfn.IFS(OR(H95="y",H95="Y"),F95,AND(H95&lt;&gt;0,ISNUMBER(H95)),H95,G95&lt;&gt;0,G95),0)</f>
        <v>0</v>
      </c>
      <c r="K95" s="29" t="str">
        <f t="shared" si="8"/>
        <v/>
      </c>
      <c r="L95" s="45" t="str">
        <f>IF(C95&lt;&gt;"",_xlfn.XLOOKUP(TEXT(C95,"0"),TEXT(CC!$C$3:$C$1000,"0"),CC!$G$3:$G$1000,""),"")</f>
        <v/>
      </c>
    </row>
    <row r="96" spans="7:12" x14ac:dyDescent="0.25">
      <c r="G96" s="58">
        <f>IFERROR(SUMPRODUCT((TEXT(CC!$C$3:$C$1000,"0")=TEXT(C96,"0"))*IFERROR(CC!$E$3:$E$1000+0,0)),0)</f>
      </c>
      <c r="H96" s="44"/>
      <c r="I96" s="23" t="str">
        <f t="shared" si="9"/>
        <v/>
      </c>
      <c r="J96" s="33" cm="1">
        <f t="array" ref="J96">IFERROR(-_xlfn.IFS(OR(H96="y",H96="Y"),F96,AND(H96&lt;&gt;0,ISNUMBER(H96)),H96,G96&lt;&gt;0,G96),0)</f>
        <v>0</v>
      </c>
      <c r="K96" s="29" t="str">
        <f t="shared" si="8"/>
        <v/>
      </c>
      <c r="L96" s="45" t="str">
        <f>IF(C96&lt;&gt;"",_xlfn.XLOOKUP(TEXT(C96,"0"),TEXT(CC!$C$3:$C$1000,"0"),CC!$G$3:$G$1000,""),"")</f>
        <v/>
      </c>
    </row>
    <row r="97" spans="7:12" x14ac:dyDescent="0.25">
      <c r="G97" s="58">
        <f>IFERROR(SUMPRODUCT((TEXT(CC!$C$3:$C$1000,"0")=TEXT(C97,"0"))*IFERROR(CC!$E$3:$E$1000+0,0)),0)</f>
      </c>
      <c r="H97" s="44"/>
      <c r="I97" s="23" t="str">
        <f t="shared" si="9"/>
        <v/>
      </c>
      <c r="J97" s="33" cm="1">
        <f t="array" ref="J97">IFERROR(-_xlfn.IFS(OR(H97="y",H97="Y"),F97,AND(H97&lt;&gt;0,ISNUMBER(H97)),H97,G97&lt;&gt;0,G97),0)</f>
        <v>0</v>
      </c>
      <c r="K97" s="29" t="str">
        <f t="shared" si="8"/>
        <v/>
      </c>
      <c r="L97" s="45" t="str">
        <f>IF(C97&lt;&gt;"",_xlfn.XLOOKUP(TEXT(C97,"0"),TEXT(CC!$C$3:$C$1000,"0"),CC!$G$3:$G$1000,""),"")</f>
        <v/>
      </c>
    </row>
    <row r="98" spans="7:12" x14ac:dyDescent="0.25">
      <c r="G98" s="58">
        <f>IFERROR(SUMPRODUCT((TEXT(CC!$C$3:$C$1000,"0")=TEXT(C98,"0"))*IFERROR(CC!$E$3:$E$1000+0,0)),0)</f>
      </c>
      <c r="H98" s="44"/>
      <c r="I98" s="23" t="str">
        <f t="shared" si="9"/>
        <v/>
      </c>
      <c r="J98" s="33" cm="1">
        <f t="array" ref="J98">IFERROR(-_xlfn.IFS(OR(H98="y",H98="Y"),F98,AND(H98&lt;&gt;0,ISNUMBER(H98)),H98,G98&lt;&gt;0,G98),0)</f>
        <v>0</v>
      </c>
      <c r="K98" s="29" t="str">
        <f t="shared" si="8"/>
        <v/>
      </c>
      <c r="L98" s="45" t="str">
        <f>IF(C98&lt;&gt;"",_xlfn.XLOOKUP(TEXT(C98,"0"),TEXT(CC!$C$3:$C$1000,"0"),CC!$G$3:$G$1000,""),"")</f>
        <v/>
      </c>
    </row>
    <row r="99" spans="7:12" x14ac:dyDescent="0.25">
      <c r="G99" s="58">
        <f>IFERROR(SUMPRODUCT((TEXT(CC!$C$3:$C$1000,"0")=TEXT(C99,"0"))*IFERROR(CC!$E$3:$E$1000+0,0)),0)</f>
      </c>
      <c r="H99" s="44"/>
      <c r="I99" s="23" t="str">
        <f t="shared" si="9"/>
        <v/>
      </c>
      <c r="J99" s="33" cm="1">
        <f t="array" ref="J99">IFERROR(-_xlfn.IFS(OR(H99="y",H99="Y"),F99,AND(H99&lt;&gt;0,ISNUMBER(H99)),H99,G99&lt;&gt;0,G99),0)</f>
        <v>0</v>
      </c>
      <c r="K99" s="29" t="str">
        <f t="shared" si="8"/>
        <v/>
      </c>
      <c r="L99" s="45" t="str">
        <f>IF(C99&lt;&gt;"",_xlfn.XLOOKUP(TEXT(C99,"0"),TEXT(CC!$C$3:$C$1000,"0"),CC!$G$3:$G$1000,""),"")</f>
        <v/>
      </c>
    </row>
    <row r="100" spans="7:12" x14ac:dyDescent="0.25">
      <c r="G100" s="58">
        <f>IFERROR(SUMPRODUCT((TEXT(CC!$C$3:$C$1000,"0")=TEXT(C100,"0"))*IFERROR(CC!$E$3:$E$1000+0,0)),0)</f>
      </c>
      <c r="H100" s="44"/>
      <c r="I100" s="23" t="str">
        <f t="shared" si="9"/>
        <v/>
      </c>
      <c r="J100" s="33" cm="1">
        <f t="array" ref="J100">IFERROR(-_xlfn.IFS(OR(H100="y",H100="Y"),F100,AND(H100&lt;&gt;0,ISNUMBER(H100)),H100,G100&lt;&gt;0,G100),0)</f>
        <v>0</v>
      </c>
      <c r="K100" s="29" t="str">
        <f t="shared" si="8"/>
        <v/>
      </c>
      <c r="L100" s="45" t="str">
        <f>IF(C100&lt;&gt;"",_xlfn.XLOOKUP(TEXT(C100,"0"),TEXT(CC!$C$3:$C$1000,"0"),CC!$G$3:$G$1000,""),"")</f>
        <v/>
      </c>
    </row>
    <row r="101" spans="7:12" x14ac:dyDescent="0.25">
      <c r="G101" s="58">
        <f>IFERROR(SUMPRODUCT((TEXT(CC!$C$3:$C$1000,"0")=TEXT(C101,"0"))*IFERROR(CC!$E$3:$E$1000+0,0)),0)</f>
      </c>
      <c r="H101" s="44"/>
      <c r="I101" s="23" t="str">
        <f t="shared" si="9"/>
        <v/>
      </c>
      <c r="J101" s="33" cm="1">
        <f t="array" ref="J101">IFERROR(-_xlfn.IFS(OR(H101="y",H101="Y"),F101,AND(H101&lt;&gt;0,ISNUMBER(H101)),H101,G101&lt;&gt;0,G101),0)</f>
        <v>0</v>
      </c>
      <c r="K101" s="29" t="str">
        <f t="shared" si="8"/>
        <v/>
      </c>
      <c r="L101" s="45" t="str">
        <f>IF(C101&lt;&gt;"",_xlfn.XLOOKUP(TEXT(C101,"0"),TEXT(CC!$C$3:$C$1000,"0"),CC!$G$3:$G$1000,""),"")</f>
        <v/>
      </c>
    </row>
    <row r="102" spans="7:12" x14ac:dyDescent="0.25">
      <c r="G102" s="58">
        <f>IFERROR(SUMPRODUCT((TEXT(CC!$C$3:$C$1000,"0")=TEXT(C102,"0"))*IFERROR(CC!$E$3:$E$1000+0,0)),0)</f>
      </c>
      <c r="H102" s="44"/>
      <c r="I102" s="23" t="str">
        <f t="shared" si="9"/>
        <v/>
      </c>
      <c r="J102" s="33" cm="1">
        <f t="array" ref="J102">IFERROR(-_xlfn.IFS(OR(H102="y",H102="Y"),F102,AND(H102&lt;&gt;0,ISNUMBER(H102)),H102,G102&lt;&gt;0,G102),0)</f>
        <v>0</v>
      </c>
      <c r="K102" s="29" t="str">
        <f t="shared" si="8"/>
        <v/>
      </c>
      <c r="L102" s="45" t="str">
        <f>IF(C102&lt;&gt;"",_xlfn.XLOOKUP(TEXT(C102,"0"),TEXT(CC!$C$3:$C$1000,"0"),CC!$G$3:$G$1000,""),"")</f>
        <v/>
      </c>
    </row>
    <row r="103" spans="7:12" x14ac:dyDescent="0.25">
      <c r="G103" s="58">
        <f>IFERROR(SUMPRODUCT((TEXT(CC!$C$3:$C$1000,"0")=TEXT(C103,"0"))*IFERROR(CC!$E$3:$E$1000+0,0)),0)</f>
      </c>
      <c r="H103" s="44"/>
      <c r="I103" s="23" t="str">
        <f t="shared" si="9"/>
        <v/>
      </c>
      <c r="J103" s="33" cm="1">
        <f t="array" ref="J103">IFERROR(-_xlfn.IFS(OR(H103="y",H103="Y"),F103,AND(H103&lt;&gt;0,ISNUMBER(H103)),H103,G103&lt;&gt;0,G103),0)</f>
        <v>0</v>
      </c>
      <c r="K103" s="29" t="str">
        <f t="shared" si="8"/>
        <v/>
      </c>
      <c r="L103" s="45" t="str">
        <f>IF(C103&lt;&gt;"",_xlfn.XLOOKUP(TEXT(C103,"0"),TEXT(CC!$C$3:$C$1000,"0"),CC!$G$3:$G$1000,""),"")</f>
        <v/>
      </c>
    </row>
    <row r="104" spans="7:12" x14ac:dyDescent="0.25">
      <c r="G104" s="58">
        <f>IFERROR(SUMPRODUCT((TEXT(CC!$C$3:$C$1000,"0")=TEXT(C104,"0"))*IFERROR(CC!$E$3:$E$1000+0,0)),0)</f>
      </c>
      <c r="H104" s="44"/>
      <c r="I104" s="23" t="str">
        <f t="shared" si="9"/>
        <v/>
      </c>
      <c r="J104" s="33" cm="1">
        <f t="array" ref="J104">IFERROR(-_xlfn.IFS(OR(H104="y",H104="Y"),F104,AND(H104&lt;&gt;0,ISNUMBER(H104)),H104,G104&lt;&gt;0,G104),0)</f>
        <v>0</v>
      </c>
      <c r="K104" s="29" t="str">
        <f t="shared" si="8"/>
        <v/>
      </c>
      <c r="L104" s="45" t="str">
        <f>IF(C104&lt;&gt;"",_xlfn.XLOOKUP(TEXT(C104,"0"),TEXT(CC!$C$3:$C$1000,"0"),CC!$G$3:$G$1000,""),"")</f>
        <v/>
      </c>
    </row>
    <row r="105" spans="7:12" x14ac:dyDescent="0.25">
      <c r="G105" s="58">
        <f>IFERROR(SUMPRODUCT((TEXT(CC!$C$3:$C$1000,"0")=TEXT(C105,"0"))*IFERROR(CC!$E$3:$E$1000+0,0)),0)</f>
      </c>
      <c r="H105" s="44"/>
      <c r="I105" s="23" t="str">
        <f t="shared" si="9"/>
        <v/>
      </c>
      <c r="J105" s="33" cm="1">
        <f t="array" ref="J105">IFERROR(-_xlfn.IFS(OR(H105="y",H105="Y"),F105,AND(H105&lt;&gt;0,ISNUMBER(H105)),H105,G105&lt;&gt;0,G105),0)</f>
        <v>0</v>
      </c>
      <c r="K105" s="29" t="str">
        <f t="shared" si="8"/>
        <v/>
      </c>
      <c r="L105" s="45" t="str">
        <f>IF(C105&lt;&gt;"",_xlfn.XLOOKUP(TEXT(C105,"0"),TEXT(CC!$C$3:$C$1000,"0"),CC!$G$3:$G$1000,""),"")</f>
        <v/>
      </c>
    </row>
    <row r="106" spans="7:12" x14ac:dyDescent="0.25">
      <c r="G106" s="58">
        <f>IFERROR(SUMPRODUCT((TEXT(CC!$C$3:$C$1000,"0")=TEXT(C106,"0"))*IFERROR(CC!$E$3:$E$1000+0,0)),0)</f>
      </c>
      <c r="H106" s="44"/>
      <c r="I106" s="23" t="str">
        <f t="shared" si="9"/>
        <v/>
      </c>
      <c r="J106" s="33" cm="1">
        <f t="array" ref="J106">IFERROR(-_xlfn.IFS(OR(H106="y",H106="Y"),F106,AND(H106&lt;&gt;0,ISNUMBER(H106)),H106,G106&lt;&gt;0,G106),0)</f>
        <v>0</v>
      </c>
      <c r="K106" s="29" t="str">
        <f t="shared" si="8"/>
        <v/>
      </c>
      <c r="L106" s="45" t="str">
        <f>IF(C106&lt;&gt;"",_xlfn.XLOOKUP(TEXT(C106,"0"),TEXT(CC!$C$3:$C$1000,"0"),CC!$G$3:$G$1000,""),"")</f>
        <v/>
      </c>
    </row>
    <row r="107" spans="7:12" x14ac:dyDescent="0.25">
      <c r="G107" s="58">
        <f>IFERROR(SUMPRODUCT((TEXT(CC!$C$3:$C$1000,"0")=TEXT(C107,"0"))*IFERROR(CC!$E$3:$E$1000+0,0)),0)</f>
      </c>
      <c r="H107" s="44"/>
      <c r="I107" s="23" t="str">
        <f t="shared" si="9"/>
        <v/>
      </c>
      <c r="J107" s="33" cm="1">
        <f t="array" ref="J107">IFERROR(-_xlfn.IFS(OR(H107="y",H107="Y"),F107,AND(H107&lt;&gt;0,ISNUMBER(H107)),H107,G107&lt;&gt;0,G107),0)</f>
        <v>0</v>
      </c>
      <c r="K107" s="29" t="str">
        <f t="shared" si="8"/>
        <v/>
      </c>
      <c r="L107" s="45" t="str">
        <f>IF(C107&lt;&gt;"",_xlfn.XLOOKUP(TEXT(C107,"0"),TEXT(CC!$C$3:$C$1000,"0"),CC!$G$3:$G$1000,""),"")</f>
        <v/>
      </c>
    </row>
    <row r="108" spans="7:12" x14ac:dyDescent="0.25">
      <c r="G108" s="58">
        <f>IFERROR(SUMPRODUCT((TEXT(CC!$C$3:$C$1000,"0")=TEXT(C108,"0"))*IFERROR(CC!$E$3:$E$1000+0,0)),0)</f>
      </c>
      <c r="H108" s="44"/>
      <c r="I108" s="23" t="str">
        <f t="shared" si="9"/>
        <v/>
      </c>
      <c r="J108" s="33" cm="1">
        <f t="array" ref="J108">IFERROR(-_xlfn.IFS(OR(H108="y",H108="Y"),F108,AND(H108&lt;&gt;0,ISNUMBER(H108)),H108,G108&lt;&gt;0,G108),0)</f>
        <v>0</v>
      </c>
      <c r="K108" s="29" t="str">
        <f t="shared" si="8"/>
        <v/>
      </c>
      <c r="L108" s="45" t="str">
        <f>IF(C108&lt;&gt;"",_xlfn.XLOOKUP(TEXT(C108,"0"),TEXT(CC!$C$3:$C$1000,"0"),CC!$G$3:$G$1000,""),"")</f>
        <v/>
      </c>
    </row>
    <row r="109" spans="7:12" x14ac:dyDescent="0.25">
      <c r="G109" s="58">
        <f>IFERROR(SUMPRODUCT((TEXT(CC!$C$3:$C$1000,"0")=TEXT(C109,"0"))*IFERROR(CC!$E$3:$E$1000+0,0)),0)</f>
      </c>
      <c r="H109" s="44"/>
      <c r="I109" s="23" t="str">
        <f t="shared" si="9"/>
        <v/>
      </c>
      <c r="J109" s="33" cm="1">
        <f t="array" ref="J109">IFERROR(-_xlfn.IFS(OR(H109="y",H109="Y"),F109,AND(H109&lt;&gt;0,ISNUMBER(H109)),H109,G109&lt;&gt;0,G109),0)</f>
        <v>0</v>
      </c>
      <c r="K109" s="29" t="str">
        <f t="shared" ref="K109:K143" si="10">IF(J109&lt;&gt;0,C109,"")</f>
        <v/>
      </c>
      <c r="L109" s="45" t="str">
        <f>IF(C109&lt;&gt;"",_xlfn.XLOOKUP(TEXT(C109,"0"),TEXT(CC!$C$3:$C$1000,"0"),CC!$G$3:$G$1000,""),"")</f>
        <v/>
      </c>
    </row>
    <row r="110" spans="7:12" x14ac:dyDescent="0.25">
      <c r="G110" s="58">
        <f>IFERROR(SUMPRODUCT((TEXT(CC!$C$3:$C$1000,"0")=TEXT(C110,"0"))*IFERROR(CC!$E$3:$E$1000+0,0)),0)</f>
      </c>
      <c r="H110" s="44"/>
      <c r="I110" s="23" t="str">
        <f t="shared" si="9"/>
        <v/>
      </c>
      <c r="J110" s="33" cm="1">
        <f t="array" ref="J110">IFERROR(-_xlfn.IFS(OR(H110="y",H110="Y"),F110,AND(H110&lt;&gt;0,ISNUMBER(H110)),H110,G110&lt;&gt;0,G110),0)</f>
        <v>0</v>
      </c>
      <c r="K110" s="29" t="str">
        <f t="shared" si="10"/>
        <v/>
      </c>
      <c r="L110" s="45" t="str">
        <f>IF(C110&lt;&gt;"",_xlfn.XLOOKUP(TEXT(C110,"0"),TEXT(CC!$C$3:$C$1000,"0"),CC!$G$3:$G$1000,""),"")</f>
        <v/>
      </c>
    </row>
    <row r="111" spans="7:12" x14ac:dyDescent="0.25">
      <c r="G111" s="58">
        <f>IFERROR(SUMPRODUCT((TEXT(CC!$C$3:$C$1000,"0")=TEXT(C111,"0"))*IFERROR(CC!$E$3:$E$1000+0,0)),0)</f>
      </c>
      <c r="H111" s="44"/>
      <c r="I111" s="23" t="str">
        <f t="shared" si="9"/>
        <v/>
      </c>
      <c r="J111" s="33" cm="1">
        <f t="array" ref="J111">IFERROR(-_xlfn.IFS(OR(H111="y",H111="Y"),F111,AND(H111&lt;&gt;0,ISNUMBER(H111)),H111,G111&lt;&gt;0,G111),0)</f>
        <v>0</v>
      </c>
      <c r="K111" s="29" t="str">
        <f t="shared" si="10"/>
        <v/>
      </c>
      <c r="L111" s="45" t="str">
        <f>IF(C111&lt;&gt;"",_xlfn.XLOOKUP(TEXT(C111,"0"),TEXT(CC!$C$3:$C$1000,"0"),CC!$G$3:$G$1000,""),"")</f>
        <v/>
      </c>
    </row>
    <row r="112" spans="7:12" x14ac:dyDescent="0.25">
      <c r="G112" s="58">
        <f>IFERROR(SUMPRODUCT((TEXT(CC!$C$3:$C$1000,"0")=TEXT(C112,"0"))*IFERROR(CC!$E$3:$E$1000+0,0)),0)</f>
      </c>
      <c r="H112" s="44"/>
      <c r="I112" s="23" t="str">
        <f t="shared" si="9"/>
        <v/>
      </c>
      <c r="J112" s="33" cm="1">
        <f t="array" ref="J112">IFERROR(-_xlfn.IFS(OR(H112="y",H112="Y"),F112,AND(H112&lt;&gt;0,ISNUMBER(H112)),H112,G112&lt;&gt;0,G112),0)</f>
        <v>0</v>
      </c>
      <c r="K112" s="29" t="str">
        <f t="shared" si="10"/>
        <v/>
      </c>
      <c r="L112" s="45" t="str">
        <f>IF(C112&lt;&gt;"",_xlfn.XLOOKUP(TEXT(C112,"0"),TEXT(CC!$C$3:$C$1000,"0"),CC!$G$3:$G$1000,""),"")</f>
        <v/>
      </c>
    </row>
    <row r="113" spans="7:12" x14ac:dyDescent="0.25">
      <c r="G113" s="58">
        <f>IFERROR(SUMPRODUCT((TEXT(CC!$C$3:$C$1000,"0")=TEXT(C113,"0"))*IFERROR(CC!$E$3:$E$1000+0,0)),0)</f>
      </c>
      <c r="H113" s="44"/>
      <c r="I113" s="23" t="str">
        <f t="shared" si="9"/>
        <v/>
      </c>
      <c r="J113" s="33" cm="1">
        <f t="array" ref="J113">IFERROR(-_xlfn.IFS(OR(H113="y",H113="Y"),F113,AND(H113&lt;&gt;0,ISNUMBER(H113)),H113,G113&lt;&gt;0,G113),0)</f>
        <v>0</v>
      </c>
      <c r="K113" s="29" t="str">
        <f t="shared" si="10"/>
        <v/>
      </c>
      <c r="L113" s="45" t="str">
        <f>IF(C113&lt;&gt;"",_xlfn.XLOOKUP(TEXT(C113,"0"),TEXT(CC!$C$3:$C$1000,"0"),CC!$G$3:$G$1000,""),"")</f>
        <v/>
      </c>
    </row>
    <row r="114" spans="7:12" x14ac:dyDescent="0.25">
      <c r="G114" s="58">
        <f>IFERROR(SUMPRODUCT((TEXT(CC!$C$3:$C$1000,"0")=TEXT(C114,"0"))*IFERROR(CC!$E$3:$E$1000+0,0)),0)</f>
      </c>
      <c r="H114" s="44"/>
      <c r="I114" s="23" t="str">
        <f t="shared" si="9"/>
        <v/>
      </c>
      <c r="J114" s="33" cm="1">
        <f t="array" ref="J114">IFERROR(-_xlfn.IFS(OR(H114="y",H114="Y"),F114,AND(H114&lt;&gt;0,ISNUMBER(H114)),H114,G114&lt;&gt;0,G114),0)</f>
        <v>0</v>
      </c>
      <c r="K114" s="29" t="str">
        <f t="shared" si="10"/>
        <v/>
      </c>
      <c r="L114" s="45" t="str">
        <f>IF(C114&lt;&gt;"",_xlfn.XLOOKUP(TEXT(C114,"0"),TEXT(CC!$C$3:$C$1000,"0"),CC!$G$3:$G$1000,""),"")</f>
        <v/>
      </c>
    </row>
    <row r="115" spans="7:12" x14ac:dyDescent="0.25">
      <c r="G115" s="58">
        <f>IFERROR(SUMPRODUCT((TEXT(CC!$C$3:$C$1000,"0")=TEXT(C115,"0"))*IFERROR(CC!$E$3:$E$1000+0,0)),0)</f>
      </c>
      <c r="H115" s="44"/>
      <c r="I115" s="23" t="str">
        <f t="shared" si="9"/>
        <v/>
      </c>
      <c r="J115" s="33" cm="1">
        <f t="array" ref="J115">IFERROR(-_xlfn.IFS(OR(H115="y",H115="Y"),F115,AND(H115&lt;&gt;0,ISNUMBER(H115)),H115,G115&lt;&gt;0,G115),0)</f>
        <v>0</v>
      </c>
      <c r="K115" s="29" t="str">
        <f t="shared" si="10"/>
        <v/>
      </c>
      <c r="L115" s="45" t="str">
        <f>IF(C115&lt;&gt;"",_xlfn.XLOOKUP(TEXT(C115,"0"),TEXT(CC!$C$3:$C$1000,"0"),CC!$G$3:$G$1000,""),"")</f>
        <v/>
      </c>
    </row>
    <row r="116" spans="7:12" x14ac:dyDescent="0.25">
      <c r="G116" s="58">
        <f>IFERROR(SUMPRODUCT((TEXT(CC!$C$3:$C$1000,"0")=TEXT(C116,"0"))*IFERROR(CC!$E$3:$E$1000+0,0)),0)</f>
      </c>
      <c r="H116" s="44"/>
      <c r="I116" s="23" t="str">
        <f t="shared" si="9"/>
        <v/>
      </c>
      <c r="J116" s="33" cm="1">
        <f t="array" ref="J116">IFERROR(-_xlfn.IFS(OR(H116="y",H116="Y"),F116,AND(H116&lt;&gt;0,ISNUMBER(H116)),H116,G116&lt;&gt;0,G116),0)</f>
        <v>0</v>
      </c>
      <c r="K116" s="29" t="str">
        <f t="shared" si="10"/>
        <v/>
      </c>
      <c r="L116" s="45" t="str">
        <f>IF(C116&lt;&gt;"",_xlfn.XLOOKUP(TEXT(C116,"0"),TEXT(CC!$C$3:$C$1000,"0"),CC!$G$3:$G$1000,""),"")</f>
        <v/>
      </c>
    </row>
    <row r="117" spans="7:12" x14ac:dyDescent="0.25">
      <c r="G117" s="58">
        <f>IFERROR(SUMPRODUCT((TEXT(CC!$C$3:$C$1000,"0")=TEXT(C117,"0"))*IFERROR(CC!$E$3:$E$1000+0,0)),0)</f>
      </c>
      <c r="H117" s="44"/>
      <c r="I117" s="23" t="str">
        <f t="shared" si="9"/>
        <v/>
      </c>
      <c r="J117" s="33" cm="1">
        <f t="array" ref="J117">IFERROR(-_xlfn.IFS(OR(H117="y",H117="Y"),F117,AND(H117&lt;&gt;0,ISNUMBER(H117)),H117,G117&lt;&gt;0,G117),0)</f>
        <v>0</v>
      </c>
      <c r="K117" s="29" t="str">
        <f t="shared" si="10"/>
        <v/>
      </c>
      <c r="L117" s="45" t="str">
        <f>IF(C117&lt;&gt;"",_xlfn.XLOOKUP(TEXT(C117,"0"),TEXT(CC!$C$3:$C$1000,"0"),CC!$G$3:$G$1000,""),"")</f>
        <v/>
      </c>
    </row>
    <row r="118" spans="7:12" x14ac:dyDescent="0.25">
      <c r="G118" s="58">
        <f>IFERROR(SUMPRODUCT((TEXT(CC!$C$3:$C$1000,"0")=TEXT(C118,"0"))*IFERROR(CC!$E$3:$E$1000+0,0)),0)</f>
      </c>
      <c r="H118" s="44"/>
      <c r="I118" s="23" t="str">
        <f t="shared" si="9"/>
        <v/>
      </c>
      <c r="J118" s="33" cm="1">
        <f t="array" ref="J118">IFERROR(-_xlfn.IFS(OR(H118="y",H118="Y"),F118,AND(H118&lt;&gt;0,ISNUMBER(H118)),H118,G118&lt;&gt;0,G118),0)</f>
        <v>0</v>
      </c>
      <c r="K118" s="29" t="str">
        <f t="shared" si="10"/>
        <v/>
      </c>
      <c r="L118" s="45" t="str">
        <f>IF(C118&lt;&gt;"",_xlfn.XLOOKUP(TEXT(C118,"0"),TEXT(CC!$C$3:$C$1000,"0"),CC!$G$3:$G$1000,""),"")</f>
        <v/>
      </c>
    </row>
    <row r="119" spans="7:12" x14ac:dyDescent="0.25">
      <c r="G119" s="58">
        <f>IFERROR(SUMPRODUCT((TEXT(CC!$C$3:$C$1000,"0")=TEXT(C119,"0"))*IFERROR(CC!$E$3:$E$1000+0,0)),0)</f>
      </c>
      <c r="H119" s="44"/>
      <c r="I119" s="23" t="str">
        <f t="shared" si="9"/>
        <v/>
      </c>
      <c r="J119" s="33" cm="1">
        <f t="array" ref="J119">IFERROR(-_xlfn.IFS(OR(H119="y",H119="Y"),F119,AND(H119&lt;&gt;0,ISNUMBER(H119)),H119,G119&lt;&gt;0,G119),0)</f>
        <v>0</v>
      </c>
      <c r="K119" s="29" t="str">
        <f t="shared" si="10"/>
        <v/>
      </c>
      <c r="L119" s="45" t="str">
        <f>IF(C119&lt;&gt;"",_xlfn.XLOOKUP(TEXT(C119,"0"),TEXT(CC!$C$3:$C$1000,"0"),CC!$G$3:$G$1000,""),"")</f>
        <v/>
      </c>
    </row>
    <row r="120" spans="7:12" x14ac:dyDescent="0.25">
      <c r="G120" s="58">
        <f>IFERROR(SUMPRODUCT((TEXT(CC!$C$3:$C$1000,"0")=TEXT(C120,"0"))*IFERROR(CC!$E$3:$E$1000+0,0)),0)</f>
      </c>
      <c r="H120" s="44"/>
      <c r="I120" s="23" t="str">
        <f t="shared" si="9"/>
        <v/>
      </c>
      <c r="J120" s="33" cm="1">
        <f t="array" ref="J120">IFERROR(-_xlfn.IFS(OR(H120="y",H120="Y"),F120,AND(H120&lt;&gt;0,ISNUMBER(H120)),H120,G120&lt;&gt;0,G120),0)</f>
        <v>0</v>
      </c>
      <c r="K120" s="29" t="str">
        <f t="shared" si="10"/>
        <v/>
      </c>
      <c r="L120" s="45" t="str">
        <f>IF(C120&lt;&gt;"",_xlfn.XLOOKUP(TEXT(C120,"0"),TEXT(CC!$C$3:$C$1000,"0"),CC!$G$3:$G$1000,""),"")</f>
        <v/>
      </c>
    </row>
    <row r="121" spans="7:12" x14ac:dyDescent="0.25">
      <c r="G121" s="58">
        <f>IFERROR(SUMPRODUCT((TEXT(CC!$C$3:$C$1000,"0")=TEXT(C121,"0"))*IFERROR(CC!$E$3:$E$1000+0,0)),0)</f>
      </c>
      <c r="H121" s="44"/>
      <c r="I121" s="23" t="str">
        <f t="shared" si="9"/>
        <v/>
      </c>
      <c r="J121" s="33" cm="1">
        <f t="array" ref="J121">IFERROR(-_xlfn.IFS(OR(H121="y",H121="Y"),F121,AND(H121&lt;&gt;0,ISNUMBER(H121)),H121,G121&lt;&gt;0,G121),0)</f>
        <v>0</v>
      </c>
      <c r="K121" s="29" t="str">
        <f t="shared" si="10"/>
        <v/>
      </c>
      <c r="L121" s="45" t="str">
        <f>IF(C121&lt;&gt;"",_xlfn.XLOOKUP(TEXT(C121,"0"),TEXT(CC!$C$3:$C$1000,"0"),CC!$G$3:$G$1000,""),"")</f>
        <v/>
      </c>
    </row>
    <row r="122" spans="7:12" x14ac:dyDescent="0.25">
      <c r="G122" s="58">
        <f>IFERROR(SUMPRODUCT((TEXT(CC!$C$3:$C$1000,"0")=TEXT(C122,"0"))*IFERROR(CC!$E$3:$E$1000+0,0)),0)</f>
      </c>
      <c r="H122" s="44"/>
      <c r="I122" s="23" t="str">
        <f t="shared" si="9"/>
        <v/>
      </c>
      <c r="J122" s="33" cm="1">
        <f t="array" ref="J122">IFERROR(-_xlfn.IFS(OR(H122="y",H122="Y"),F122,AND(H122&lt;&gt;0,ISNUMBER(H122)),H122,G122&lt;&gt;0,G122),0)</f>
        <v>0</v>
      </c>
      <c r="K122" s="29" t="str">
        <f t="shared" si="10"/>
        <v/>
      </c>
      <c r="L122" s="45" t="str">
        <f>IF(C122&lt;&gt;"",_xlfn.XLOOKUP(TEXT(C122,"0"),TEXT(CC!$C$3:$C$1000,"0"),CC!$G$3:$G$1000,""),"")</f>
        <v/>
      </c>
    </row>
    <row r="123" spans="7:12" x14ac:dyDescent="0.25">
      <c r="G123" s="58">
        <f>IFERROR(SUMPRODUCT((TEXT(CC!$C$3:$C$1000,"0")=TEXT(C123,"0"))*IFERROR(CC!$E$3:$E$1000+0,0)),0)</f>
      </c>
      <c r="H123" s="44"/>
      <c r="I123" s="23" t="str">
        <f t="shared" si="9"/>
        <v/>
      </c>
      <c r="J123" s="33" cm="1">
        <f t="array" ref="J123">IFERROR(-_xlfn.IFS(OR(H123="y",H123="Y"),F123,AND(H123&lt;&gt;0,ISNUMBER(H123)),H123,G123&lt;&gt;0,G123),0)</f>
        <v>0</v>
      </c>
      <c r="K123" s="29" t="str">
        <f t="shared" si="10"/>
        <v/>
      </c>
      <c r="L123" s="45" t="str">
        <f>IF(C123&lt;&gt;"",_xlfn.XLOOKUP(TEXT(C123,"0"),TEXT(CC!$C$3:$C$1000,"0"),CC!$G$3:$G$1000,""),"")</f>
        <v/>
      </c>
    </row>
    <row r="124" spans="7:12" x14ac:dyDescent="0.25">
      <c r="G124" s="58">
        <f>IFERROR(SUMPRODUCT((TEXT(CC!$C$3:$C$1000,"0")=TEXT(C124,"0"))*IFERROR(CC!$E$3:$E$1000+0,0)),0)</f>
      </c>
      <c r="H124" s="44"/>
      <c r="I124" s="23" t="str">
        <f t="shared" si="9"/>
        <v/>
      </c>
      <c r="J124" s="33" cm="1">
        <f t="array" ref="J124">IFERROR(-_xlfn.IFS(OR(H124="y",H124="Y"),F124,AND(H124&lt;&gt;0,ISNUMBER(H124)),H124,G124&lt;&gt;0,G124),0)</f>
        <v>0</v>
      </c>
      <c r="K124" s="29" t="str">
        <f t="shared" si="10"/>
        <v/>
      </c>
      <c r="L124" s="45" t="str">
        <f>IF(C124&lt;&gt;"",_xlfn.XLOOKUP(TEXT(C124,"0"),TEXT(CC!$C$3:$C$1000,"0"),CC!$G$3:$G$1000,""),"")</f>
        <v/>
      </c>
    </row>
    <row r="125" spans="7:12" x14ac:dyDescent="0.25">
      <c r="G125" s="58">
        <f>IFERROR(SUMPRODUCT((TEXT(CC!$C$3:$C$1000,"0")=TEXT(C125,"0"))*IFERROR(CC!$E$3:$E$1000+0,0)),0)</f>
      </c>
      <c r="H125" s="44"/>
      <c r="I125" s="23" t="str">
        <f t="shared" si="9"/>
        <v/>
      </c>
      <c r="J125" s="33" cm="1">
        <f t="array" ref="J125">IFERROR(-_xlfn.IFS(OR(H125="y",H125="Y"),F125,AND(H125&lt;&gt;0,ISNUMBER(H125)),H125,G125&lt;&gt;0,G125),0)</f>
        <v>0</v>
      </c>
      <c r="K125" s="29" t="str">
        <f t="shared" si="10"/>
        <v/>
      </c>
      <c r="L125" s="45" t="str">
        <f>IF(C125&lt;&gt;"",_xlfn.XLOOKUP(TEXT(C125,"0"),TEXT(CC!$C$3:$C$1000,"0"),CC!$G$3:$G$1000,""),"")</f>
        <v/>
      </c>
    </row>
    <row r="126" spans="7:12" x14ac:dyDescent="0.25">
      <c r="G126" s="58">
        <f>IFERROR(SUMPRODUCT((TEXT(CC!$C$3:$C$1000,"0")=TEXT(C126,"0"))*IFERROR(CC!$E$3:$E$1000+0,0)),0)</f>
      </c>
      <c r="H126" s="44"/>
      <c r="I126" s="23" t="str">
        <f t="shared" si="9"/>
        <v/>
      </c>
      <c r="J126" s="33" cm="1">
        <f t="array" ref="J126">IFERROR(-_xlfn.IFS(OR(H126="y",H126="Y"),F126,AND(H126&lt;&gt;0,ISNUMBER(H126)),H126,G126&lt;&gt;0,G126),0)</f>
        <v>0</v>
      </c>
      <c r="K126" s="29" t="str">
        <f t="shared" si="10"/>
        <v/>
      </c>
      <c r="L126" s="45" t="str">
        <f>IF(C126&lt;&gt;"",_xlfn.XLOOKUP(TEXT(C126,"0"),TEXT(CC!$C$3:$C$1000,"0"),CC!$G$3:$G$1000,""),"")</f>
        <v/>
      </c>
    </row>
    <row r="127" spans="7:12" x14ac:dyDescent="0.25">
      <c r="G127" s="58">
        <f>IFERROR(SUMPRODUCT((TEXT(CC!$C$3:$C$1000,"0")=TEXT(C127,"0"))*IFERROR(CC!$E$3:$E$1000+0,0)),0)</f>
      </c>
      <c r="H127" s="44"/>
      <c r="I127" s="23" t="str">
        <f t="shared" si="9"/>
        <v/>
      </c>
      <c r="J127" s="33" cm="1">
        <f t="array" ref="J127">IFERROR(-_xlfn.IFS(OR(H127="y",H127="Y"),F127,AND(H127&lt;&gt;0,ISNUMBER(H127)),H127,G127&lt;&gt;0,G127),0)</f>
        <v>0</v>
      </c>
      <c r="K127" s="29" t="str">
        <f t="shared" si="10"/>
        <v/>
      </c>
      <c r="L127" s="45" t="str">
        <f>IF(C127&lt;&gt;"",_xlfn.XLOOKUP(TEXT(C127,"0"),TEXT(CC!$C$3:$C$1000,"0"),CC!$G$3:$G$1000,""),"")</f>
        <v/>
      </c>
    </row>
    <row r="128" spans="7:12" x14ac:dyDescent="0.25">
      <c r="G128" s="58">
        <f>IFERROR(SUMPRODUCT((TEXT(CC!$C$3:$C$1000,"0")=TEXT(C128,"0"))*IFERROR(CC!$E$3:$E$1000+0,0)),0)</f>
      </c>
      <c r="H128" s="44"/>
      <c r="I128" s="23" t="str">
        <f t="shared" si="9"/>
        <v/>
      </c>
      <c r="J128" s="33" cm="1">
        <f t="array" ref="J128">IFERROR(-_xlfn.IFS(OR(H128="y",H128="Y"),F128,AND(H128&lt;&gt;0,ISNUMBER(H128)),H128,G128&lt;&gt;0,G128),0)</f>
        <v>0</v>
      </c>
      <c r="K128" s="29" t="str">
        <f t="shared" si="10"/>
        <v/>
      </c>
      <c r="L128" s="45" t="str">
        <f>IF(C128&lt;&gt;"",_xlfn.XLOOKUP(TEXT(C128,"0"),TEXT(CC!$C$3:$C$1000,"0"),CC!$G$3:$G$1000,""),"")</f>
        <v/>
      </c>
    </row>
    <row r="129" spans="7:12" x14ac:dyDescent="0.25">
      <c r="G129" s="58">
        <f>IFERROR(SUMPRODUCT((TEXT(CC!$C$3:$C$1000,"0")=TEXT(C129,"0"))*IFERROR(CC!$E$3:$E$1000+0,0)),0)</f>
      </c>
      <c r="H129" s="44"/>
      <c r="I129" s="23" t="str">
        <f t="shared" si="9"/>
        <v/>
      </c>
      <c r="J129" s="33" cm="1">
        <f t="array" ref="J129">IFERROR(-_xlfn.IFS(OR(H129="y",H129="Y"),F129,AND(H129&lt;&gt;0,ISNUMBER(H129)),H129,G129&lt;&gt;0,G129),0)</f>
        <v>0</v>
      </c>
      <c r="K129" s="29" t="str">
        <f t="shared" si="10"/>
        <v/>
      </c>
      <c r="L129" s="45" t="str">
        <f>IF(C129&lt;&gt;"",_xlfn.XLOOKUP(TEXT(C129,"0"),TEXT(CC!$C$3:$C$1000,"0"),CC!$G$3:$G$1000,""),"")</f>
        <v/>
      </c>
    </row>
    <row r="130" spans="7:12" x14ac:dyDescent="0.25">
      <c r="G130" s="58">
        <f>IFERROR(SUMPRODUCT((TEXT(CC!$C$3:$C$1000,"0")=TEXT(C130,"0"))*IFERROR(CC!$E$3:$E$1000+0,0)),0)</f>
      </c>
      <c r="H130" s="44"/>
      <c r="I130" s="23" t="str">
        <f t="shared" si="9"/>
        <v/>
      </c>
      <c r="J130" s="33" cm="1">
        <f t="array" ref="J130">IFERROR(-_xlfn.IFS(OR(H130="y",H130="Y"),F130,AND(H130&lt;&gt;0,ISNUMBER(H130)),H130,G130&lt;&gt;0,G130),0)</f>
        <v>0</v>
      </c>
      <c r="K130" s="29" t="str">
        <f t="shared" si="10"/>
        <v/>
      </c>
      <c r="L130" s="45" t="str">
        <f>IF(C130&lt;&gt;"",_xlfn.XLOOKUP(TEXT(C130,"0"),TEXT(CC!$C$3:$C$1000,"0"),CC!$G$3:$G$1000,""),"")</f>
        <v/>
      </c>
    </row>
    <row r="131" spans="7:12" x14ac:dyDescent="0.25">
      <c r="G131" s="58">
        <f>IFERROR(SUMPRODUCT((TEXT(CC!$C$3:$C$1000,"0")=TEXT(C131,"0"))*IFERROR(CC!$E$3:$E$1000+0,0)),0)</f>
      </c>
      <c r="H131" s="44"/>
      <c r="I131" s="23" t="str">
        <f t="shared" si="9"/>
        <v/>
      </c>
      <c r="J131" s="33" cm="1">
        <f t="array" ref="J131">IFERROR(-_xlfn.IFS(OR(H131="y",H131="Y"),F131,AND(H131&lt;&gt;0,ISNUMBER(H131)),H131,G131&lt;&gt;0,G131),0)</f>
        <v>0</v>
      </c>
      <c r="K131" s="29" t="str">
        <f t="shared" si="10"/>
        <v/>
      </c>
      <c r="L131" s="45" t="str">
        <f>IF(C131&lt;&gt;"",_xlfn.XLOOKUP(TEXT(C131,"0"),TEXT(CC!$C$3:$C$1000,"0"),CC!$G$3:$G$1000,""),"")</f>
        <v/>
      </c>
    </row>
    <row r="132" spans="7:12" x14ac:dyDescent="0.25">
      <c r="G132" s="58">
        <f>IFERROR(SUMPRODUCT((TEXT(CC!$C$3:$C$1000,"0")=TEXT(C132,"0"))*IFERROR(CC!$E$3:$E$1000+0,0)),0)</f>
      </c>
      <c r="H132" s="44"/>
      <c r="I132" s="23" t="str">
        <f t="shared" si="9"/>
        <v/>
      </c>
      <c r="J132" s="33" cm="1">
        <f t="array" ref="J132">IFERROR(-_xlfn.IFS(OR(H132="y",H132="Y"),F132,AND(H132&lt;&gt;0,ISNUMBER(H132)),H132,G132&lt;&gt;0,G132),0)</f>
        <v>0</v>
      </c>
      <c r="K132" s="29" t="str">
        <f t="shared" si="10"/>
        <v/>
      </c>
      <c r="L132" s="45" t="str">
        <f>IF(C132&lt;&gt;"",_xlfn.XLOOKUP(TEXT(C132,"0"),TEXT(CC!$C$3:$C$1000,"0"),CC!$G$3:$G$1000,""),"")</f>
        <v/>
      </c>
    </row>
    <row r="133" spans="7:12" x14ac:dyDescent="0.25">
      <c r="G133" s="58">
        <f>IFERROR(SUMPRODUCT((TEXT(CC!$C$3:$C$1000,"0")=TEXT(C133,"0"))*IFERROR(CC!$E$3:$E$1000+0,0)),0)</f>
      </c>
      <c r="H133" s="44"/>
      <c r="I133" s="23" t="str">
        <f t="shared" si="9"/>
        <v/>
      </c>
      <c r="J133" s="33" cm="1">
        <f t="array" ref="J133">IFERROR(-_xlfn.IFS(OR(H133="y",H133="Y"),F133,AND(H133&lt;&gt;0,ISNUMBER(H133)),H133,G133&lt;&gt;0,G133),0)</f>
        <v>0</v>
      </c>
      <c r="K133" s="29" t="str">
        <f t="shared" si="10"/>
        <v/>
      </c>
      <c r="L133" s="45" t="str">
        <f>IF(C133&lt;&gt;"",_xlfn.XLOOKUP(TEXT(C133,"0"),TEXT(CC!$C$3:$C$1000,"0"),CC!$G$3:$G$1000,""),"")</f>
        <v/>
      </c>
    </row>
    <row r="134" spans="7:12" x14ac:dyDescent="0.25">
      <c r="G134" s="58">
        <f>IFERROR(SUMPRODUCT((TEXT(CC!$C$3:$C$1000,"0")=TEXT(C134,"0"))*IFERROR(CC!$E$3:$E$1000+0,0)),0)</f>
      </c>
      <c r="H134" s="44"/>
      <c r="I134" s="23" t="str">
        <f t="shared" si="9"/>
        <v/>
      </c>
      <c r="J134" s="33" cm="1">
        <f t="array" ref="J134">IFERROR(-_xlfn.IFS(OR(H134="y",H134="Y"),F134,AND(H134&lt;&gt;0,ISNUMBER(H134)),H134,G134&lt;&gt;0,G134),0)</f>
        <v>0</v>
      </c>
      <c r="K134" s="29" t="str">
        <f t="shared" si="10"/>
        <v/>
      </c>
      <c r="L134" s="45" t="str">
        <f>IF(C134&lt;&gt;"",_xlfn.XLOOKUP(TEXT(C134,"0"),TEXT(CC!$C$3:$C$1000,"0"),CC!$G$3:$G$1000,""),"")</f>
        <v/>
      </c>
    </row>
    <row r="135" spans="7:12" x14ac:dyDescent="0.25">
      <c r="G135" s="58">
        <f>IFERROR(SUMPRODUCT((TEXT(CC!$C$3:$C$1000,"0")=TEXT(C135,"0"))*IFERROR(CC!$E$3:$E$1000+0,0)),0)</f>
      </c>
      <c r="H135" s="44"/>
      <c r="I135" s="23" t="str">
        <f t="shared" si="9"/>
        <v/>
      </c>
      <c r="J135" s="33" cm="1">
        <f t="array" ref="J135">IFERROR(-_xlfn.IFS(OR(H135="y",H135="Y"),F135,AND(H135&lt;&gt;0,ISNUMBER(H135)),H135,G135&lt;&gt;0,G135),0)</f>
        <v>0</v>
      </c>
      <c r="K135" s="29" t="str">
        <f t="shared" si="10"/>
        <v/>
      </c>
      <c r="L135" s="45" t="str">
        <f>IF(C135&lt;&gt;"",_xlfn.XLOOKUP(TEXT(C135,"0"),TEXT(CC!$C$3:$C$1000,"0"),CC!$G$3:$G$1000,""),"")</f>
        <v/>
      </c>
    </row>
    <row r="136" spans="7:12" x14ac:dyDescent="0.25">
      <c r="G136" s="58">
        <f>IFERROR(SUMPRODUCT((TEXT(CC!$C$3:$C$1000,"0")=TEXT(C136,"0"))*IFERROR(CC!$E$3:$E$1000+0,0)),0)</f>
      </c>
      <c r="H136" s="44"/>
      <c r="I136" s="23" t="str">
        <f t="shared" si="9"/>
        <v/>
      </c>
      <c r="J136" s="33" cm="1">
        <f t="array" ref="J136">IFERROR(-_xlfn.IFS(OR(H136="y",H136="Y"),F136,AND(H136&lt;&gt;0,ISNUMBER(H136)),H136,G136&lt;&gt;0,G136),0)</f>
        <v>0</v>
      </c>
      <c r="K136" s="29" t="str">
        <f t="shared" si="10"/>
        <v/>
      </c>
      <c r="L136" s="45" t="str">
        <f>IF(C136&lt;&gt;"",_xlfn.XLOOKUP(TEXT(C136,"0"),TEXT(CC!$C$3:$C$1000,"0"),CC!$G$3:$G$1000,""),"")</f>
        <v/>
      </c>
    </row>
    <row r="137" spans="7:12" x14ac:dyDescent="0.25">
      <c r="G137" s="58">
        <f>IFERROR(SUMPRODUCT((TEXT(CC!$C$3:$C$1000,"0")=TEXT(C137,"0"))*IFERROR(CC!$E$3:$E$1000+0,0)),0)</f>
      </c>
      <c r="H137" s="44"/>
      <c r="I137" s="23" t="str">
        <f t="shared" si="9"/>
        <v/>
      </c>
      <c r="J137" s="33" cm="1">
        <f t="array" ref="J137">IFERROR(-_xlfn.IFS(OR(H137="y",H137="Y"),F137,AND(H137&lt;&gt;0,ISNUMBER(H137)),H137,G137&lt;&gt;0,G137),0)</f>
        <v>0</v>
      </c>
      <c r="K137" s="29" t="str">
        <f t="shared" si="10"/>
        <v/>
      </c>
      <c r="L137" s="45" t="str">
        <f>IF(C137&lt;&gt;"",_xlfn.XLOOKUP(TEXT(C137,"0"),TEXT(CC!$C$3:$C$1000,"0"),CC!$G$3:$G$1000,""),"")</f>
        <v/>
      </c>
    </row>
    <row r="138" spans="7:12" x14ac:dyDescent="0.25">
      <c r="G138" s="58">
        <f>IFERROR(SUMPRODUCT((TEXT(CC!$C$3:$C$1000,"0")=TEXT(C138,"0"))*IFERROR(CC!$E$3:$E$1000+0,0)),0)</f>
      </c>
      <c r="H138" s="44"/>
      <c r="I138" s="23" t="str">
        <f t="shared" si="9"/>
        <v/>
      </c>
      <c r="J138" s="33" cm="1">
        <f t="array" ref="J138">IFERROR(-_xlfn.IFS(OR(H138="y",H138="Y"),F138,AND(H138&lt;&gt;0,ISNUMBER(H138)),H138,G138&lt;&gt;0,G138),0)</f>
        <v>0</v>
      </c>
      <c r="K138" s="29" t="str">
        <f t="shared" si="10"/>
        <v/>
      </c>
      <c r="L138" s="45" t="str">
        <f>IF(C138&lt;&gt;"",_xlfn.XLOOKUP(TEXT(C138,"0"),TEXT(CC!$C$3:$C$1000,"0"),CC!$G$3:$G$1000,""),"")</f>
        <v/>
      </c>
    </row>
    <row r="139" spans="7:12" x14ac:dyDescent="0.25">
      <c r="G139" s="58">
        <f>IFERROR(SUMPRODUCT((TEXT(CC!$C$3:$C$1000,"0")=TEXT(C139,"0"))*IFERROR(CC!$E$3:$E$1000+0,0)),0)</f>
      </c>
      <c r="H139" s="44"/>
      <c r="I139" s="23" t="str">
        <f t="shared" si="9"/>
        <v/>
      </c>
      <c r="J139" s="33" cm="1">
        <f t="array" ref="J139">IFERROR(-_xlfn.IFS(OR(H139="y",H139="Y"),F139,AND(H139&lt;&gt;0,ISNUMBER(H139)),H139,G139&lt;&gt;0,G139),0)</f>
        <v>0</v>
      </c>
      <c r="K139" s="29" t="str">
        <f t="shared" si="10"/>
        <v/>
      </c>
      <c r="L139" s="45" t="str">
        <f>IF(C139&lt;&gt;"",_xlfn.XLOOKUP(TEXT(C139,"0"),TEXT(CC!$C$3:$C$1000,"0"),CC!$G$3:$G$1000,""),"")</f>
        <v/>
      </c>
    </row>
    <row r="140" spans="7:12" x14ac:dyDescent="0.25">
      <c r="G140" s="58">
        <f>IFERROR(SUMPRODUCT((TEXT(CC!$C$3:$C$1000,"0")=TEXT(C140,"0"))*IFERROR(CC!$E$3:$E$1000+0,0)),0)</f>
      </c>
      <c r="H140" s="44"/>
      <c r="I140" s="23" t="str">
        <f t="shared" si="9"/>
        <v/>
      </c>
      <c r="J140" s="33" cm="1">
        <f t="array" ref="J140">IFERROR(-_xlfn.IFS(OR(H140="y",H140="Y"),F140,AND(H140&lt;&gt;0,ISNUMBER(H140)),H140,G140&lt;&gt;0,G140),0)</f>
        <v>0</v>
      </c>
      <c r="K140" s="29" t="str">
        <f t="shared" si="10"/>
        <v/>
      </c>
      <c r="L140" s="45" t="str">
        <f>IF(C140&lt;&gt;"",_xlfn.XLOOKUP(TEXT(C140,"0"),TEXT(CC!$C$3:$C$1000,"0"),CC!$G$3:$G$1000,""),"")</f>
        <v/>
      </c>
    </row>
    <row r="141" spans="7:12" x14ac:dyDescent="0.25">
      <c r="G141" s="58">
        <f>IFERROR(SUMPRODUCT((TEXT(CC!$C$3:$C$1000,"0")=TEXT(C141,"0"))*IFERROR(CC!$E$3:$E$1000+0,0)),0)</f>
      </c>
      <c r="H141" s="44"/>
      <c r="I141" s="23" t="str">
        <f t="shared" si="9"/>
        <v/>
      </c>
      <c r="J141" s="33" cm="1">
        <f t="array" ref="J141">IFERROR(-_xlfn.IFS(OR(H141="y",H141="Y"),F141,AND(H141&lt;&gt;0,ISNUMBER(H141)),H141,G141&lt;&gt;0,G141),0)</f>
        <v>0</v>
      </c>
      <c r="K141" s="29" t="str">
        <f t="shared" si="10"/>
        <v/>
      </c>
      <c r="L141" s="45" t="str">
        <f>IF(C141&lt;&gt;"",_xlfn.XLOOKUP(TEXT(C141,"0"),TEXT(CC!$C$3:$C$1000,"0"),CC!$G$3:$G$1000,""),"")</f>
        <v/>
      </c>
    </row>
    <row r="142" spans="7:12" x14ac:dyDescent="0.25">
      <c r="G142" s="58">
        <f>IFERROR(SUMPRODUCT((TEXT(CC!$C$3:$C$1000,"0")=TEXT(C142,"0"))*IFERROR(CC!$E$3:$E$1000+0,0)),0)</f>
      </c>
      <c r="H142" s="44"/>
      <c r="I142" s="23" t="str">
        <f t="shared" si="9"/>
        <v/>
      </c>
      <c r="J142" s="33" cm="1">
        <f t="array" ref="J142">IFERROR(-_xlfn.IFS(OR(H142="y",H142="Y"),F142,AND(H142&lt;&gt;0,ISNUMBER(H142)),H142,G142&lt;&gt;0,G142),0)</f>
        <v>0</v>
      </c>
      <c r="K142" s="29" t="str">
        <f t="shared" si="10"/>
        <v/>
      </c>
      <c r="L142" s="45" t="str">
        <f>IF(C142&lt;&gt;"",_xlfn.XLOOKUP(TEXT(C142,"0"),TEXT(CC!$C$3:$C$1000,"0"),CC!$G$3:$G$1000,""),"")</f>
        <v/>
      </c>
    </row>
    <row r="143" spans="7:12" x14ac:dyDescent="0.25">
      <c r="G143" s="58">
        <f>IFERROR(SUMPRODUCT((TEXT(CC!$C$3:$C$1000,"0")=TEXT(C143,"0"))*IFERROR(CC!$E$3:$E$1000+0,0)),0)</f>
      </c>
      <c r="H143" s="44"/>
      <c r="I143" s="23" t="str">
        <f t="shared" ref="I143:I206" si="11">IF(J143&lt;&gt;0,"531011","")</f>
        <v/>
      </c>
      <c r="J143" s="33" cm="1">
        <f t="array" ref="J143">IFERROR(-_xlfn.IFS(OR(H143="y",H143="Y"),F143,AND(H143&lt;&gt;0,ISNUMBER(H143)),H143,G143&lt;&gt;0,G143),0)</f>
        <v>0</v>
      </c>
      <c r="K143" s="29" t="str">
        <f t="shared" si="10"/>
        <v/>
      </c>
      <c r="L143" s="45" t="str">
        <f>IF(C143&lt;&gt;"",_xlfn.XLOOKUP(TEXT(C143,"0"),TEXT(CC!$C$3:$C$1000,"0"),CC!$G$3:$G$1000,""),"")</f>
        <v/>
      </c>
    </row>
    <row r="144" spans="7:12" x14ac:dyDescent="0.25">
      <c r="G144" s="58">
        <f>IFERROR(SUMPRODUCT((TEXT(CC!$C$3:$C$1000,"0")=TEXT(C144,"0"))*IFERROR(CC!$E$3:$E$1000+0,0)),0)</f>
      </c>
      <c r="H144" s="44"/>
      <c r="I144" s="23" t="str">
        <f t="shared" si="11"/>
        <v/>
      </c>
      <c r="J144" s="33" cm="1">
        <f t="array" ref="J144">IFERROR(-_xlfn.IFS(OR(H144="y",H144="Y"),F144,AND(H144&lt;&gt;0,ISNUMBER(H144)),H144,G144&lt;&gt;0,G144),0)</f>
        <v>0</v>
      </c>
      <c r="K144" s="29" t="str">
        <f t="shared" ref="K144:K207" si="12">IF(J144&lt;&gt;0,C144,"")</f>
        <v/>
      </c>
      <c r="L144" s="45" t="str">
        <f>IF(C144&lt;&gt;"",_xlfn.XLOOKUP(TEXT(C144,"0"),TEXT(CC!$C$3:$C$1000,"0"),CC!$G$3:$G$1000,""),"")</f>
        <v/>
      </c>
    </row>
    <row r="145" spans="7:12" x14ac:dyDescent="0.25">
      <c r="G145" s="58">
        <f>IFERROR(SUMPRODUCT((TEXT(CC!$C$3:$C$1000,"0")=TEXT(C145,"0"))*IFERROR(CC!$E$3:$E$1000+0,0)),0)</f>
      </c>
      <c r="H145" s="44"/>
      <c r="I145" s="23" t="str">
        <f t="shared" si="11"/>
        <v/>
      </c>
      <c r="J145" s="33" cm="1">
        <f t="array" ref="J145">IFERROR(-_xlfn.IFS(OR(H145="y",H145="Y"),F145,AND(H145&lt;&gt;0,ISNUMBER(H145)),H145,G145&lt;&gt;0,G145),0)</f>
        <v>0</v>
      </c>
      <c r="K145" s="29" t="str">
        <f t="shared" si="12"/>
        <v/>
      </c>
      <c r="L145" s="45" t="str">
        <f>IF(C145&lt;&gt;"",_xlfn.XLOOKUP(TEXT(C145,"0"),TEXT(CC!$C$3:$C$1000,"0"),CC!$G$3:$G$1000,""),"")</f>
        <v/>
      </c>
    </row>
    <row r="146" spans="7:12" x14ac:dyDescent="0.25">
      <c r="G146" s="58">
        <f>IFERROR(SUMPRODUCT((TEXT(CC!$C$3:$C$1000,"0")=TEXT(C146,"0"))*IFERROR(CC!$E$3:$E$1000+0,0)),0)</f>
      </c>
      <c r="H146" s="44"/>
      <c r="I146" s="23" t="str">
        <f t="shared" si="11"/>
        <v/>
      </c>
      <c r="J146" s="33" cm="1">
        <f t="array" ref="J146">IFERROR(-_xlfn.IFS(OR(H146="y",H146="Y"),F146,AND(H146&lt;&gt;0,ISNUMBER(H146)),H146,G146&lt;&gt;0,G146),0)</f>
        <v>0</v>
      </c>
      <c r="K146" s="29" t="str">
        <f t="shared" si="12"/>
        <v/>
      </c>
      <c r="L146" s="45" t="str">
        <f>IF(C146&lt;&gt;"",_xlfn.XLOOKUP(TEXT(C146,"0"),TEXT(CC!$C$3:$C$1000,"0"),CC!$G$3:$G$1000,""),"")</f>
        <v/>
      </c>
    </row>
    <row r="147" spans="7:12" x14ac:dyDescent="0.25">
      <c r="G147" s="58">
        <f>IFERROR(SUMPRODUCT((TEXT(CC!$C$3:$C$1000,"0")=TEXT(C147,"0"))*IFERROR(CC!$E$3:$E$1000+0,0)),0)</f>
      </c>
      <c r="H147" s="44"/>
      <c r="I147" s="23" t="str">
        <f t="shared" si="11"/>
        <v/>
      </c>
      <c r="J147" s="33" cm="1">
        <f t="array" ref="J147">IFERROR(-_xlfn.IFS(OR(H147="y",H147="Y"),F147,AND(H147&lt;&gt;0,ISNUMBER(H147)),H147,G147&lt;&gt;0,G147),0)</f>
        <v>0</v>
      </c>
      <c r="K147" s="29" t="str">
        <f t="shared" si="12"/>
        <v/>
      </c>
      <c r="L147" s="45" t="str">
        <f>IF(C147&lt;&gt;"",_xlfn.XLOOKUP(TEXT(C147,"0"),TEXT(CC!$C$3:$C$1000,"0"),CC!$G$3:$G$1000,""),"")</f>
        <v/>
      </c>
    </row>
    <row r="148" spans="7:12" x14ac:dyDescent="0.25">
      <c r="G148" s="58">
        <f>IFERROR(SUMPRODUCT((TEXT(CC!$C$3:$C$1000,"0")=TEXT(C148,"0"))*IFERROR(CC!$E$3:$E$1000+0,0)),0)</f>
      </c>
      <c r="H148" s="44"/>
      <c r="I148" s="23" t="str">
        <f t="shared" si="11"/>
        <v/>
      </c>
      <c r="J148" s="33" cm="1">
        <f t="array" ref="J148">IFERROR(-_xlfn.IFS(OR(H148="y",H148="Y"),F148,AND(H148&lt;&gt;0,ISNUMBER(H148)),H148,G148&lt;&gt;0,G148),0)</f>
        <v>0</v>
      </c>
      <c r="K148" s="29" t="str">
        <f t="shared" si="12"/>
        <v/>
      </c>
      <c r="L148" s="45" t="str">
        <f>IF(C148&lt;&gt;"",_xlfn.XLOOKUP(TEXT(C148,"0"),TEXT(CC!$C$3:$C$1000,"0"),CC!$G$3:$G$1000,""),"")</f>
        <v/>
      </c>
    </row>
    <row r="149" spans="7:12" x14ac:dyDescent="0.25">
      <c r="G149" s="58">
        <f>IFERROR(SUMPRODUCT((TEXT(CC!$C$3:$C$1000,"0")=TEXT(C149,"0"))*IFERROR(CC!$E$3:$E$1000+0,0)),0)</f>
      </c>
      <c r="H149" s="44"/>
      <c r="I149" s="23" t="str">
        <f t="shared" si="11"/>
        <v/>
      </c>
      <c r="J149" s="33" cm="1">
        <f t="array" ref="J149">IFERROR(-_xlfn.IFS(OR(H149="y",H149="Y"),F149,AND(H149&lt;&gt;0,ISNUMBER(H149)),H149,G149&lt;&gt;0,G149),0)</f>
        <v>0</v>
      </c>
      <c r="K149" s="29" t="str">
        <f t="shared" si="12"/>
        <v/>
      </c>
      <c r="L149" s="45" t="str">
        <f>IF(C149&lt;&gt;"",_xlfn.XLOOKUP(TEXT(C149,"0"),TEXT(CC!$C$3:$C$1000,"0"),CC!$G$3:$G$1000,""),"")</f>
        <v/>
      </c>
    </row>
    <row r="150" spans="7:12" x14ac:dyDescent="0.25">
      <c r="G150" s="58">
        <f>IFERROR(SUMPRODUCT((TEXT(CC!$C$3:$C$1000,"0")=TEXT(C150,"0"))*IFERROR(CC!$E$3:$E$1000+0,0)),0)</f>
      </c>
      <c r="H150" s="44"/>
      <c r="I150" s="23" t="str">
        <f t="shared" si="11"/>
        <v/>
      </c>
      <c r="J150" s="33" cm="1">
        <f t="array" ref="J150">IFERROR(-_xlfn.IFS(OR(H150="y",H150="Y"),F150,AND(H150&lt;&gt;0,ISNUMBER(H150)),H150,G150&lt;&gt;0,G150),0)</f>
        <v>0</v>
      </c>
      <c r="K150" s="29" t="str">
        <f t="shared" si="12"/>
        <v/>
      </c>
      <c r="L150" s="45" t="str">
        <f>IF(C150&lt;&gt;"",_xlfn.XLOOKUP(TEXT(C150,"0"),TEXT(CC!$C$3:$C$1000,"0"),CC!$G$3:$G$1000,""),"")</f>
        <v/>
      </c>
    </row>
    <row r="151" spans="7:12" x14ac:dyDescent="0.25">
      <c r="G151" s="58">
        <f>IFERROR(SUMPRODUCT((TEXT(CC!$C$3:$C$1000,"0")=TEXT(C151,"0"))*IFERROR(CC!$E$3:$E$1000+0,0)),0)</f>
      </c>
      <c r="H151" s="44"/>
      <c r="I151" s="23" t="str">
        <f t="shared" si="11"/>
        <v/>
      </c>
      <c r="J151" s="33" cm="1">
        <f t="array" ref="J151">IFERROR(-_xlfn.IFS(OR(H151="y",H151="Y"),F151,AND(H151&lt;&gt;0,ISNUMBER(H151)),H151,G151&lt;&gt;0,G151),0)</f>
        <v>0</v>
      </c>
      <c r="K151" s="29" t="str">
        <f t="shared" si="12"/>
        <v/>
      </c>
      <c r="L151" s="45" t="str">
        <f>IF(C151&lt;&gt;"",_xlfn.XLOOKUP(TEXT(C151,"0"),TEXT(CC!$C$3:$C$1000,"0"),CC!$G$3:$G$1000,""),"")</f>
        <v/>
      </c>
    </row>
    <row r="152" spans="7:12" x14ac:dyDescent="0.25">
      <c r="G152" s="58">
        <f>IFERROR(SUMPRODUCT((TEXT(CC!$C$3:$C$1000,"0")=TEXT(C152,"0"))*IFERROR(CC!$E$3:$E$1000+0,0)),0)</f>
      </c>
      <c r="H152" s="44"/>
      <c r="I152" s="23" t="str">
        <f t="shared" si="11"/>
        <v/>
      </c>
      <c r="J152" s="33" cm="1">
        <f t="array" ref="J152">IFERROR(-_xlfn.IFS(OR(H152="y",H152="Y"),F152,AND(H152&lt;&gt;0,ISNUMBER(H152)),H152,G152&lt;&gt;0,G152),0)</f>
        <v>0</v>
      </c>
      <c r="K152" s="29" t="str">
        <f t="shared" si="12"/>
        <v/>
      </c>
      <c r="L152" s="45" t="str">
        <f>IF(C152&lt;&gt;"",_xlfn.XLOOKUP(TEXT(C152,"0"),TEXT(CC!$C$3:$C$1000,"0"),CC!$G$3:$G$1000,""),"")</f>
        <v/>
      </c>
    </row>
    <row r="153" spans="7:12" x14ac:dyDescent="0.25">
      <c r="G153" s="58">
        <f>IFERROR(SUMPRODUCT((TEXT(CC!$C$3:$C$1000,"0")=TEXT(C153,"0"))*IFERROR(CC!$E$3:$E$1000+0,0)),0)</f>
      </c>
      <c r="H153" s="44"/>
      <c r="I153" s="23" t="str">
        <f t="shared" si="11"/>
        <v/>
      </c>
      <c r="J153" s="33" cm="1">
        <f t="array" ref="J153">IFERROR(-_xlfn.IFS(OR(H153="y",H153="Y"),F153,AND(H153&lt;&gt;0,ISNUMBER(H153)),H153,G153&lt;&gt;0,G153),0)</f>
        <v>0</v>
      </c>
      <c r="K153" s="29" t="str">
        <f t="shared" si="12"/>
        <v/>
      </c>
      <c r="L153" s="45" t="str">
        <f>IF(C153&lt;&gt;"",_xlfn.XLOOKUP(TEXT(C153,"0"),TEXT(CC!$C$3:$C$1000,"0"),CC!$G$3:$G$1000,""),"")</f>
        <v/>
      </c>
    </row>
    <row r="154" spans="7:12" x14ac:dyDescent="0.25">
      <c r="G154" s="58">
        <f>IFERROR(SUMPRODUCT((TEXT(CC!$C$3:$C$1000,"0")=TEXT(C154,"0"))*IFERROR(CC!$E$3:$E$1000+0,0)),0)</f>
      </c>
      <c r="H154" s="44"/>
      <c r="I154" s="23" t="str">
        <f t="shared" si="11"/>
        <v/>
      </c>
      <c r="J154" s="33" cm="1">
        <f t="array" ref="J154">IFERROR(-_xlfn.IFS(OR(H154="y",H154="Y"),F154,AND(H154&lt;&gt;0,ISNUMBER(H154)),H154,G154&lt;&gt;0,G154),0)</f>
        <v>0</v>
      </c>
      <c r="K154" s="29" t="str">
        <f t="shared" si="12"/>
        <v/>
      </c>
      <c r="L154" s="45" t="str">
        <f>IF(C154&lt;&gt;"",_xlfn.XLOOKUP(TEXT(C154,"0"),TEXT(CC!$C$3:$C$1000,"0"),CC!$G$3:$G$1000,""),"")</f>
        <v/>
      </c>
    </row>
    <row r="155" spans="7:12" x14ac:dyDescent="0.25">
      <c r="G155" s="58">
        <f>IFERROR(SUMPRODUCT((TEXT(CC!$C$3:$C$1000,"0")=TEXT(C155,"0"))*IFERROR(CC!$E$3:$E$1000+0,0)),0)</f>
      </c>
      <c r="H155" s="44"/>
      <c r="I155" s="23" t="str">
        <f t="shared" si="11"/>
        <v/>
      </c>
      <c r="J155" s="33" cm="1">
        <f t="array" ref="J155">IFERROR(-_xlfn.IFS(OR(H155="y",H155="Y"),F155,AND(H155&lt;&gt;0,ISNUMBER(H155)),H155,G155&lt;&gt;0,G155),0)</f>
        <v>0</v>
      </c>
      <c r="K155" s="29" t="str">
        <f t="shared" si="12"/>
        <v/>
      </c>
      <c r="L155" s="45" t="str">
        <f>IF(C155&lt;&gt;"",_xlfn.XLOOKUP(TEXT(C155,"0"),TEXT(CC!$C$3:$C$1000,"0"),CC!$G$3:$G$1000,""),"")</f>
        <v/>
      </c>
    </row>
    <row r="156" spans="7:12" x14ac:dyDescent="0.25">
      <c r="G156" s="58">
        <f>IFERROR(SUMPRODUCT((TEXT(CC!$C$3:$C$1000,"0")=TEXT(C156,"0"))*IFERROR(CC!$E$3:$E$1000+0,0)),0)</f>
      </c>
      <c r="H156" s="44"/>
      <c r="I156" s="23" t="str">
        <f t="shared" si="11"/>
        <v/>
      </c>
      <c r="J156" s="33" cm="1">
        <f t="array" ref="J156">IFERROR(-_xlfn.IFS(OR(H156="y",H156="Y"),F156,AND(H156&lt;&gt;0,ISNUMBER(H156)),H156,G156&lt;&gt;0,G156),0)</f>
        <v>0</v>
      </c>
      <c r="K156" s="29" t="str">
        <f t="shared" si="12"/>
        <v/>
      </c>
      <c r="L156" s="45" t="str">
        <f>IF(C156&lt;&gt;"",_xlfn.XLOOKUP(TEXT(C156,"0"),TEXT(CC!$C$3:$C$1000,"0"),CC!$G$3:$G$1000,""),"")</f>
        <v/>
      </c>
    </row>
    <row r="157" spans="7:12" x14ac:dyDescent="0.25">
      <c r="G157" s="58">
        <f>IFERROR(SUMPRODUCT((TEXT(CC!$C$3:$C$1000,"0")=TEXT(C157,"0"))*IFERROR(CC!$E$3:$E$1000+0,0)),0)</f>
      </c>
      <c r="H157" s="44"/>
      <c r="I157" s="23" t="str">
        <f t="shared" si="11"/>
        <v/>
      </c>
      <c r="J157" s="33" cm="1">
        <f t="array" ref="J157">IFERROR(-_xlfn.IFS(OR(H157="y",H157="Y"),F157,AND(H157&lt;&gt;0,ISNUMBER(H157)),H157,G157&lt;&gt;0,G157),0)</f>
        <v>0</v>
      </c>
      <c r="K157" s="29" t="str">
        <f t="shared" si="12"/>
        <v/>
      </c>
      <c r="L157" s="45" t="str">
        <f>IF(C157&lt;&gt;"",_xlfn.XLOOKUP(TEXT(C157,"0"),TEXT(CC!$C$3:$C$1000,"0"),CC!$G$3:$G$1000,""),"")</f>
        <v/>
      </c>
    </row>
    <row r="158" spans="7:12" x14ac:dyDescent="0.25">
      <c r="G158" s="58">
        <f>IFERROR(SUMPRODUCT((TEXT(CC!$C$3:$C$1000,"0")=TEXT(C158,"0"))*IFERROR(CC!$E$3:$E$1000+0,0)),0)</f>
      </c>
      <c r="H158" s="44"/>
      <c r="I158" s="23" t="str">
        <f t="shared" si="11"/>
        <v/>
      </c>
      <c r="J158" s="33" cm="1">
        <f t="array" ref="J158">IFERROR(-_xlfn.IFS(OR(H158="y",H158="Y"),F158,AND(H158&lt;&gt;0,ISNUMBER(H158)),H158,G158&lt;&gt;0,G158),0)</f>
        <v>0</v>
      </c>
      <c r="K158" s="29" t="str">
        <f t="shared" si="12"/>
        <v/>
      </c>
      <c r="L158" s="45" t="str">
        <f>IF(C158&lt;&gt;"",_xlfn.XLOOKUP(TEXT(C158,"0"),TEXT(CC!$C$3:$C$1000,"0"),CC!$G$3:$G$1000,""),"")</f>
        <v/>
      </c>
    </row>
    <row r="159" spans="7:12" x14ac:dyDescent="0.25">
      <c r="G159" s="58">
        <f>IFERROR(SUMPRODUCT((TEXT(CC!$C$3:$C$1000,"0")=TEXT(C159,"0"))*IFERROR(CC!$E$3:$E$1000+0,0)),0)</f>
      </c>
      <c r="H159" s="44"/>
      <c r="I159" s="23" t="str">
        <f t="shared" si="11"/>
        <v/>
      </c>
      <c r="J159" s="33" cm="1">
        <f t="array" ref="J159">IFERROR(-_xlfn.IFS(OR(H159="y",H159="Y"),F159,AND(H159&lt;&gt;0,ISNUMBER(H159)),H159,G159&lt;&gt;0,G159),0)</f>
        <v>0</v>
      </c>
      <c r="K159" s="29" t="str">
        <f t="shared" si="12"/>
        <v/>
      </c>
      <c r="L159" s="45" t="str">
        <f>IF(C159&lt;&gt;"",_xlfn.XLOOKUP(TEXT(C159,"0"),TEXT(CC!$C$3:$C$1000,"0"),CC!$G$3:$G$1000,""),"")</f>
        <v/>
      </c>
    </row>
    <row r="160" spans="7:12" x14ac:dyDescent="0.25">
      <c r="G160" s="58">
        <f>IFERROR(SUMPRODUCT((TEXT(CC!$C$3:$C$1000,"0")=TEXT(C160,"0"))*IFERROR(CC!$E$3:$E$1000+0,0)),0)</f>
      </c>
      <c r="H160" s="44"/>
      <c r="I160" s="23" t="str">
        <f t="shared" si="11"/>
        <v/>
      </c>
      <c r="J160" s="33" cm="1">
        <f t="array" ref="J160">IFERROR(-_xlfn.IFS(OR(H160="y",H160="Y"),F160,AND(H160&lt;&gt;0,ISNUMBER(H160)),H160,G160&lt;&gt;0,G160),0)</f>
        <v>0</v>
      </c>
      <c r="K160" s="29" t="str">
        <f t="shared" si="12"/>
        <v/>
      </c>
      <c r="L160" s="45" t="str">
        <f>IF(C160&lt;&gt;"",_xlfn.XLOOKUP(TEXT(C160,"0"),TEXT(CC!$C$3:$C$1000,"0"),CC!$G$3:$G$1000,""),"")</f>
        <v/>
      </c>
    </row>
    <row r="161" spans="7:12" x14ac:dyDescent="0.25">
      <c r="G161" s="58">
        <f>IFERROR(SUMPRODUCT((TEXT(CC!$C$3:$C$1000,"0")=TEXT(C161,"0"))*IFERROR(CC!$E$3:$E$1000+0,0)),0)</f>
      </c>
      <c r="H161" s="44"/>
      <c r="I161" s="23" t="str">
        <f t="shared" si="11"/>
        <v/>
      </c>
      <c r="J161" s="33" cm="1">
        <f t="array" ref="J161">IFERROR(-_xlfn.IFS(OR(H161="y",H161="Y"),F161,AND(H161&lt;&gt;0,ISNUMBER(H161)),H161,G161&lt;&gt;0,G161),0)</f>
        <v>0</v>
      </c>
      <c r="K161" s="29" t="str">
        <f t="shared" si="12"/>
        <v/>
      </c>
      <c r="L161" s="45" t="str">
        <f>IF(C161&lt;&gt;"",_xlfn.XLOOKUP(TEXT(C161,"0"),TEXT(CC!$C$3:$C$1000,"0"),CC!$G$3:$G$1000,""),"")</f>
        <v/>
      </c>
    </row>
    <row r="162" spans="7:12" x14ac:dyDescent="0.25">
      <c r="G162" s="58">
        <f>IFERROR(SUMPRODUCT((TEXT(CC!$C$3:$C$1000,"0")=TEXT(C162,"0"))*IFERROR(CC!$E$3:$E$1000+0,0)),0)</f>
      </c>
      <c r="H162" s="44"/>
      <c r="I162" s="23" t="str">
        <f t="shared" si="11"/>
        <v/>
      </c>
      <c r="J162" s="33" cm="1">
        <f t="array" ref="J162">IFERROR(-_xlfn.IFS(OR(H162="y",H162="Y"),F162,AND(H162&lt;&gt;0,ISNUMBER(H162)),H162,G162&lt;&gt;0,G162),0)</f>
        <v>0</v>
      </c>
      <c r="K162" s="29" t="str">
        <f t="shared" si="12"/>
        <v/>
      </c>
      <c r="L162" s="45" t="str">
        <f>IF(C162&lt;&gt;"",_xlfn.XLOOKUP(TEXT(C162,"0"),TEXT(CC!$C$3:$C$1000,"0"),CC!$G$3:$G$1000,""),"")</f>
        <v/>
      </c>
    </row>
    <row r="163" spans="7:12" x14ac:dyDescent="0.25">
      <c r="G163" s="58">
        <f>IFERROR(SUMPRODUCT((TEXT(CC!$C$3:$C$1000,"0")=TEXT(C163,"0"))*IFERROR(CC!$E$3:$E$1000+0,0)),0)</f>
      </c>
      <c r="H163" s="44"/>
      <c r="I163" s="23" t="str">
        <f t="shared" si="11"/>
        <v/>
      </c>
      <c r="J163" s="33" cm="1">
        <f t="array" ref="J163">IFERROR(-_xlfn.IFS(OR(H163="y",H163="Y"),F163,AND(H163&lt;&gt;0,ISNUMBER(H163)),H163,G163&lt;&gt;0,G163),0)</f>
        <v>0</v>
      </c>
      <c r="K163" s="29" t="str">
        <f t="shared" si="12"/>
        <v/>
      </c>
      <c r="L163" s="45" t="str">
        <f>IF(C163&lt;&gt;"",_xlfn.XLOOKUP(TEXT(C163,"0"),TEXT(CC!$C$3:$C$1000,"0"),CC!$G$3:$G$1000,""),"")</f>
        <v/>
      </c>
    </row>
    <row r="164" spans="7:12" x14ac:dyDescent="0.25">
      <c r="G164" s="58">
        <f>IFERROR(SUMPRODUCT((TEXT(CC!$C$3:$C$1000,"0")=TEXT(C164,"0"))*IFERROR(CC!$E$3:$E$1000+0,0)),0)</f>
      </c>
      <c r="H164" s="44"/>
      <c r="I164" s="23" t="str">
        <f t="shared" si="11"/>
        <v/>
      </c>
      <c r="J164" s="33" cm="1">
        <f t="array" ref="J164">IFERROR(-_xlfn.IFS(OR(H164="y",H164="Y"),F164,AND(H164&lt;&gt;0,ISNUMBER(H164)),H164,G164&lt;&gt;0,G164),0)</f>
        <v>0</v>
      </c>
      <c r="K164" s="29" t="str">
        <f t="shared" si="12"/>
        <v/>
      </c>
      <c r="L164" s="45" t="str">
        <f>IF(C164&lt;&gt;"",_xlfn.XLOOKUP(TEXT(C164,"0"),TEXT(CC!$C$3:$C$1000,"0"),CC!$G$3:$G$1000,""),"")</f>
        <v/>
      </c>
    </row>
    <row r="165" spans="7:12" x14ac:dyDescent="0.25">
      <c r="G165" s="58">
        <f>IFERROR(SUMPRODUCT((TEXT(CC!$C$3:$C$1000,"0")=TEXT(C165,"0"))*IFERROR(CC!$E$3:$E$1000+0,0)),0)</f>
      </c>
      <c r="H165" s="44"/>
      <c r="I165" s="23" t="str">
        <f t="shared" si="11"/>
        <v/>
      </c>
      <c r="J165" s="33" cm="1">
        <f t="array" ref="J165">IFERROR(-_xlfn.IFS(OR(H165="y",H165="Y"),F165,AND(H165&lt;&gt;0,ISNUMBER(H165)),H165,G165&lt;&gt;0,G165),0)</f>
        <v>0</v>
      </c>
      <c r="K165" s="29" t="str">
        <f t="shared" si="12"/>
        <v/>
      </c>
      <c r="L165" s="45" t="str">
        <f>IF(C165&lt;&gt;"",_xlfn.XLOOKUP(TEXT(C165,"0"),TEXT(CC!$C$3:$C$1000,"0"),CC!$G$3:$G$1000,""),"")</f>
        <v/>
      </c>
    </row>
    <row r="166" spans="7:12" x14ac:dyDescent="0.25">
      <c r="G166" s="58">
        <f>IFERROR(SUMPRODUCT((TEXT(CC!$C$3:$C$1000,"0")=TEXT(C166,"0"))*IFERROR(CC!$E$3:$E$1000+0,0)),0)</f>
      </c>
      <c r="H166" s="44"/>
      <c r="I166" s="23" t="str">
        <f t="shared" si="11"/>
        <v/>
      </c>
      <c r="J166" s="33" cm="1">
        <f t="array" ref="J166">IFERROR(-_xlfn.IFS(OR(H166="y",H166="Y"),F166,AND(H166&lt;&gt;0,ISNUMBER(H166)),H166,G166&lt;&gt;0,G166),0)</f>
        <v>0</v>
      </c>
      <c r="K166" s="29" t="str">
        <f t="shared" si="12"/>
        <v/>
      </c>
      <c r="L166" s="45" t="str">
        <f>IF(C166&lt;&gt;"",_xlfn.XLOOKUP(TEXT(C166,"0"),TEXT(CC!$C$3:$C$1000,"0"),CC!$G$3:$G$1000,""),"")</f>
        <v/>
      </c>
    </row>
    <row r="167" spans="7:12" x14ac:dyDescent="0.25">
      <c r="G167" s="58">
        <f>IFERROR(SUMPRODUCT((TEXT(CC!$C$3:$C$1000,"0")=TEXT(C167,"0"))*IFERROR(CC!$E$3:$E$1000+0,0)),0)</f>
      </c>
      <c r="H167" s="44"/>
      <c r="I167" s="23" t="str">
        <f t="shared" si="11"/>
        <v/>
      </c>
      <c r="J167" s="33" cm="1">
        <f t="array" ref="J167">IFERROR(-_xlfn.IFS(OR(H167="y",H167="Y"),F167,AND(H167&lt;&gt;0,ISNUMBER(H167)),H167,G167&lt;&gt;0,G167),0)</f>
        <v>0</v>
      </c>
      <c r="K167" s="29" t="str">
        <f t="shared" si="12"/>
        <v/>
      </c>
      <c r="L167" s="45" t="str">
        <f>IF(C167&lt;&gt;"",_xlfn.XLOOKUP(TEXT(C167,"0"),TEXT(CC!$C$3:$C$1000,"0"),CC!$G$3:$G$1000,""),"")</f>
        <v/>
      </c>
    </row>
    <row r="168" spans="7:12" x14ac:dyDescent="0.25">
      <c r="G168" s="58">
        <f>IFERROR(SUMPRODUCT((TEXT(CC!$C$3:$C$1000,"0")=TEXT(C168,"0"))*IFERROR(CC!$E$3:$E$1000+0,0)),0)</f>
      </c>
      <c r="H168" s="44"/>
      <c r="I168" s="23" t="str">
        <f t="shared" si="11"/>
        <v/>
      </c>
      <c r="J168" s="33" cm="1">
        <f t="array" ref="J168">IFERROR(-_xlfn.IFS(OR(H168="y",H168="Y"),F168,AND(H168&lt;&gt;0,ISNUMBER(H168)),H168,G168&lt;&gt;0,G168),0)</f>
        <v>0</v>
      </c>
      <c r="K168" s="29" t="str">
        <f t="shared" si="12"/>
        <v/>
      </c>
      <c r="L168" s="45" t="str">
        <f>IF(C168&lt;&gt;"",_xlfn.XLOOKUP(TEXT(C168,"0"),TEXT(CC!$C$3:$C$1000,"0"),CC!$G$3:$G$1000,""),"")</f>
        <v/>
      </c>
    </row>
    <row r="169" spans="7:12" x14ac:dyDescent="0.25">
      <c r="G169" s="58">
        <f>IFERROR(SUMPRODUCT((TEXT(CC!$C$3:$C$1000,"0")=TEXT(C169,"0"))*IFERROR(CC!$E$3:$E$1000+0,0)),0)</f>
      </c>
      <c r="H169" s="44"/>
      <c r="I169" s="23" t="str">
        <f t="shared" si="11"/>
        <v/>
      </c>
      <c r="J169" s="33" cm="1">
        <f t="array" ref="J169">IFERROR(-_xlfn.IFS(OR(H169="y",H169="Y"),F169,AND(H169&lt;&gt;0,ISNUMBER(H169)),H169,G169&lt;&gt;0,G169),0)</f>
        <v>0</v>
      </c>
      <c r="K169" s="29" t="str">
        <f t="shared" si="12"/>
        <v/>
      </c>
      <c r="L169" s="45" t="str">
        <f>IF(C169&lt;&gt;"",_xlfn.XLOOKUP(TEXT(C169,"0"),TEXT(CC!$C$3:$C$1000,"0"),CC!$G$3:$G$1000,""),"")</f>
        <v/>
      </c>
    </row>
    <row r="170" spans="7:12" x14ac:dyDescent="0.25">
      <c r="G170" s="58">
        <f>IFERROR(SUMPRODUCT((TEXT(CC!$C$3:$C$1000,"0")=TEXT(C170,"0"))*IFERROR(CC!$E$3:$E$1000+0,0)),0)</f>
      </c>
      <c r="H170" s="44"/>
      <c r="I170" s="23" t="str">
        <f t="shared" si="11"/>
        <v/>
      </c>
      <c r="J170" s="33" cm="1">
        <f t="array" ref="J170">IFERROR(-_xlfn.IFS(OR(H170="y",H170="Y"),F170,AND(H170&lt;&gt;0,ISNUMBER(H170)),H170,G170&lt;&gt;0,G170),0)</f>
        <v>0</v>
      </c>
      <c r="K170" s="29" t="str">
        <f t="shared" si="12"/>
        <v/>
      </c>
      <c r="L170" s="45" t="str">
        <f>IF(C170&lt;&gt;"",_xlfn.XLOOKUP(TEXT(C170,"0"),TEXT(CC!$C$3:$C$1000,"0"),CC!$G$3:$G$1000,""),"")</f>
        <v/>
      </c>
    </row>
    <row r="171" spans="7:12" x14ac:dyDescent="0.25">
      <c r="G171" s="58">
        <f>IFERROR(SUMPRODUCT((TEXT(CC!$C$3:$C$1000,"0")=TEXT(C171,"0"))*IFERROR(CC!$E$3:$E$1000+0,0)),0)</f>
      </c>
      <c r="H171" s="44"/>
      <c r="I171" s="23" t="str">
        <f t="shared" si="11"/>
        <v/>
      </c>
      <c r="J171" s="33" cm="1">
        <f t="array" ref="J171">IFERROR(-_xlfn.IFS(OR(H171="y",H171="Y"),F171,AND(H171&lt;&gt;0,ISNUMBER(H171)),H171,G171&lt;&gt;0,G171),0)</f>
        <v>0</v>
      </c>
      <c r="K171" s="29" t="str">
        <f t="shared" si="12"/>
        <v/>
      </c>
      <c r="L171" s="45" t="str">
        <f>IF(C171&lt;&gt;"",_xlfn.XLOOKUP(TEXT(C171,"0"),TEXT(CC!$C$3:$C$1000,"0"),CC!$G$3:$G$1000,""),"")</f>
        <v/>
      </c>
    </row>
    <row r="172" spans="7:12" x14ac:dyDescent="0.25">
      <c r="G172" s="58">
        <f>IFERROR(SUMPRODUCT((TEXT(CC!$C$3:$C$1000,"0")=TEXT(C172,"0"))*IFERROR(CC!$E$3:$E$1000+0,0)),0)</f>
      </c>
      <c r="H172" s="44"/>
      <c r="I172" s="23" t="str">
        <f t="shared" si="11"/>
        <v/>
      </c>
      <c r="J172" s="33" cm="1">
        <f t="array" ref="J172">IFERROR(-_xlfn.IFS(OR(H172="y",H172="Y"),F172,AND(H172&lt;&gt;0,ISNUMBER(H172)),H172,G172&lt;&gt;0,G172),0)</f>
        <v>0</v>
      </c>
      <c r="K172" s="29" t="str">
        <f t="shared" si="12"/>
        <v/>
      </c>
      <c r="L172" s="45" t="str">
        <f>IF(C172&lt;&gt;"",_xlfn.XLOOKUP(TEXT(C172,"0"),TEXT(CC!$C$3:$C$1000,"0"),CC!$G$3:$G$1000,""),"")</f>
        <v/>
      </c>
    </row>
    <row r="173" spans="7:12" x14ac:dyDescent="0.25">
      <c r="G173" s="58">
        <f>IFERROR(SUMPRODUCT((TEXT(CC!$C$3:$C$1000,"0")=TEXT(C173,"0"))*IFERROR(CC!$E$3:$E$1000+0,0)),0)</f>
      </c>
      <c r="H173" s="44"/>
      <c r="I173" s="23" t="str">
        <f t="shared" si="11"/>
        <v/>
      </c>
      <c r="J173" s="33" cm="1">
        <f t="array" ref="J173">IFERROR(-_xlfn.IFS(OR(H173="y",H173="Y"),F173,AND(H173&lt;&gt;0,ISNUMBER(H173)),H173,G173&lt;&gt;0,G173),0)</f>
        <v>0</v>
      </c>
      <c r="K173" s="29" t="str">
        <f t="shared" si="12"/>
        <v/>
      </c>
      <c r="L173" s="45" t="str">
        <f>IF(C173&lt;&gt;"",_xlfn.XLOOKUP(TEXT(C173,"0"),TEXT(CC!$C$3:$C$1000,"0"),CC!$G$3:$G$1000,""),"")</f>
        <v/>
      </c>
    </row>
    <row r="174" spans="7:12" x14ac:dyDescent="0.25">
      <c r="G174" s="58">
        <f>IFERROR(SUMPRODUCT((TEXT(CC!$C$3:$C$1000,"0")=TEXT(C174,"0"))*IFERROR(CC!$E$3:$E$1000+0,0)),0)</f>
      </c>
      <c r="H174" s="44"/>
      <c r="I174" s="23" t="str">
        <f t="shared" si="11"/>
        <v/>
      </c>
      <c r="J174" s="33" cm="1">
        <f t="array" ref="J174">IFERROR(-_xlfn.IFS(OR(H174="y",H174="Y"),F174,AND(H174&lt;&gt;0,ISNUMBER(H174)),H174,G174&lt;&gt;0,G174),0)</f>
        <v>0</v>
      </c>
      <c r="K174" s="29" t="str">
        <f t="shared" si="12"/>
        <v/>
      </c>
      <c r="L174" s="45" t="str">
        <f>IF(C174&lt;&gt;"",_xlfn.XLOOKUP(TEXT(C174,"0"),TEXT(CC!$C$3:$C$1000,"0"),CC!$G$3:$G$1000,""),"")</f>
        <v/>
      </c>
    </row>
    <row r="175" spans="7:12" x14ac:dyDescent="0.25">
      <c r="G175" s="58">
        <f>IFERROR(SUMPRODUCT((TEXT(CC!$C$3:$C$1000,"0")=TEXT(C175,"0"))*IFERROR(CC!$E$3:$E$1000+0,0)),0)</f>
      </c>
      <c r="H175" s="44"/>
      <c r="I175" s="23" t="str">
        <f t="shared" si="11"/>
        <v/>
      </c>
      <c r="J175" s="33" cm="1">
        <f t="array" ref="J175">IFERROR(-_xlfn.IFS(OR(H175="y",H175="Y"),F175,AND(H175&lt;&gt;0,ISNUMBER(H175)),H175,G175&lt;&gt;0,G175),0)</f>
        <v>0</v>
      </c>
      <c r="K175" s="29" t="str">
        <f t="shared" si="12"/>
        <v/>
      </c>
      <c r="L175" s="45" t="str">
        <f>IF(C175&lt;&gt;"",_xlfn.XLOOKUP(TEXT(C175,"0"),TEXT(CC!$C$3:$C$1000,"0"),CC!$G$3:$G$1000,""),"")</f>
        <v/>
      </c>
    </row>
    <row r="176" spans="7:12" x14ac:dyDescent="0.25">
      <c r="G176" s="58">
        <f>IFERROR(SUMPRODUCT((TEXT(CC!$C$3:$C$1000,"0")=TEXT(C176,"0"))*IFERROR(CC!$E$3:$E$1000+0,0)),0)</f>
      </c>
      <c r="H176" s="44"/>
      <c r="I176" s="23" t="str">
        <f t="shared" si="11"/>
        <v/>
      </c>
      <c r="J176" s="33" cm="1">
        <f t="array" ref="J176">IFERROR(-_xlfn.IFS(OR(H176="y",H176="Y"),F176,AND(H176&lt;&gt;0,ISNUMBER(H176)),H176,G176&lt;&gt;0,G176),0)</f>
        <v>0</v>
      </c>
      <c r="K176" s="29" t="str">
        <f t="shared" si="12"/>
        <v/>
      </c>
      <c r="L176" s="45" t="str">
        <f>IF(C176&lt;&gt;"",_xlfn.XLOOKUP(TEXT(C176,"0"),TEXT(CC!$C$3:$C$1000,"0"),CC!$G$3:$G$1000,""),"")</f>
        <v/>
      </c>
    </row>
    <row r="177" spans="7:12" x14ac:dyDescent="0.25">
      <c r="G177" s="58">
        <f>IFERROR(SUMPRODUCT((TEXT(CC!$C$3:$C$1000,"0")=TEXT(C177,"0"))*IFERROR(CC!$E$3:$E$1000+0,0)),0)</f>
      </c>
      <c r="H177" s="44"/>
      <c r="I177" s="23" t="str">
        <f t="shared" si="11"/>
        <v/>
      </c>
      <c r="J177" s="33" cm="1">
        <f t="array" ref="J177">IFERROR(-_xlfn.IFS(OR(H177="y",H177="Y"),F177,AND(H177&lt;&gt;0,ISNUMBER(H177)),H177,G177&lt;&gt;0,G177),0)</f>
        <v>0</v>
      </c>
      <c r="K177" s="29" t="str">
        <f t="shared" si="12"/>
        <v/>
      </c>
      <c r="L177" s="45" t="str">
        <f>IF(C177&lt;&gt;"",_xlfn.XLOOKUP(TEXT(C177,"0"),TEXT(CC!$C$3:$C$1000,"0"),CC!$G$3:$G$1000,""),"")</f>
        <v/>
      </c>
    </row>
    <row r="178" spans="7:12" x14ac:dyDescent="0.25">
      <c r="G178" s="58">
        <f>IFERROR(SUMPRODUCT((TEXT(CC!$C$3:$C$1000,"0")=TEXT(C178,"0"))*IFERROR(CC!$E$3:$E$1000+0,0)),0)</f>
      </c>
      <c r="H178" s="44"/>
      <c r="I178" s="23" t="str">
        <f t="shared" si="11"/>
        <v/>
      </c>
      <c r="J178" s="33" cm="1">
        <f t="array" ref="J178">IFERROR(-_xlfn.IFS(OR(H178="y",H178="Y"),F178,AND(H178&lt;&gt;0,ISNUMBER(H178)),H178,G178&lt;&gt;0,G178),0)</f>
        <v>0</v>
      </c>
      <c r="K178" s="29" t="str">
        <f t="shared" si="12"/>
        <v/>
      </c>
      <c r="L178" s="45" t="str">
        <f>IF(C178&lt;&gt;"",_xlfn.XLOOKUP(TEXT(C178,"0"),TEXT(CC!$C$3:$C$1000,"0"),CC!$G$3:$G$1000,""),"")</f>
        <v/>
      </c>
    </row>
    <row r="179" spans="7:12" x14ac:dyDescent="0.25">
      <c r="G179" s="58">
        <f>IFERROR(SUMPRODUCT((TEXT(CC!$C$3:$C$1000,"0")=TEXT(C179,"0"))*IFERROR(CC!$E$3:$E$1000+0,0)),0)</f>
      </c>
      <c r="H179" s="44"/>
      <c r="I179" s="23" t="str">
        <f t="shared" si="11"/>
        <v/>
      </c>
      <c r="J179" s="33" cm="1">
        <f t="array" ref="J179">IFERROR(-_xlfn.IFS(OR(H179="y",H179="Y"),F179,AND(H179&lt;&gt;0,ISNUMBER(H179)),H179,G179&lt;&gt;0,G179),0)</f>
        <v>0</v>
      </c>
      <c r="K179" s="29" t="str">
        <f t="shared" si="12"/>
        <v/>
      </c>
      <c r="L179" s="45" t="str">
        <f>IF(C179&lt;&gt;"",_xlfn.XLOOKUP(TEXT(C179,"0"),TEXT(CC!$C$3:$C$1000,"0"),CC!$G$3:$G$1000,""),"")</f>
        <v/>
      </c>
    </row>
    <row r="180" spans="7:12" x14ac:dyDescent="0.25">
      <c r="G180" s="58">
        <f>IFERROR(SUMPRODUCT((TEXT(CC!$C$3:$C$1000,"0")=TEXT(C180,"0"))*IFERROR(CC!$E$3:$E$1000+0,0)),0)</f>
      </c>
      <c r="H180" s="44"/>
      <c r="I180" s="23" t="str">
        <f t="shared" si="11"/>
        <v/>
      </c>
      <c r="J180" s="33" cm="1">
        <f t="array" ref="J180">IFERROR(-_xlfn.IFS(OR(H180="y",H180="Y"),F180,AND(H180&lt;&gt;0,ISNUMBER(H180)),H180,G180&lt;&gt;0,G180),0)</f>
        <v>0</v>
      </c>
      <c r="K180" s="29" t="str">
        <f t="shared" si="12"/>
        <v/>
      </c>
      <c r="L180" s="45" t="str">
        <f>IF(C180&lt;&gt;"",_xlfn.XLOOKUP(TEXT(C180,"0"),TEXT(CC!$C$3:$C$1000,"0"),CC!$G$3:$G$1000,""),"")</f>
        <v/>
      </c>
    </row>
    <row r="181" spans="7:12" x14ac:dyDescent="0.25">
      <c r="G181" s="58">
        <f>IFERROR(SUMPRODUCT((TEXT(CC!$C$3:$C$1000,"0")=TEXT(C181,"0"))*IFERROR(CC!$E$3:$E$1000+0,0)),0)</f>
      </c>
      <c r="H181" s="44"/>
      <c r="I181" s="23" t="str">
        <f t="shared" si="11"/>
        <v/>
      </c>
      <c r="J181" s="33" cm="1">
        <f t="array" ref="J181">IFERROR(-_xlfn.IFS(OR(H181="y",H181="Y"),F181,AND(H181&lt;&gt;0,ISNUMBER(H181)),H181,G181&lt;&gt;0,G181),0)</f>
        <v>0</v>
      </c>
      <c r="K181" s="29" t="str">
        <f t="shared" si="12"/>
        <v/>
      </c>
      <c r="L181" s="45" t="str">
        <f>IF(C181&lt;&gt;"",_xlfn.XLOOKUP(TEXT(C181,"0"),TEXT(CC!$C$3:$C$1000,"0"),CC!$G$3:$G$1000,""),"")</f>
        <v/>
      </c>
    </row>
    <row r="182" spans="7:12" x14ac:dyDescent="0.25">
      <c r="G182" s="58">
        <f>IFERROR(SUMPRODUCT((TEXT(CC!$C$3:$C$1000,"0")=TEXT(C182,"0"))*IFERROR(CC!$E$3:$E$1000+0,0)),0)</f>
      </c>
      <c r="H182" s="44"/>
      <c r="I182" s="23" t="str">
        <f t="shared" si="11"/>
        <v/>
      </c>
      <c r="J182" s="33" cm="1">
        <f t="array" ref="J182">IFERROR(-_xlfn.IFS(OR(H182="y",H182="Y"),F182,AND(H182&lt;&gt;0,ISNUMBER(H182)),H182,G182&lt;&gt;0,G182),0)</f>
        <v>0</v>
      </c>
      <c r="K182" s="29" t="str">
        <f t="shared" si="12"/>
        <v/>
      </c>
      <c r="L182" s="45" t="str">
        <f>IF(C182&lt;&gt;"",_xlfn.XLOOKUP(TEXT(C182,"0"),TEXT(CC!$C$3:$C$1000,"0"),CC!$G$3:$G$1000,""),"")</f>
        <v/>
      </c>
    </row>
    <row r="183" spans="7:12" x14ac:dyDescent="0.25">
      <c r="G183" s="58">
        <f>IFERROR(SUMPRODUCT((TEXT(CC!$C$3:$C$1000,"0")=TEXT(C183,"0"))*IFERROR(CC!$E$3:$E$1000+0,0)),0)</f>
      </c>
      <c r="H183" s="44"/>
      <c r="I183" s="23" t="str">
        <f t="shared" si="11"/>
        <v/>
      </c>
      <c r="J183" s="33" cm="1">
        <f t="array" ref="J183">IFERROR(-_xlfn.IFS(OR(H183="y",H183="Y"),F183,AND(H183&lt;&gt;0,ISNUMBER(H183)),H183,G183&lt;&gt;0,G183),0)</f>
        <v>0</v>
      </c>
      <c r="K183" s="29" t="str">
        <f t="shared" si="12"/>
        <v/>
      </c>
      <c r="L183" s="45" t="str">
        <f>IF(C183&lt;&gt;"",_xlfn.XLOOKUP(TEXT(C183,"0"),TEXT(CC!$C$3:$C$1000,"0"),CC!$G$3:$G$1000,""),"")</f>
        <v/>
      </c>
    </row>
    <row r="184" spans="7:12" x14ac:dyDescent="0.25">
      <c r="G184" s="58">
        <f>IFERROR(SUMPRODUCT((TEXT(CC!$C$3:$C$1000,"0")=TEXT(C184,"0"))*IFERROR(CC!$E$3:$E$1000+0,0)),0)</f>
      </c>
      <c r="H184" s="44"/>
      <c r="I184" s="23" t="str">
        <f t="shared" si="11"/>
        <v/>
      </c>
      <c r="J184" s="33" cm="1">
        <f t="array" ref="J184">IFERROR(-_xlfn.IFS(OR(H184="y",H184="Y"),F184,AND(H184&lt;&gt;0,ISNUMBER(H184)),H184,G184&lt;&gt;0,G184),0)</f>
        <v>0</v>
      </c>
      <c r="K184" s="29" t="str">
        <f t="shared" si="12"/>
        <v/>
      </c>
      <c r="L184" s="45" t="str">
        <f>IF(C184&lt;&gt;"",_xlfn.XLOOKUP(TEXT(C184,"0"),TEXT(CC!$C$3:$C$1000,"0"),CC!$G$3:$G$1000,""),"")</f>
        <v/>
      </c>
    </row>
    <row r="185" spans="7:12" x14ac:dyDescent="0.25">
      <c r="G185" s="58">
        <f>IFERROR(SUMPRODUCT((TEXT(CC!$C$3:$C$1000,"0")=TEXT(C185,"0"))*IFERROR(CC!$E$3:$E$1000+0,0)),0)</f>
      </c>
      <c r="H185" s="44"/>
      <c r="I185" s="23" t="str">
        <f t="shared" si="11"/>
        <v/>
      </c>
      <c r="J185" s="33" cm="1">
        <f t="array" ref="J185">IFERROR(-_xlfn.IFS(OR(H185="y",H185="Y"),F185,AND(H185&lt;&gt;0,ISNUMBER(H185)),H185,G185&lt;&gt;0,G185),0)</f>
        <v>0</v>
      </c>
      <c r="K185" s="29" t="str">
        <f t="shared" si="12"/>
        <v/>
      </c>
      <c r="L185" s="45" t="str">
        <f>IF(C185&lt;&gt;"",_xlfn.XLOOKUP(TEXT(C185,"0"),TEXT(CC!$C$3:$C$1000,"0"),CC!$G$3:$G$1000,""),"")</f>
        <v/>
      </c>
    </row>
    <row r="186" spans="7:12" x14ac:dyDescent="0.25">
      <c r="G186" s="58">
        <f>IFERROR(SUMPRODUCT((TEXT(CC!$C$3:$C$1000,"0")=TEXT(C186,"0"))*IFERROR(CC!$E$3:$E$1000+0,0)),0)</f>
      </c>
      <c r="H186" s="44"/>
      <c r="I186" s="23" t="str">
        <f t="shared" si="11"/>
        <v/>
      </c>
      <c r="J186" s="33" cm="1">
        <f t="array" ref="J186">IFERROR(-_xlfn.IFS(OR(H186="y",H186="Y"),F186,AND(H186&lt;&gt;0,ISNUMBER(H186)),H186,G186&lt;&gt;0,G186),0)</f>
        <v>0</v>
      </c>
      <c r="K186" s="29" t="str">
        <f t="shared" si="12"/>
        <v/>
      </c>
      <c r="L186" s="45" t="str">
        <f>IF(C186&lt;&gt;"",_xlfn.XLOOKUP(TEXT(C186,"0"),TEXT(CC!$C$3:$C$1000,"0"),CC!$G$3:$G$1000,""),"")</f>
        <v/>
      </c>
    </row>
    <row r="187" spans="7:12" x14ac:dyDescent="0.25">
      <c r="G187" s="58">
        <f>IFERROR(SUMPRODUCT((TEXT(CC!$C$3:$C$1000,"0")=TEXT(C187,"0"))*IFERROR(CC!$E$3:$E$1000+0,0)),0)</f>
      </c>
      <c r="H187" s="44"/>
      <c r="I187" s="23" t="str">
        <f t="shared" si="11"/>
        <v/>
      </c>
      <c r="J187" s="33" cm="1">
        <f t="array" ref="J187">IFERROR(-_xlfn.IFS(OR(H187="y",H187="Y"),F187,AND(H187&lt;&gt;0,ISNUMBER(H187)),H187,G187&lt;&gt;0,G187),0)</f>
        <v>0</v>
      </c>
      <c r="K187" s="29" t="str">
        <f t="shared" si="12"/>
        <v/>
      </c>
      <c r="L187" s="45" t="str">
        <f>IF(C187&lt;&gt;"",_xlfn.XLOOKUP(TEXT(C187,"0"),TEXT(CC!$C$3:$C$1000,"0"),CC!$G$3:$G$1000,""),"")</f>
        <v/>
      </c>
    </row>
    <row r="188" spans="7:12" x14ac:dyDescent="0.25">
      <c r="G188" s="58">
        <f>IFERROR(SUMPRODUCT((TEXT(CC!$C$3:$C$1000,"0")=TEXT(C188,"0"))*IFERROR(CC!$E$3:$E$1000+0,0)),0)</f>
      </c>
      <c r="H188" s="44"/>
      <c r="I188" s="23" t="str">
        <f t="shared" si="11"/>
        <v/>
      </c>
      <c r="J188" s="33" cm="1">
        <f t="array" ref="J188">IFERROR(-_xlfn.IFS(OR(H188="y",H188="Y"),F188,AND(H188&lt;&gt;0,ISNUMBER(H188)),H188,G188&lt;&gt;0,G188),0)</f>
        <v>0</v>
      </c>
      <c r="K188" s="29" t="str">
        <f t="shared" si="12"/>
        <v/>
      </c>
      <c r="L188" s="45" t="str">
        <f>IF(C188&lt;&gt;"",_xlfn.XLOOKUP(TEXT(C188,"0"),TEXT(CC!$C$3:$C$1000,"0"),CC!$G$3:$G$1000,""),"")</f>
        <v/>
      </c>
    </row>
    <row r="189" spans="7:12" x14ac:dyDescent="0.25">
      <c r="G189" s="58">
        <f>IFERROR(SUMPRODUCT((TEXT(CC!$C$3:$C$1000,"0")=TEXT(C189,"0"))*IFERROR(CC!$E$3:$E$1000+0,0)),0)</f>
      </c>
      <c r="H189" s="44"/>
      <c r="I189" s="23" t="str">
        <f t="shared" si="11"/>
        <v/>
      </c>
      <c r="J189" s="33" cm="1">
        <f t="array" ref="J189">IFERROR(-_xlfn.IFS(OR(H189="y",H189="Y"),F189,AND(H189&lt;&gt;0,ISNUMBER(H189)),H189,G189&lt;&gt;0,G189),0)</f>
        <v>0</v>
      </c>
      <c r="K189" s="29" t="str">
        <f t="shared" si="12"/>
        <v/>
      </c>
      <c r="L189" s="45" t="str">
        <f>IF(C189&lt;&gt;"",_xlfn.XLOOKUP(TEXT(C189,"0"),TEXT(CC!$C$3:$C$1000,"0"),CC!$G$3:$G$1000,""),"")</f>
        <v/>
      </c>
    </row>
    <row r="190" spans="7:12" x14ac:dyDescent="0.25">
      <c r="G190" s="58">
        <f>IFERROR(SUMPRODUCT((TEXT(CC!$C$3:$C$1000,"0")=TEXT(C190,"0"))*IFERROR(CC!$E$3:$E$1000+0,0)),0)</f>
      </c>
      <c r="H190" s="44"/>
      <c r="I190" s="23" t="str">
        <f t="shared" si="11"/>
        <v/>
      </c>
      <c r="J190" s="33" cm="1">
        <f t="array" ref="J190">IFERROR(-_xlfn.IFS(OR(H190="y",H190="Y"),F190,AND(H190&lt;&gt;0,ISNUMBER(H190)),H190,G190&lt;&gt;0,G190),0)</f>
        <v>0</v>
      </c>
      <c r="K190" s="29" t="str">
        <f t="shared" si="12"/>
        <v/>
      </c>
      <c r="L190" s="45" t="str">
        <f>IF(C190&lt;&gt;"",_xlfn.XLOOKUP(TEXT(C190,"0"),TEXT(CC!$C$3:$C$1000,"0"),CC!$G$3:$G$1000,""),"")</f>
        <v/>
      </c>
    </row>
    <row r="191" spans="7:12" x14ac:dyDescent="0.25">
      <c r="G191" s="58">
        <f>IFERROR(SUMPRODUCT((TEXT(CC!$C$3:$C$1000,"0")=TEXT(C191,"0"))*IFERROR(CC!$E$3:$E$1000+0,0)),0)</f>
      </c>
      <c r="H191" s="44"/>
      <c r="I191" s="23" t="str">
        <f t="shared" si="11"/>
        <v/>
      </c>
      <c r="J191" s="33" cm="1">
        <f t="array" ref="J191">IFERROR(-_xlfn.IFS(OR(H191="y",H191="Y"),F191,AND(H191&lt;&gt;0,ISNUMBER(H191)),H191,G191&lt;&gt;0,G191),0)</f>
        <v>0</v>
      </c>
      <c r="K191" s="29" t="str">
        <f t="shared" si="12"/>
        <v/>
      </c>
      <c r="L191" s="45" t="str">
        <f>IF(C191&lt;&gt;"",_xlfn.XLOOKUP(TEXT(C191,"0"),TEXT(CC!$C$3:$C$1000,"0"),CC!$G$3:$G$1000,""),"")</f>
        <v/>
      </c>
    </row>
    <row r="192" spans="7:12" x14ac:dyDescent="0.25">
      <c r="G192" s="58">
        <f>IFERROR(SUMPRODUCT((TEXT(CC!$C$3:$C$1000,"0")=TEXT(C192,"0"))*IFERROR(CC!$E$3:$E$1000+0,0)),0)</f>
      </c>
      <c r="H192" s="44"/>
      <c r="I192" s="23" t="str">
        <f t="shared" si="11"/>
        <v/>
      </c>
      <c r="J192" s="33" cm="1">
        <f t="array" ref="J192">IFERROR(-_xlfn.IFS(OR(H192="y",H192="Y"),F192,AND(H192&lt;&gt;0,ISNUMBER(H192)),H192,G192&lt;&gt;0,G192),0)</f>
        <v>0</v>
      </c>
      <c r="K192" s="29" t="str">
        <f t="shared" si="12"/>
        <v/>
      </c>
      <c r="L192" s="45" t="str">
        <f>IF(C192&lt;&gt;"",_xlfn.XLOOKUP(TEXT(C192,"0"),TEXT(CC!$C$3:$C$1000,"0"),CC!$G$3:$G$1000,""),"")</f>
        <v/>
      </c>
    </row>
    <row r="193" spans="7:12" x14ac:dyDescent="0.25">
      <c r="G193" s="58">
        <f>IFERROR(SUMPRODUCT((TEXT(CC!$C$3:$C$1000,"0")=TEXT(C193,"0"))*IFERROR(CC!$E$3:$E$1000+0,0)),0)</f>
      </c>
      <c r="H193" s="44"/>
      <c r="I193" s="23" t="str">
        <f t="shared" si="11"/>
        <v/>
      </c>
      <c r="J193" s="33" cm="1">
        <f t="array" ref="J193">IFERROR(-_xlfn.IFS(OR(H193="y",H193="Y"),F193,AND(H193&lt;&gt;0,ISNUMBER(H193)),H193,G193&lt;&gt;0,G193),0)</f>
        <v>0</v>
      </c>
      <c r="K193" s="29" t="str">
        <f t="shared" si="12"/>
        <v/>
      </c>
      <c r="L193" s="45" t="str">
        <f>IF(C193&lt;&gt;"",_xlfn.XLOOKUP(TEXT(C193,"0"),TEXT(CC!$C$3:$C$1000,"0"),CC!$G$3:$G$1000,""),"")</f>
        <v/>
      </c>
    </row>
    <row r="194" spans="7:12" x14ac:dyDescent="0.25">
      <c r="G194" s="58">
        <f>IFERROR(SUMPRODUCT((TEXT(CC!$C$3:$C$1000,"0")=TEXT(C194,"0"))*IFERROR(CC!$E$3:$E$1000+0,0)),0)</f>
      </c>
      <c r="H194" s="44"/>
      <c r="I194" s="23" t="str">
        <f t="shared" si="11"/>
        <v/>
      </c>
      <c r="J194" s="33" cm="1">
        <f t="array" ref="J194">IFERROR(-_xlfn.IFS(OR(H194="y",H194="Y"),F194,AND(H194&lt;&gt;0,ISNUMBER(H194)),H194,G194&lt;&gt;0,G194),0)</f>
        <v>0</v>
      </c>
      <c r="K194" s="29" t="str">
        <f t="shared" si="12"/>
        <v/>
      </c>
      <c r="L194" s="45" t="str">
        <f>IF(C194&lt;&gt;"",_xlfn.XLOOKUP(TEXT(C194,"0"),TEXT(CC!$C$3:$C$1000,"0"),CC!$G$3:$G$1000,""),"")</f>
        <v/>
      </c>
    </row>
    <row r="195" spans="7:12" x14ac:dyDescent="0.25">
      <c r="G195" s="58">
        <f>IFERROR(SUMPRODUCT((TEXT(CC!$C$3:$C$1000,"0")=TEXT(C195,"0"))*IFERROR(CC!$E$3:$E$1000+0,0)),0)</f>
      </c>
      <c r="H195" s="44"/>
      <c r="I195" s="23" t="str">
        <f t="shared" si="11"/>
        <v/>
      </c>
      <c r="J195" s="33" cm="1">
        <f t="array" ref="J195">IFERROR(-_xlfn.IFS(OR(H195="y",H195="Y"),F195,AND(H195&lt;&gt;0,ISNUMBER(H195)),H195,G195&lt;&gt;0,G195),0)</f>
        <v>0</v>
      </c>
      <c r="K195" s="29" t="str">
        <f t="shared" si="12"/>
        <v/>
      </c>
      <c r="L195" s="45" t="str">
        <f>IF(C195&lt;&gt;"",_xlfn.XLOOKUP(TEXT(C195,"0"),TEXT(CC!$C$3:$C$1000,"0"),CC!$G$3:$G$1000,""),"")</f>
        <v/>
      </c>
    </row>
    <row r="196" spans="7:12" x14ac:dyDescent="0.25">
      <c r="G196" s="58">
        <f>IFERROR(SUMPRODUCT((TEXT(CC!$C$3:$C$1000,"0")=TEXT(C196,"0"))*IFERROR(CC!$E$3:$E$1000+0,0)),0)</f>
      </c>
      <c r="H196" s="44"/>
      <c r="I196" s="23" t="str">
        <f t="shared" si="11"/>
        <v/>
      </c>
      <c r="J196" s="33" cm="1">
        <f t="array" ref="J196">IFERROR(-_xlfn.IFS(OR(H196="y",H196="Y"),F196,AND(H196&lt;&gt;0,ISNUMBER(H196)),H196,G196&lt;&gt;0,G196),0)</f>
        <v>0</v>
      </c>
      <c r="K196" s="29" t="str">
        <f t="shared" si="12"/>
        <v/>
      </c>
      <c r="L196" s="45" t="str">
        <f>IF(C196&lt;&gt;"",_xlfn.XLOOKUP(TEXT(C196,"0"),TEXT(CC!$C$3:$C$1000,"0"),CC!$G$3:$G$1000,""),"")</f>
        <v/>
      </c>
    </row>
    <row r="197" spans="7:12" x14ac:dyDescent="0.25">
      <c r="G197" s="58">
        <f>IFERROR(SUMPRODUCT((TEXT(CC!$C$3:$C$1000,"0")=TEXT(C197,"0"))*IFERROR(CC!$E$3:$E$1000+0,0)),0)</f>
      </c>
      <c r="H197" s="44"/>
      <c r="I197" s="23" t="str">
        <f t="shared" si="11"/>
        <v/>
      </c>
      <c r="J197" s="33" cm="1">
        <f t="array" ref="J197">IFERROR(-_xlfn.IFS(OR(H197="y",H197="Y"),F197,AND(H197&lt;&gt;0,ISNUMBER(H197)),H197,G197&lt;&gt;0,G197),0)</f>
        <v>0</v>
      </c>
      <c r="K197" s="29" t="str">
        <f t="shared" si="12"/>
        <v/>
      </c>
      <c r="L197" s="45" t="str">
        <f>IF(C197&lt;&gt;"",_xlfn.XLOOKUP(TEXT(C197,"0"),TEXT(CC!$C$3:$C$1000,"0"),CC!$G$3:$G$1000,""),"")</f>
        <v/>
      </c>
    </row>
    <row r="198" spans="7:12" x14ac:dyDescent="0.25">
      <c r="G198" s="58">
        <f>IFERROR(SUMPRODUCT((TEXT(CC!$C$3:$C$1000,"0")=TEXT(C198,"0"))*IFERROR(CC!$E$3:$E$1000+0,0)),0)</f>
      </c>
      <c r="H198" s="44"/>
      <c r="I198" s="23" t="str">
        <f t="shared" si="11"/>
        <v/>
      </c>
      <c r="J198" s="33" cm="1">
        <f t="array" ref="J198">IFERROR(-_xlfn.IFS(OR(H198="y",H198="Y"),F198,AND(H198&lt;&gt;0,ISNUMBER(H198)),H198,G198&lt;&gt;0,G198),0)</f>
        <v>0</v>
      </c>
      <c r="K198" s="29" t="str">
        <f t="shared" si="12"/>
        <v/>
      </c>
      <c r="L198" s="45" t="str">
        <f>IF(C198&lt;&gt;"",_xlfn.XLOOKUP(TEXT(C198,"0"),TEXT(CC!$C$3:$C$1000,"0"),CC!$G$3:$G$1000,""),"")</f>
        <v/>
      </c>
    </row>
    <row r="199" spans="7:12" x14ac:dyDescent="0.25">
      <c r="G199" s="58">
        <f>IFERROR(SUMPRODUCT((TEXT(CC!$C$3:$C$1000,"0")=TEXT(C199,"0"))*IFERROR(CC!$E$3:$E$1000+0,0)),0)</f>
      </c>
      <c r="H199" s="44"/>
      <c r="I199" s="23" t="str">
        <f t="shared" si="11"/>
        <v/>
      </c>
      <c r="J199" s="33" cm="1">
        <f t="array" ref="J199">IFERROR(-_xlfn.IFS(OR(H199="y",H199="Y"),F199,AND(H199&lt;&gt;0,ISNUMBER(H199)),H199,G199&lt;&gt;0,G199),0)</f>
        <v>0</v>
      </c>
      <c r="K199" s="29" t="str">
        <f t="shared" si="12"/>
        <v/>
      </c>
      <c r="L199" s="45" t="str">
        <f>IF(C199&lt;&gt;"",_xlfn.XLOOKUP(TEXT(C199,"0"),TEXT(CC!$C$3:$C$1000,"0"),CC!$G$3:$G$1000,""),"")</f>
        <v/>
      </c>
    </row>
    <row r="200" spans="7:12" x14ac:dyDescent="0.25">
      <c r="G200" s="58">
        <f>IFERROR(SUMPRODUCT((TEXT(CC!$C$3:$C$1000,"0")=TEXT(C200,"0"))*IFERROR(CC!$E$3:$E$1000+0,0)),0)</f>
      </c>
      <c r="H200" s="44"/>
      <c r="I200" s="23" t="str">
        <f t="shared" si="11"/>
        <v/>
      </c>
      <c r="J200" s="33" cm="1">
        <f t="array" ref="J200">IFERROR(-_xlfn.IFS(OR(H200="y",H200="Y"),F200,AND(H200&lt;&gt;0,ISNUMBER(H200)),H200,G200&lt;&gt;0,G200),0)</f>
        <v>0</v>
      </c>
      <c r="K200" s="29" t="str">
        <f t="shared" si="12"/>
        <v/>
      </c>
      <c r="L200" s="45" t="str">
        <f>IF(C200&lt;&gt;"",_xlfn.XLOOKUP(TEXT(C200,"0"),TEXT(CC!$C$3:$C$1000,"0"),CC!$G$3:$G$1000,""),"")</f>
        <v/>
      </c>
    </row>
    <row r="201" spans="7:12" x14ac:dyDescent="0.25">
      <c r="G201" s="58">
        <f>IFERROR(SUMPRODUCT((TEXT(CC!$C$3:$C$1000,"0")=TEXT(C201,"0"))*IFERROR(CC!$E$3:$E$1000+0,0)),0)</f>
      </c>
      <c r="H201" s="44"/>
      <c r="I201" s="23" t="str">
        <f t="shared" si="11"/>
        <v/>
      </c>
      <c r="J201" s="33" cm="1">
        <f t="array" ref="J201">IFERROR(-_xlfn.IFS(OR(H201="y",H201="Y"),F201,AND(H201&lt;&gt;0,ISNUMBER(H201)),H201,G201&lt;&gt;0,G201),0)</f>
        <v>0</v>
      </c>
      <c r="K201" s="29" t="str">
        <f t="shared" si="12"/>
        <v/>
      </c>
      <c r="L201" s="45" t="str">
        <f>IF(C201&lt;&gt;"",_xlfn.XLOOKUP(TEXT(C201,"0"),TEXT(CC!$C$3:$C$1000,"0"),CC!$G$3:$G$1000,""),"")</f>
        <v/>
      </c>
    </row>
    <row r="202" spans="7:12" x14ac:dyDescent="0.25">
      <c r="G202" s="58">
        <f>IFERROR(SUMPRODUCT((TEXT(CC!$C$3:$C$1000,"0")=TEXT(C202,"0"))*IFERROR(CC!$E$3:$E$1000+0,0)),0)</f>
      </c>
      <c r="H202" s="44"/>
      <c r="I202" s="23" t="str">
        <f t="shared" si="11"/>
        <v/>
      </c>
      <c r="J202" s="33" cm="1">
        <f t="array" ref="J202">IFERROR(-_xlfn.IFS(OR(H202="y",H202="Y"),F202,AND(H202&lt;&gt;0,ISNUMBER(H202)),H202,G202&lt;&gt;0,G202),0)</f>
        <v>0</v>
      </c>
      <c r="K202" s="29" t="str">
        <f t="shared" si="12"/>
        <v/>
      </c>
      <c r="L202" s="45" t="str">
        <f>IF(C202&lt;&gt;"",_xlfn.XLOOKUP(TEXT(C202,"0"),TEXT(CC!$C$3:$C$1000,"0"),CC!$G$3:$G$1000,""),"")</f>
        <v/>
      </c>
    </row>
    <row r="203" spans="7:12" x14ac:dyDescent="0.25">
      <c r="G203" s="58">
        <f>IFERROR(SUMPRODUCT((TEXT(CC!$C$3:$C$1000,"0")=TEXT(C203,"0"))*IFERROR(CC!$E$3:$E$1000+0,0)),0)</f>
      </c>
      <c r="H203" s="44"/>
      <c r="I203" s="23" t="str">
        <f t="shared" si="11"/>
        <v/>
      </c>
      <c r="J203" s="33" cm="1">
        <f t="array" ref="J203">IFERROR(-_xlfn.IFS(OR(H203="y",H203="Y"),F203,AND(H203&lt;&gt;0,ISNUMBER(H203)),H203,G203&lt;&gt;0,G203),0)</f>
        <v>0</v>
      </c>
      <c r="K203" s="29" t="str">
        <f t="shared" si="12"/>
        <v/>
      </c>
      <c r="L203" s="45" t="str">
        <f>IF(C203&lt;&gt;"",_xlfn.XLOOKUP(TEXT(C203,"0"),TEXT(CC!$C$3:$C$1000,"0"),CC!$G$3:$G$1000,""),"")</f>
        <v/>
      </c>
    </row>
    <row r="204" spans="7:12" x14ac:dyDescent="0.25">
      <c r="G204" s="58">
        <f>IFERROR(SUMPRODUCT((TEXT(CC!$C$3:$C$1000,"0")=TEXT(C204,"0"))*IFERROR(CC!$E$3:$E$1000+0,0)),0)</f>
      </c>
      <c r="H204" s="44"/>
      <c r="I204" s="23" t="str">
        <f t="shared" si="11"/>
        <v/>
      </c>
      <c r="J204" s="33" cm="1">
        <f t="array" ref="J204">IFERROR(-_xlfn.IFS(OR(H204="y",H204="Y"),F204,AND(H204&lt;&gt;0,ISNUMBER(H204)),H204,G204&lt;&gt;0,G204),0)</f>
        <v>0</v>
      </c>
      <c r="K204" s="29" t="str">
        <f t="shared" si="12"/>
        <v/>
      </c>
      <c r="L204" s="45" t="str">
        <f>IF(C204&lt;&gt;"",_xlfn.XLOOKUP(TEXT(C204,"0"),TEXT(CC!$C$3:$C$1000,"0"),CC!$G$3:$G$1000,""),"")</f>
        <v/>
      </c>
    </row>
    <row r="205" spans="7:12" x14ac:dyDescent="0.25">
      <c r="G205" s="58">
        <f>IFERROR(SUMPRODUCT((TEXT(CC!$C$3:$C$1000,"0")=TEXT(C205,"0"))*IFERROR(CC!$E$3:$E$1000+0,0)),0)</f>
      </c>
      <c r="H205" s="44"/>
      <c r="I205" s="23" t="str">
        <f t="shared" si="11"/>
        <v/>
      </c>
      <c r="J205" s="33" cm="1">
        <f t="array" ref="J205">IFERROR(-_xlfn.IFS(OR(H205="y",H205="Y"),F205,AND(H205&lt;&gt;0,ISNUMBER(H205)),H205,G205&lt;&gt;0,G205),0)</f>
        <v>0</v>
      </c>
      <c r="K205" s="29" t="str">
        <f t="shared" si="12"/>
        <v/>
      </c>
      <c r="L205" s="45" t="str">
        <f>IF(C205&lt;&gt;"",_xlfn.XLOOKUP(TEXT(C205,"0"),TEXT(CC!$C$3:$C$1000,"0"),CC!$G$3:$G$1000,""),"")</f>
        <v/>
      </c>
    </row>
    <row r="206" spans="7:12" x14ac:dyDescent="0.25">
      <c r="G206" s="58">
        <f>IFERROR(SUMPRODUCT((TEXT(CC!$C$3:$C$1000,"0")=TEXT(C206,"0"))*IFERROR(CC!$E$3:$E$1000+0,0)),0)</f>
      </c>
      <c r="H206" s="44"/>
      <c r="I206" s="23" t="str">
        <f t="shared" si="11"/>
        <v/>
      </c>
      <c r="J206" s="33" cm="1">
        <f t="array" ref="J206">IFERROR(-_xlfn.IFS(OR(H206="y",H206="Y"),F206,AND(H206&lt;&gt;0,ISNUMBER(H206)),H206,G206&lt;&gt;0,G206),0)</f>
        <v>0</v>
      </c>
      <c r="K206" s="29" t="str">
        <f t="shared" si="12"/>
        <v/>
      </c>
      <c r="L206" s="45" t="str">
        <f>IF(C206&lt;&gt;"",_xlfn.XLOOKUP(TEXT(C206,"0"),TEXT(CC!$C$3:$C$1000,"0"),CC!$G$3:$G$1000,""),"")</f>
        <v/>
      </c>
    </row>
    <row r="207" spans="7:12" x14ac:dyDescent="0.25">
      <c r="G207" s="58">
        <f>IFERROR(SUMPRODUCT((TEXT(CC!$C$3:$C$1000,"0")=TEXT(C207,"0"))*IFERROR(CC!$E$3:$E$1000+0,0)),0)</f>
      </c>
      <c r="H207" s="44"/>
      <c r="I207" s="23" t="str">
        <f t="shared" ref="I207:I270" si="13">IF(J207&lt;&gt;0,"531011","")</f>
        <v/>
      </c>
      <c r="J207" s="33" cm="1">
        <f t="array" ref="J207">IFERROR(-_xlfn.IFS(OR(H207="y",H207="Y"),F207,AND(H207&lt;&gt;0,ISNUMBER(H207)),H207,G207&lt;&gt;0,G207),0)</f>
        <v>0</v>
      </c>
      <c r="K207" s="29" t="str">
        <f t="shared" si="12"/>
        <v/>
      </c>
      <c r="L207" s="45" t="str">
        <f>IF(C207&lt;&gt;"",_xlfn.XLOOKUP(TEXT(C207,"0"),TEXT(CC!$C$3:$C$1000,"0"),CC!$G$3:$G$1000,""),"")</f>
        <v/>
      </c>
    </row>
    <row r="208" spans="7:12" x14ac:dyDescent="0.25">
      <c r="G208" s="58">
        <f>IFERROR(SUMPRODUCT((TEXT(CC!$C$3:$C$1000,"0")=TEXT(C208,"0"))*IFERROR(CC!$E$3:$E$1000+0,0)),0)</f>
      </c>
      <c r="H208" s="44"/>
      <c r="I208" s="23" t="str">
        <f t="shared" si="13"/>
        <v/>
      </c>
      <c r="J208" s="33" cm="1">
        <f t="array" ref="J208">IFERROR(-_xlfn.IFS(OR(H208="y",H208="Y"),F208,AND(H208&lt;&gt;0,ISNUMBER(H208)),H208,G208&lt;&gt;0,G208),0)</f>
        <v>0</v>
      </c>
      <c r="K208" s="29" t="str">
        <f t="shared" ref="K208:K271" si="14">IF(J208&lt;&gt;0,C208,"")</f>
        <v/>
      </c>
      <c r="L208" s="45" t="str">
        <f>IF(C208&lt;&gt;"",_xlfn.XLOOKUP(TEXT(C208,"0"),TEXT(CC!$C$3:$C$1000,"0"),CC!$G$3:$G$1000,""),"")</f>
        <v/>
      </c>
    </row>
    <row r="209" spans="7:12" x14ac:dyDescent="0.25">
      <c r="G209" s="58">
        <f>IFERROR(SUMPRODUCT((TEXT(CC!$C$3:$C$1000,"0")=TEXT(C209,"0"))*IFERROR(CC!$E$3:$E$1000+0,0)),0)</f>
      </c>
      <c r="H209" s="44"/>
      <c r="I209" s="23" t="str">
        <f t="shared" si="13"/>
        <v/>
      </c>
      <c r="J209" s="33" cm="1">
        <f t="array" ref="J209">IFERROR(-_xlfn.IFS(OR(H209="y",H209="Y"),F209,AND(H209&lt;&gt;0,ISNUMBER(H209)),H209,G209&lt;&gt;0,G209),0)</f>
        <v>0</v>
      </c>
      <c r="K209" s="29" t="str">
        <f t="shared" si="14"/>
        <v/>
      </c>
      <c r="L209" s="45" t="str">
        <f>IF(C209&lt;&gt;"",_xlfn.XLOOKUP(TEXT(C209,"0"),TEXT(CC!$C$3:$C$1000,"0"),CC!$G$3:$G$1000,""),"")</f>
        <v/>
      </c>
    </row>
    <row r="210" spans="7:12" x14ac:dyDescent="0.25">
      <c r="G210" s="58">
        <f>IFERROR(SUMPRODUCT((TEXT(CC!$C$3:$C$1000,"0")=TEXT(C210,"0"))*IFERROR(CC!$E$3:$E$1000+0,0)),0)</f>
      </c>
      <c r="H210" s="44"/>
      <c r="I210" s="23" t="str">
        <f t="shared" si="13"/>
        <v/>
      </c>
      <c r="J210" s="33" cm="1">
        <f t="array" ref="J210">IFERROR(-_xlfn.IFS(OR(H210="y",H210="Y"),F210,AND(H210&lt;&gt;0,ISNUMBER(H210)),H210,G210&lt;&gt;0,G210),0)</f>
        <v>0</v>
      </c>
      <c r="K210" s="29" t="str">
        <f t="shared" si="14"/>
        <v/>
      </c>
      <c r="L210" s="45" t="str">
        <f>IF(C210&lt;&gt;"",_xlfn.XLOOKUP(TEXT(C210,"0"),TEXT(CC!$C$3:$C$1000,"0"),CC!$G$3:$G$1000,""),"")</f>
        <v/>
      </c>
    </row>
    <row r="211" spans="7:12" x14ac:dyDescent="0.25">
      <c r="G211" s="58">
        <f>IFERROR(SUMPRODUCT((TEXT(CC!$C$3:$C$1000,"0")=TEXT(C211,"0"))*IFERROR(CC!$E$3:$E$1000+0,0)),0)</f>
      </c>
      <c r="H211" s="44"/>
      <c r="I211" s="23" t="str">
        <f t="shared" si="13"/>
        <v/>
      </c>
      <c r="J211" s="33" cm="1">
        <f t="array" ref="J211">IFERROR(-_xlfn.IFS(OR(H211="y",H211="Y"),F211,AND(H211&lt;&gt;0,ISNUMBER(H211)),H211,G211&lt;&gt;0,G211),0)</f>
        <v>0</v>
      </c>
      <c r="K211" s="29" t="str">
        <f t="shared" si="14"/>
        <v/>
      </c>
      <c r="L211" s="45" t="str">
        <f>IF(C211&lt;&gt;"",_xlfn.XLOOKUP(TEXT(C211,"0"),TEXT(CC!$C$3:$C$1000,"0"),CC!$G$3:$G$1000,""),"")</f>
        <v/>
      </c>
    </row>
    <row r="212" spans="7:12" x14ac:dyDescent="0.25">
      <c r="G212" s="58">
        <f>IFERROR(SUMPRODUCT((TEXT(CC!$C$3:$C$1000,"0")=TEXT(C212,"0"))*IFERROR(CC!$E$3:$E$1000+0,0)),0)</f>
      </c>
      <c r="H212" s="44"/>
      <c r="I212" s="23" t="str">
        <f t="shared" si="13"/>
        <v/>
      </c>
      <c r="J212" s="33" cm="1">
        <f t="array" ref="J212">IFERROR(-_xlfn.IFS(OR(H212="y",H212="Y"),F212,AND(H212&lt;&gt;0,ISNUMBER(H212)),H212,G212&lt;&gt;0,G212),0)</f>
        <v>0</v>
      </c>
      <c r="K212" s="29" t="str">
        <f t="shared" si="14"/>
        <v/>
      </c>
      <c r="L212" s="45" t="str">
        <f>IF(C212&lt;&gt;"",_xlfn.XLOOKUP(TEXT(C212,"0"),TEXT(CC!$C$3:$C$1000,"0"),CC!$G$3:$G$1000,""),"")</f>
        <v/>
      </c>
    </row>
    <row r="213" spans="7:12" x14ac:dyDescent="0.25">
      <c r="G213" s="58">
        <f>IFERROR(SUMPRODUCT((TEXT(CC!$C$3:$C$1000,"0")=TEXT(C213,"0"))*IFERROR(CC!$E$3:$E$1000+0,0)),0)</f>
      </c>
      <c r="H213" s="44"/>
      <c r="I213" s="23" t="str">
        <f t="shared" si="13"/>
        <v/>
      </c>
      <c r="J213" s="33" cm="1">
        <f t="array" ref="J213">IFERROR(-_xlfn.IFS(OR(H213="y",H213="Y"),F213,AND(H213&lt;&gt;0,ISNUMBER(H213)),H213,G213&lt;&gt;0,G213),0)</f>
        <v>0</v>
      </c>
      <c r="K213" s="29" t="str">
        <f t="shared" si="14"/>
        <v/>
      </c>
      <c r="L213" s="45" t="str">
        <f>IF(C213&lt;&gt;"",_xlfn.XLOOKUP(TEXT(C213,"0"),TEXT(CC!$C$3:$C$1000,"0"),CC!$G$3:$G$1000,""),"")</f>
        <v/>
      </c>
    </row>
    <row r="214" spans="7:12" x14ac:dyDescent="0.25">
      <c r="G214" s="58">
        <f>IFERROR(SUMPRODUCT((TEXT(CC!$C$3:$C$1000,"0")=TEXT(C214,"0"))*IFERROR(CC!$E$3:$E$1000+0,0)),0)</f>
      </c>
      <c r="H214" s="44"/>
      <c r="I214" s="23" t="str">
        <f t="shared" si="13"/>
        <v/>
      </c>
      <c r="J214" s="33" cm="1">
        <f t="array" ref="J214">IFERROR(-_xlfn.IFS(OR(H214="y",H214="Y"),F214,AND(H214&lt;&gt;0,ISNUMBER(H214)),H214,G214&lt;&gt;0,G214),0)</f>
        <v>0</v>
      </c>
      <c r="K214" s="29" t="str">
        <f t="shared" si="14"/>
        <v/>
      </c>
      <c r="L214" s="45" t="str">
        <f>IF(C214&lt;&gt;"",_xlfn.XLOOKUP(TEXT(C214,"0"),TEXT(CC!$C$3:$C$1000,"0"),CC!$G$3:$G$1000,""),"")</f>
        <v/>
      </c>
    </row>
    <row r="215" spans="7:12" x14ac:dyDescent="0.25">
      <c r="G215" s="58">
        <f>IFERROR(SUMPRODUCT((TEXT(CC!$C$3:$C$1000,"0")=TEXT(C215,"0"))*IFERROR(CC!$E$3:$E$1000+0,0)),0)</f>
      </c>
      <c r="H215" s="44"/>
      <c r="I215" s="23" t="str">
        <f t="shared" si="13"/>
        <v/>
      </c>
      <c r="J215" s="33" cm="1">
        <f t="array" ref="J215">IFERROR(-_xlfn.IFS(OR(H215="y",H215="Y"),F215,AND(H215&lt;&gt;0,ISNUMBER(H215)),H215,G215&lt;&gt;0,G215),0)</f>
        <v>0</v>
      </c>
      <c r="K215" s="29" t="str">
        <f t="shared" si="14"/>
        <v/>
      </c>
      <c r="L215" s="45" t="str">
        <f>IF(C215&lt;&gt;"",_xlfn.XLOOKUP(TEXT(C215,"0"),TEXT(CC!$C$3:$C$1000,"0"),CC!$G$3:$G$1000,""),"")</f>
        <v/>
      </c>
    </row>
    <row r="216" spans="7:12" x14ac:dyDescent="0.25">
      <c r="G216" s="58">
        <f>IFERROR(SUMPRODUCT((TEXT(CC!$C$3:$C$1000,"0")=TEXT(C216,"0"))*IFERROR(CC!$E$3:$E$1000+0,0)),0)</f>
      </c>
      <c r="H216" s="44"/>
      <c r="I216" s="23" t="str">
        <f t="shared" si="13"/>
        <v/>
      </c>
      <c r="J216" s="33" cm="1">
        <f t="array" ref="J216">IFERROR(-_xlfn.IFS(OR(H216="y",H216="Y"),F216,AND(H216&lt;&gt;0,ISNUMBER(H216)),H216,G216&lt;&gt;0,G216),0)</f>
        <v>0</v>
      </c>
      <c r="K216" s="29" t="str">
        <f t="shared" si="14"/>
        <v/>
      </c>
      <c r="L216" s="45" t="str">
        <f>IF(C216&lt;&gt;"",_xlfn.XLOOKUP(TEXT(C216,"0"),TEXT(CC!$C$3:$C$1000,"0"),CC!$G$3:$G$1000,""),"")</f>
        <v/>
      </c>
    </row>
    <row r="217" spans="7:12" x14ac:dyDescent="0.25">
      <c r="G217" s="58">
        <f>IFERROR(SUMPRODUCT((TEXT(CC!$C$3:$C$1000,"0")=TEXT(C217,"0"))*IFERROR(CC!$E$3:$E$1000+0,0)),0)</f>
      </c>
      <c r="H217" s="44"/>
      <c r="I217" s="23" t="str">
        <f t="shared" si="13"/>
        <v/>
      </c>
      <c r="J217" s="33" cm="1">
        <f t="array" ref="J217">IFERROR(-_xlfn.IFS(OR(H217="y",H217="Y"),F217,AND(H217&lt;&gt;0,ISNUMBER(H217)),H217,G217&lt;&gt;0,G217),0)</f>
        <v>0</v>
      </c>
      <c r="K217" s="29" t="str">
        <f t="shared" si="14"/>
        <v/>
      </c>
      <c r="L217" s="45" t="str">
        <f>IF(C217&lt;&gt;"",_xlfn.XLOOKUP(TEXT(C217,"0"),TEXT(CC!$C$3:$C$1000,"0"),CC!$G$3:$G$1000,""),"")</f>
        <v/>
      </c>
    </row>
    <row r="218" spans="7:12" x14ac:dyDescent="0.25">
      <c r="G218" s="58">
        <f>IFERROR(SUMPRODUCT((TEXT(CC!$C$3:$C$1000,"0")=TEXT(C218,"0"))*IFERROR(CC!$E$3:$E$1000+0,0)),0)</f>
      </c>
      <c r="H218" s="44"/>
      <c r="I218" s="23" t="str">
        <f t="shared" si="13"/>
        <v/>
      </c>
      <c r="J218" s="33" cm="1">
        <f t="array" ref="J218">IFERROR(-_xlfn.IFS(OR(H218="y",H218="Y"),F218,AND(H218&lt;&gt;0,ISNUMBER(H218)),H218,G218&lt;&gt;0,G218),0)</f>
        <v>0</v>
      </c>
      <c r="K218" s="29" t="str">
        <f t="shared" si="14"/>
        <v/>
      </c>
      <c r="L218" s="45" t="str">
        <f>IF(C218&lt;&gt;"",_xlfn.XLOOKUP(TEXT(C218,"0"),TEXT(CC!$C$3:$C$1000,"0"),CC!$G$3:$G$1000,""),"")</f>
        <v/>
      </c>
    </row>
    <row r="219" spans="7:12" x14ac:dyDescent="0.25">
      <c r="G219" s="58">
        <f>IFERROR(SUMPRODUCT((TEXT(CC!$C$3:$C$1000,"0")=TEXT(C219,"0"))*IFERROR(CC!$E$3:$E$1000+0,0)),0)</f>
      </c>
      <c r="H219" s="44"/>
      <c r="I219" s="23" t="str">
        <f t="shared" si="13"/>
        <v/>
      </c>
      <c r="J219" s="33" cm="1">
        <f t="array" ref="J219">IFERROR(-_xlfn.IFS(OR(H219="y",H219="Y"),F219,AND(H219&lt;&gt;0,ISNUMBER(H219)),H219,G219&lt;&gt;0,G219),0)</f>
        <v>0</v>
      </c>
      <c r="K219" s="29" t="str">
        <f t="shared" si="14"/>
        <v/>
      </c>
      <c r="L219" s="45" t="str">
        <f>IF(C219&lt;&gt;"",_xlfn.XLOOKUP(TEXT(C219,"0"),TEXT(CC!$C$3:$C$1000,"0"),CC!$G$3:$G$1000,""),"")</f>
        <v/>
      </c>
    </row>
    <row r="220" spans="7:12" x14ac:dyDescent="0.25">
      <c r="G220" s="58">
        <f>IFERROR(SUMPRODUCT((TEXT(CC!$C$3:$C$1000,"0")=TEXT(C220,"0"))*IFERROR(CC!$E$3:$E$1000+0,0)),0)</f>
      </c>
      <c r="H220" s="44"/>
      <c r="I220" s="23" t="str">
        <f t="shared" si="13"/>
        <v/>
      </c>
      <c r="J220" s="33" cm="1">
        <f t="array" ref="J220">IFERROR(-_xlfn.IFS(OR(H220="y",H220="Y"),F220,AND(H220&lt;&gt;0,ISNUMBER(H220)),H220,G220&lt;&gt;0,G220),0)</f>
        <v>0</v>
      </c>
      <c r="K220" s="29" t="str">
        <f t="shared" si="14"/>
        <v/>
      </c>
      <c r="L220" s="45" t="str">
        <f>IF(C220&lt;&gt;"",_xlfn.XLOOKUP(TEXT(C220,"0"),TEXT(CC!$C$3:$C$1000,"0"),CC!$G$3:$G$1000,""),"")</f>
        <v/>
      </c>
    </row>
    <row r="221" spans="7:12" x14ac:dyDescent="0.25">
      <c r="G221" s="58">
        <f>IFERROR(SUMPRODUCT((TEXT(CC!$C$3:$C$1000,"0")=TEXT(C221,"0"))*IFERROR(CC!$E$3:$E$1000+0,0)),0)</f>
      </c>
      <c r="H221" s="44"/>
      <c r="I221" s="23" t="str">
        <f t="shared" si="13"/>
        <v/>
      </c>
      <c r="J221" s="33" cm="1">
        <f t="array" ref="J221">IFERROR(-_xlfn.IFS(OR(H221="y",H221="Y"),F221,AND(H221&lt;&gt;0,ISNUMBER(H221)),H221,G221&lt;&gt;0,G221),0)</f>
        <v>0</v>
      </c>
      <c r="K221" s="29" t="str">
        <f t="shared" si="14"/>
        <v/>
      </c>
      <c r="L221" s="45" t="str">
        <f>IF(C221&lt;&gt;"",_xlfn.XLOOKUP(TEXT(C221,"0"),TEXT(CC!$C$3:$C$1000,"0"),CC!$G$3:$G$1000,""),"")</f>
        <v/>
      </c>
    </row>
    <row r="222" spans="7:12" x14ac:dyDescent="0.25">
      <c r="G222" s="58">
        <f>IFERROR(SUMPRODUCT((TEXT(CC!$C$3:$C$1000,"0")=TEXT(C222,"0"))*IFERROR(CC!$E$3:$E$1000+0,0)),0)</f>
      </c>
      <c r="H222" s="44"/>
      <c r="I222" s="23" t="str">
        <f t="shared" si="13"/>
        <v/>
      </c>
      <c r="J222" s="33" cm="1">
        <f t="array" ref="J222">IFERROR(-_xlfn.IFS(OR(H222="y",H222="Y"),F222,AND(H222&lt;&gt;0,ISNUMBER(H222)),H222,G222&lt;&gt;0,G222),0)</f>
        <v>0</v>
      </c>
      <c r="K222" s="29" t="str">
        <f t="shared" si="14"/>
        <v/>
      </c>
      <c r="L222" s="45" t="str">
        <f>IF(C222&lt;&gt;"",_xlfn.XLOOKUP(TEXT(C222,"0"),TEXT(CC!$C$3:$C$1000,"0"),CC!$G$3:$G$1000,""),"")</f>
        <v/>
      </c>
    </row>
    <row r="223" spans="7:12" x14ac:dyDescent="0.25">
      <c r="G223" s="58">
        <f>IFERROR(SUMPRODUCT((TEXT(CC!$C$3:$C$1000,"0")=TEXT(C223,"0"))*IFERROR(CC!$E$3:$E$1000+0,0)),0)</f>
      </c>
      <c r="H223" s="44"/>
      <c r="I223" s="23" t="str">
        <f t="shared" si="13"/>
        <v/>
      </c>
      <c r="J223" s="33" cm="1">
        <f t="array" ref="J223">IFERROR(-_xlfn.IFS(OR(H223="y",H223="Y"),F223,AND(H223&lt;&gt;0,ISNUMBER(H223)),H223,G223&lt;&gt;0,G223),0)</f>
        <v>0</v>
      </c>
      <c r="K223" s="29" t="str">
        <f t="shared" si="14"/>
        <v/>
      </c>
      <c r="L223" s="45" t="str">
        <f>IF(C223&lt;&gt;"",_xlfn.XLOOKUP(TEXT(C223,"0"),TEXT(CC!$C$3:$C$1000,"0"),CC!$G$3:$G$1000,""),"")</f>
        <v/>
      </c>
    </row>
    <row r="224" spans="7:12" x14ac:dyDescent="0.25">
      <c r="G224" s="58">
        <f>IFERROR(SUMPRODUCT((TEXT(CC!$C$3:$C$1000,"0")=TEXT(C224,"0"))*IFERROR(CC!$E$3:$E$1000+0,0)),0)</f>
      </c>
      <c r="H224" s="44"/>
      <c r="I224" s="23" t="str">
        <f t="shared" si="13"/>
        <v/>
      </c>
      <c r="J224" s="33" cm="1">
        <f t="array" ref="J224">IFERROR(-_xlfn.IFS(OR(H224="y",H224="Y"),F224,AND(H224&lt;&gt;0,ISNUMBER(H224)),H224,G224&lt;&gt;0,G224),0)</f>
        <v>0</v>
      </c>
      <c r="K224" s="29" t="str">
        <f t="shared" si="14"/>
        <v/>
      </c>
      <c r="L224" s="45" t="str">
        <f>IF(C224&lt;&gt;"",_xlfn.XLOOKUP(TEXT(C224,"0"),TEXT(CC!$C$3:$C$1000,"0"),CC!$G$3:$G$1000,""),"")</f>
        <v/>
      </c>
    </row>
    <row r="225" spans="7:12" x14ac:dyDescent="0.25">
      <c r="G225" s="58">
        <f>IFERROR(SUMPRODUCT((TEXT(CC!$C$3:$C$1000,"0")=TEXT(C225,"0"))*IFERROR(CC!$E$3:$E$1000+0,0)),0)</f>
      </c>
      <c r="H225" s="44"/>
      <c r="I225" s="23" t="str">
        <f t="shared" si="13"/>
        <v/>
      </c>
      <c r="J225" s="33" cm="1">
        <f t="array" ref="J225">IFERROR(-_xlfn.IFS(OR(H225="y",H225="Y"),F225,AND(H225&lt;&gt;0,ISNUMBER(H225)),H225,G225&lt;&gt;0,G225),0)</f>
        <v>0</v>
      </c>
      <c r="K225" s="29" t="str">
        <f t="shared" si="14"/>
        <v/>
      </c>
      <c r="L225" s="45" t="str">
        <f>IF(C225&lt;&gt;"",_xlfn.XLOOKUP(TEXT(C225,"0"),TEXT(CC!$C$3:$C$1000,"0"),CC!$G$3:$G$1000,""),"")</f>
        <v/>
      </c>
    </row>
    <row r="226" spans="7:12" x14ac:dyDescent="0.25">
      <c r="G226" s="58">
        <f>IFERROR(SUMPRODUCT((TEXT(CC!$C$3:$C$1000,"0")=TEXT(C226,"0"))*IFERROR(CC!$E$3:$E$1000+0,0)),0)</f>
      </c>
      <c r="H226" s="44"/>
      <c r="I226" s="23" t="str">
        <f t="shared" si="13"/>
        <v/>
      </c>
      <c r="J226" s="33" cm="1">
        <f t="array" ref="J226">IFERROR(-_xlfn.IFS(OR(H226="y",H226="Y"),F226,AND(H226&lt;&gt;0,ISNUMBER(H226)),H226,G226&lt;&gt;0,G226),0)</f>
        <v>0</v>
      </c>
      <c r="K226" s="29" t="str">
        <f t="shared" si="14"/>
        <v/>
      </c>
      <c r="L226" s="45" t="str">
        <f>IF(C226&lt;&gt;"",_xlfn.XLOOKUP(TEXT(C226,"0"),TEXT(CC!$C$3:$C$1000,"0"),CC!$G$3:$G$1000,""),"")</f>
        <v/>
      </c>
    </row>
    <row r="227" spans="7:12" x14ac:dyDescent="0.25">
      <c r="G227" s="58">
        <f>IFERROR(SUMPRODUCT((TEXT(CC!$C$3:$C$1000,"0")=TEXT(C227,"0"))*IFERROR(CC!$E$3:$E$1000+0,0)),0)</f>
      </c>
      <c r="H227" s="44"/>
      <c r="I227" s="23" t="str">
        <f t="shared" si="13"/>
        <v/>
      </c>
      <c r="J227" s="33" cm="1">
        <f t="array" ref="J227">IFERROR(-_xlfn.IFS(OR(H227="y",H227="Y"),F227,AND(H227&lt;&gt;0,ISNUMBER(H227)),H227,G227&lt;&gt;0,G227),0)</f>
        <v>0</v>
      </c>
      <c r="K227" s="29" t="str">
        <f t="shared" si="14"/>
        <v/>
      </c>
      <c r="L227" s="45" t="str">
        <f>IF(C227&lt;&gt;"",_xlfn.XLOOKUP(TEXT(C227,"0"),TEXT(CC!$C$3:$C$1000,"0"),CC!$G$3:$G$1000,""),"")</f>
        <v/>
      </c>
    </row>
    <row r="228" spans="7:12" x14ac:dyDescent="0.25">
      <c r="G228" s="58">
        <f>IFERROR(SUMPRODUCT((TEXT(CC!$C$3:$C$1000,"0")=TEXT(C228,"0"))*IFERROR(CC!$E$3:$E$1000+0,0)),0)</f>
      </c>
      <c r="H228" s="44"/>
      <c r="I228" s="23" t="str">
        <f t="shared" si="13"/>
        <v/>
      </c>
      <c r="J228" s="33" cm="1">
        <f t="array" ref="J228">IFERROR(-_xlfn.IFS(OR(H228="y",H228="Y"),F228,AND(H228&lt;&gt;0,ISNUMBER(H228)),H228,G228&lt;&gt;0,G228),0)</f>
        <v>0</v>
      </c>
      <c r="K228" s="29" t="str">
        <f t="shared" si="14"/>
        <v/>
      </c>
      <c r="L228" s="45" t="str">
        <f>IF(C228&lt;&gt;"",_xlfn.XLOOKUP(TEXT(C228,"0"),TEXT(CC!$C$3:$C$1000,"0"),CC!$G$3:$G$1000,""),"")</f>
        <v/>
      </c>
    </row>
    <row r="229" spans="7:12" x14ac:dyDescent="0.25">
      <c r="G229" s="58">
        <f>IFERROR(SUMPRODUCT((TEXT(CC!$C$3:$C$1000,"0")=TEXT(C229,"0"))*IFERROR(CC!$E$3:$E$1000+0,0)),0)</f>
      </c>
      <c r="H229" s="44"/>
      <c r="I229" s="23" t="str">
        <f t="shared" si="13"/>
        <v/>
      </c>
      <c r="J229" s="33" cm="1">
        <f t="array" ref="J229">IFERROR(-_xlfn.IFS(OR(H229="y",H229="Y"),F229,AND(H229&lt;&gt;0,ISNUMBER(H229)),H229,G229&lt;&gt;0,G229),0)</f>
        <v>0</v>
      </c>
      <c r="K229" s="29" t="str">
        <f t="shared" si="14"/>
        <v/>
      </c>
      <c r="L229" s="45" t="str">
        <f>IF(C229&lt;&gt;"",_xlfn.XLOOKUP(TEXT(C229,"0"),TEXT(CC!$C$3:$C$1000,"0"),CC!$G$3:$G$1000,""),"")</f>
        <v/>
      </c>
    </row>
    <row r="230" spans="7:12" x14ac:dyDescent="0.25">
      <c r="G230" s="58">
        <f>IFERROR(SUMPRODUCT((TEXT(CC!$C$3:$C$1000,"0")=TEXT(C230,"0"))*IFERROR(CC!$E$3:$E$1000+0,0)),0)</f>
      </c>
      <c r="H230" s="44"/>
      <c r="I230" s="23" t="str">
        <f t="shared" si="13"/>
        <v/>
      </c>
      <c r="J230" s="33" cm="1">
        <f t="array" ref="J230">IFERROR(-_xlfn.IFS(OR(H230="y",H230="Y"),F230,AND(H230&lt;&gt;0,ISNUMBER(H230)),H230,G230&lt;&gt;0,G230),0)</f>
        <v>0</v>
      </c>
      <c r="K230" s="29" t="str">
        <f t="shared" si="14"/>
        <v/>
      </c>
      <c r="L230" s="45" t="str">
        <f>IF(C230&lt;&gt;"",_xlfn.XLOOKUP(TEXT(C230,"0"),TEXT(CC!$C$3:$C$1000,"0"),CC!$G$3:$G$1000,""),"")</f>
        <v/>
      </c>
    </row>
    <row r="231" spans="7:12" x14ac:dyDescent="0.25">
      <c r="G231" s="58">
        <f>IFERROR(SUMPRODUCT((TEXT(CC!$C$3:$C$1000,"0")=TEXT(C231,"0"))*IFERROR(CC!$E$3:$E$1000+0,0)),0)</f>
      </c>
      <c r="H231" s="44"/>
      <c r="I231" s="23" t="str">
        <f t="shared" si="13"/>
        <v/>
      </c>
      <c r="J231" s="33" cm="1">
        <f t="array" ref="J231">IFERROR(-_xlfn.IFS(OR(H231="y",H231="Y"),F231,AND(H231&lt;&gt;0,ISNUMBER(H231)),H231,G231&lt;&gt;0,G231),0)</f>
        <v>0</v>
      </c>
      <c r="K231" s="29" t="str">
        <f t="shared" si="14"/>
        <v/>
      </c>
      <c r="L231" s="45" t="str">
        <f>IF(C231&lt;&gt;"",_xlfn.XLOOKUP(TEXT(C231,"0"),TEXT(CC!$C$3:$C$1000,"0"),CC!$G$3:$G$1000,""),"")</f>
        <v/>
      </c>
    </row>
    <row r="232" spans="7:12" x14ac:dyDescent="0.25">
      <c r="G232" s="58">
        <f>IFERROR(SUMPRODUCT((TEXT(CC!$C$3:$C$1000,"0")=TEXT(C232,"0"))*IFERROR(CC!$E$3:$E$1000+0,0)),0)</f>
      </c>
      <c r="H232" s="44"/>
      <c r="I232" s="23" t="str">
        <f t="shared" si="13"/>
        <v/>
      </c>
      <c r="J232" s="33" cm="1">
        <f t="array" ref="J232">IFERROR(-_xlfn.IFS(OR(H232="y",H232="Y"),F232,AND(H232&lt;&gt;0,ISNUMBER(H232)),H232,G232&lt;&gt;0,G232),0)</f>
        <v>0</v>
      </c>
      <c r="K232" s="29" t="str">
        <f t="shared" si="14"/>
        <v/>
      </c>
      <c r="L232" s="45" t="str">
        <f>IF(C232&lt;&gt;"",_xlfn.XLOOKUP(TEXT(C232,"0"),TEXT(CC!$C$3:$C$1000,"0"),CC!$G$3:$G$1000,""),"")</f>
        <v/>
      </c>
    </row>
    <row r="233" spans="7:12" x14ac:dyDescent="0.25">
      <c r="G233" s="58">
        <f>IFERROR(SUMPRODUCT((TEXT(CC!$C$3:$C$1000,"0")=TEXT(C233,"0"))*IFERROR(CC!$E$3:$E$1000+0,0)),0)</f>
      </c>
      <c r="H233" s="44"/>
      <c r="I233" s="23" t="str">
        <f t="shared" si="13"/>
        <v/>
      </c>
      <c r="J233" s="33" cm="1">
        <f t="array" ref="J233">IFERROR(-_xlfn.IFS(OR(H233="y",H233="Y"),F233,AND(H233&lt;&gt;0,ISNUMBER(H233)),H233,G233&lt;&gt;0,G233),0)</f>
        <v>0</v>
      </c>
      <c r="K233" s="29" t="str">
        <f t="shared" si="14"/>
        <v/>
      </c>
      <c r="L233" s="45" t="str">
        <f>IF(C233&lt;&gt;"",_xlfn.XLOOKUP(TEXT(C233,"0"),TEXT(CC!$C$3:$C$1000,"0"),CC!$G$3:$G$1000,""),"")</f>
        <v/>
      </c>
    </row>
    <row r="234" spans="7:12" x14ac:dyDescent="0.25">
      <c r="G234" s="58">
        <f>IFERROR(SUMPRODUCT((TEXT(CC!$C$3:$C$1000,"0")=TEXT(C234,"0"))*IFERROR(CC!$E$3:$E$1000+0,0)),0)</f>
      </c>
      <c r="H234" s="44"/>
      <c r="I234" s="23" t="str">
        <f t="shared" si="13"/>
        <v/>
      </c>
      <c r="J234" s="33" cm="1">
        <f t="array" ref="J234">IFERROR(-_xlfn.IFS(OR(H234="y",H234="Y"),F234,AND(H234&lt;&gt;0,ISNUMBER(H234)),H234,G234&lt;&gt;0,G234),0)</f>
        <v>0</v>
      </c>
      <c r="K234" s="29" t="str">
        <f t="shared" si="14"/>
        <v/>
      </c>
      <c r="L234" s="45" t="str">
        <f>IF(C234&lt;&gt;"",_xlfn.XLOOKUP(TEXT(C234,"0"),TEXT(CC!$C$3:$C$1000,"0"),CC!$G$3:$G$1000,""),"")</f>
        <v/>
      </c>
    </row>
    <row r="235" spans="7:12" x14ac:dyDescent="0.25">
      <c r="G235" s="58">
        <f>IFERROR(SUMPRODUCT((TEXT(CC!$C$3:$C$1000,"0")=TEXT(C235,"0"))*IFERROR(CC!$E$3:$E$1000+0,0)),0)</f>
      </c>
      <c r="H235" s="44"/>
      <c r="I235" s="23" t="str">
        <f t="shared" si="13"/>
        <v/>
      </c>
      <c r="J235" s="33" cm="1">
        <f t="array" ref="J235">IFERROR(-_xlfn.IFS(OR(H235="y",H235="Y"),F235,AND(H235&lt;&gt;0,ISNUMBER(H235)),H235,G235&lt;&gt;0,G235),0)</f>
        <v>0</v>
      </c>
      <c r="K235" s="29" t="str">
        <f t="shared" si="14"/>
        <v/>
      </c>
      <c r="L235" s="45" t="str">
        <f>IF(C235&lt;&gt;"",_xlfn.XLOOKUP(TEXT(C235,"0"),TEXT(CC!$C$3:$C$1000,"0"),CC!$G$3:$G$1000,""),"")</f>
        <v/>
      </c>
    </row>
    <row r="236" spans="7:12" x14ac:dyDescent="0.25">
      <c r="G236" s="58">
        <f>IFERROR(SUMPRODUCT((TEXT(CC!$C$3:$C$1000,"0")=TEXT(C236,"0"))*IFERROR(CC!$E$3:$E$1000+0,0)),0)</f>
      </c>
      <c r="H236" s="44"/>
      <c r="I236" s="23" t="str">
        <f t="shared" si="13"/>
        <v/>
      </c>
      <c r="J236" s="33" cm="1">
        <f t="array" ref="J236">IFERROR(-_xlfn.IFS(OR(H236="y",H236="Y"),F236,AND(H236&lt;&gt;0,ISNUMBER(H236)),H236,G236&lt;&gt;0,G236),0)</f>
        <v>0</v>
      </c>
      <c r="K236" s="29" t="str">
        <f t="shared" si="14"/>
        <v/>
      </c>
      <c r="L236" s="45" t="str">
        <f>IF(C236&lt;&gt;"",_xlfn.XLOOKUP(TEXT(C236,"0"),TEXT(CC!$C$3:$C$1000,"0"),CC!$G$3:$G$1000,""),"")</f>
        <v/>
      </c>
    </row>
    <row r="237" spans="7:12" x14ac:dyDescent="0.25">
      <c r="G237" s="58">
        <f>IFERROR(SUMPRODUCT((TEXT(CC!$C$3:$C$1000,"0")=TEXT(C237,"0"))*IFERROR(CC!$E$3:$E$1000+0,0)),0)</f>
      </c>
      <c r="H237" s="44"/>
      <c r="I237" s="23" t="str">
        <f t="shared" si="13"/>
        <v/>
      </c>
      <c r="J237" s="33" cm="1">
        <f t="array" ref="J237">IFERROR(-_xlfn.IFS(OR(H237="y",H237="Y"),F237,AND(H237&lt;&gt;0,ISNUMBER(H237)),H237,G237&lt;&gt;0,G237),0)</f>
        <v>0</v>
      </c>
      <c r="K237" s="29" t="str">
        <f t="shared" si="14"/>
        <v/>
      </c>
      <c r="L237" s="45" t="str">
        <f>IF(C237&lt;&gt;"",_xlfn.XLOOKUP(TEXT(C237,"0"),TEXT(CC!$C$3:$C$1000,"0"),CC!$G$3:$G$1000,""),"")</f>
        <v/>
      </c>
    </row>
    <row r="238" spans="7:12" x14ac:dyDescent="0.25">
      <c r="G238" s="58">
        <f>IFERROR(SUMPRODUCT((TEXT(CC!$C$3:$C$1000,"0")=TEXT(C238,"0"))*IFERROR(CC!$E$3:$E$1000+0,0)),0)</f>
      </c>
      <c r="H238" s="44"/>
      <c r="I238" s="23" t="str">
        <f t="shared" si="13"/>
        <v/>
      </c>
      <c r="J238" s="33" cm="1">
        <f t="array" ref="J238">IFERROR(-_xlfn.IFS(OR(H238="y",H238="Y"),F238,AND(H238&lt;&gt;0,ISNUMBER(H238)),H238,G238&lt;&gt;0,G238),0)</f>
        <v>0</v>
      </c>
      <c r="K238" s="29" t="str">
        <f t="shared" si="14"/>
        <v/>
      </c>
      <c r="L238" s="45" t="str">
        <f>IF(C238&lt;&gt;"",_xlfn.XLOOKUP(TEXT(C238,"0"),TEXT(CC!$C$3:$C$1000,"0"),CC!$G$3:$G$1000,""),"")</f>
        <v/>
      </c>
    </row>
    <row r="239" spans="7:12" x14ac:dyDescent="0.25">
      <c r="G239" s="58">
        <f>IFERROR(SUMPRODUCT((TEXT(CC!$C$3:$C$1000,"0")=TEXT(C239,"0"))*IFERROR(CC!$E$3:$E$1000+0,0)),0)</f>
      </c>
      <c r="H239" s="44"/>
      <c r="I239" s="23" t="str">
        <f t="shared" si="13"/>
        <v/>
      </c>
      <c r="J239" s="33" cm="1">
        <f t="array" ref="J239">IFERROR(-_xlfn.IFS(OR(H239="y",H239="Y"),F239,AND(H239&lt;&gt;0,ISNUMBER(H239)),H239,G239&lt;&gt;0,G239),0)</f>
        <v>0</v>
      </c>
      <c r="K239" s="29" t="str">
        <f t="shared" si="14"/>
        <v/>
      </c>
      <c r="L239" s="45" t="str">
        <f>IF(C239&lt;&gt;"",_xlfn.XLOOKUP(TEXT(C239,"0"),TEXT(CC!$C$3:$C$1000,"0"),CC!$G$3:$G$1000,""),"")</f>
        <v/>
      </c>
    </row>
    <row r="240" spans="7:12" x14ac:dyDescent="0.25">
      <c r="G240" s="58">
        <f>IFERROR(SUMPRODUCT((TEXT(CC!$C$3:$C$1000,"0")=TEXT(C240,"0"))*IFERROR(CC!$E$3:$E$1000+0,0)),0)</f>
      </c>
      <c r="H240" s="44"/>
      <c r="I240" s="23" t="str">
        <f t="shared" si="13"/>
        <v/>
      </c>
      <c r="J240" s="33" cm="1">
        <f t="array" ref="J240">IFERROR(-_xlfn.IFS(OR(H240="y",H240="Y"),F240,AND(H240&lt;&gt;0,ISNUMBER(H240)),H240,G240&lt;&gt;0,G240),0)</f>
        <v>0</v>
      </c>
      <c r="K240" s="29" t="str">
        <f t="shared" si="14"/>
        <v/>
      </c>
      <c r="L240" s="45" t="str">
        <f>IF(C240&lt;&gt;"",_xlfn.XLOOKUP(TEXT(C240,"0"),TEXT(CC!$C$3:$C$1000,"0"),CC!$G$3:$G$1000,""),"")</f>
        <v/>
      </c>
    </row>
    <row r="241" spans="7:12" x14ac:dyDescent="0.25">
      <c r="G241" s="58">
        <f>IFERROR(SUMPRODUCT((TEXT(CC!$C$3:$C$1000,"0")=TEXT(C241,"0"))*IFERROR(CC!$E$3:$E$1000+0,0)),0)</f>
      </c>
      <c r="H241" s="44"/>
      <c r="I241" s="23" t="str">
        <f t="shared" si="13"/>
        <v/>
      </c>
      <c r="J241" s="33" cm="1">
        <f t="array" ref="J241">IFERROR(-_xlfn.IFS(OR(H241="y",H241="Y"),F241,AND(H241&lt;&gt;0,ISNUMBER(H241)),H241,G241&lt;&gt;0,G241),0)</f>
        <v>0</v>
      </c>
      <c r="K241" s="29" t="str">
        <f t="shared" si="14"/>
        <v/>
      </c>
      <c r="L241" s="45" t="str">
        <f>IF(C241&lt;&gt;"",_xlfn.XLOOKUP(TEXT(C241,"0"),TEXT(CC!$C$3:$C$1000,"0"),CC!$G$3:$G$1000,""),"")</f>
        <v/>
      </c>
    </row>
    <row r="242" spans="7:12" x14ac:dyDescent="0.25">
      <c r="G242" s="58">
        <f>IFERROR(SUMPRODUCT((TEXT(CC!$C$3:$C$1000,"0")=TEXT(C242,"0"))*IFERROR(CC!$E$3:$E$1000+0,0)),0)</f>
      </c>
      <c r="H242" s="44"/>
      <c r="I242" s="23" t="str">
        <f t="shared" si="13"/>
        <v/>
      </c>
      <c r="J242" s="33" cm="1">
        <f t="array" ref="J242">IFERROR(-_xlfn.IFS(OR(H242="y",H242="Y"),F242,AND(H242&lt;&gt;0,ISNUMBER(H242)),H242,G242&lt;&gt;0,G242),0)</f>
        <v>0</v>
      </c>
      <c r="K242" s="29" t="str">
        <f t="shared" si="14"/>
        <v/>
      </c>
      <c r="L242" s="45" t="str">
        <f>IF(C242&lt;&gt;"",_xlfn.XLOOKUP(TEXT(C242,"0"),TEXT(CC!$C$3:$C$1000,"0"),CC!$G$3:$G$1000,""),"")</f>
        <v/>
      </c>
    </row>
    <row r="243" spans="7:12" x14ac:dyDescent="0.25">
      <c r="G243" s="58">
        <f>IFERROR(SUMPRODUCT((TEXT(CC!$C$3:$C$1000,"0")=TEXT(C243,"0"))*IFERROR(CC!$E$3:$E$1000+0,0)),0)</f>
      </c>
      <c r="H243" s="44"/>
      <c r="I243" s="23" t="str">
        <f t="shared" si="13"/>
        <v/>
      </c>
      <c r="J243" s="33" cm="1">
        <f t="array" ref="J243">IFERROR(-_xlfn.IFS(OR(H243="y",H243="Y"),F243,AND(H243&lt;&gt;0,ISNUMBER(H243)),H243,G243&lt;&gt;0,G243),0)</f>
        <v>0</v>
      </c>
      <c r="K243" s="29" t="str">
        <f t="shared" si="14"/>
        <v/>
      </c>
      <c r="L243" s="45" t="str">
        <f>IF(C243&lt;&gt;"",_xlfn.XLOOKUP(TEXT(C243,"0"),TEXT(CC!$C$3:$C$1000,"0"),CC!$G$3:$G$1000,""),"")</f>
        <v/>
      </c>
    </row>
    <row r="244" spans="7:12" x14ac:dyDescent="0.25">
      <c r="G244" s="58">
        <f>IFERROR(SUMPRODUCT((TEXT(CC!$C$3:$C$1000,"0")=TEXT(C244,"0"))*IFERROR(CC!$E$3:$E$1000+0,0)),0)</f>
      </c>
      <c r="H244" s="44"/>
      <c r="I244" s="23" t="str">
        <f t="shared" si="13"/>
        <v/>
      </c>
      <c r="J244" s="33" cm="1">
        <f t="array" ref="J244">IFERROR(-_xlfn.IFS(OR(H244="y",H244="Y"),F244,AND(H244&lt;&gt;0,ISNUMBER(H244)),H244,G244&lt;&gt;0,G244),0)</f>
        <v>0</v>
      </c>
      <c r="K244" s="29" t="str">
        <f t="shared" si="14"/>
        <v/>
      </c>
      <c r="L244" s="45" t="str">
        <f>IF(C244&lt;&gt;"",_xlfn.XLOOKUP(TEXT(C244,"0"),TEXT(CC!$C$3:$C$1000,"0"),CC!$G$3:$G$1000,""),"")</f>
        <v/>
      </c>
    </row>
    <row r="245" spans="7:12" x14ac:dyDescent="0.25">
      <c r="G245" s="58">
        <f>IFERROR(SUMPRODUCT((TEXT(CC!$C$3:$C$1000,"0")=TEXT(C245,"0"))*IFERROR(CC!$E$3:$E$1000+0,0)),0)</f>
      </c>
      <c r="H245" s="44"/>
      <c r="I245" s="23" t="str">
        <f t="shared" si="13"/>
        <v/>
      </c>
      <c r="J245" s="33" cm="1">
        <f t="array" ref="J245">IFERROR(-_xlfn.IFS(OR(H245="y",H245="Y"),F245,AND(H245&lt;&gt;0,ISNUMBER(H245)),H245,G245&lt;&gt;0,G245),0)</f>
        <v>0</v>
      </c>
      <c r="K245" s="29" t="str">
        <f t="shared" si="14"/>
        <v/>
      </c>
      <c r="L245" s="45" t="str">
        <f>IF(C245&lt;&gt;"",_xlfn.XLOOKUP(TEXT(C245,"0"),TEXT(CC!$C$3:$C$1000,"0"),CC!$G$3:$G$1000,""),"")</f>
        <v/>
      </c>
    </row>
    <row r="246" spans="7:12" x14ac:dyDescent="0.25">
      <c r="G246" s="58">
        <f>IFERROR(SUMPRODUCT((TEXT(CC!$C$3:$C$1000,"0")=TEXT(C246,"0"))*IFERROR(CC!$E$3:$E$1000+0,0)),0)</f>
      </c>
      <c r="H246" s="44"/>
      <c r="I246" s="23" t="str">
        <f t="shared" si="13"/>
        <v/>
      </c>
      <c r="J246" s="33" cm="1">
        <f t="array" ref="J246">IFERROR(-_xlfn.IFS(OR(H246="y",H246="Y"),F246,AND(H246&lt;&gt;0,ISNUMBER(H246)),H246,G246&lt;&gt;0,G246),0)</f>
        <v>0</v>
      </c>
      <c r="K246" s="29" t="str">
        <f t="shared" si="14"/>
        <v/>
      </c>
      <c r="L246" s="45" t="str">
        <f>IF(C246&lt;&gt;"",_xlfn.XLOOKUP(TEXT(C246,"0"),TEXT(CC!$C$3:$C$1000,"0"),CC!$G$3:$G$1000,""),"")</f>
        <v/>
      </c>
    </row>
    <row r="247" spans="7:12" x14ac:dyDescent="0.25">
      <c r="G247" s="58">
        <f>IFERROR(SUMPRODUCT((TEXT(CC!$C$3:$C$1000,"0")=TEXT(C247,"0"))*IFERROR(CC!$E$3:$E$1000+0,0)),0)</f>
      </c>
      <c r="H247" s="44"/>
      <c r="I247" s="23" t="str">
        <f t="shared" si="13"/>
        <v/>
      </c>
      <c r="J247" s="33" cm="1">
        <f t="array" ref="J247">IFERROR(-_xlfn.IFS(OR(H247="y",H247="Y"),F247,AND(H247&lt;&gt;0,ISNUMBER(H247)),H247,G247&lt;&gt;0,G247),0)</f>
        <v>0</v>
      </c>
      <c r="K247" s="29" t="str">
        <f t="shared" si="14"/>
        <v/>
      </c>
      <c r="L247" s="45" t="str">
        <f>IF(C247&lt;&gt;"",_xlfn.XLOOKUP(TEXT(C247,"0"),TEXT(CC!$C$3:$C$1000,"0"),CC!$G$3:$G$1000,""),"")</f>
        <v/>
      </c>
    </row>
    <row r="248" spans="7:12" x14ac:dyDescent="0.25">
      <c r="G248" s="58">
        <f>IFERROR(SUMPRODUCT((TEXT(CC!$C$3:$C$1000,"0")=TEXT(C248,"0"))*IFERROR(CC!$E$3:$E$1000+0,0)),0)</f>
      </c>
      <c r="H248" s="44"/>
      <c r="I248" s="23" t="str">
        <f t="shared" si="13"/>
        <v/>
      </c>
      <c r="J248" s="33" cm="1">
        <f t="array" ref="J248">IFERROR(-_xlfn.IFS(OR(H248="y",H248="Y"),F248,AND(H248&lt;&gt;0,ISNUMBER(H248)),H248,G248&lt;&gt;0,G248),0)</f>
        <v>0</v>
      </c>
      <c r="K248" s="29" t="str">
        <f t="shared" si="14"/>
        <v/>
      </c>
      <c r="L248" s="45" t="str">
        <f>IF(C248&lt;&gt;"",_xlfn.XLOOKUP(TEXT(C248,"0"),TEXT(CC!$C$3:$C$1000,"0"),CC!$G$3:$G$1000,""),"")</f>
        <v/>
      </c>
    </row>
    <row r="249" spans="7:12" x14ac:dyDescent="0.25">
      <c r="G249" s="58">
        <f>IFERROR(SUMPRODUCT((TEXT(CC!$C$3:$C$1000,"0")=TEXT(C249,"0"))*IFERROR(CC!$E$3:$E$1000+0,0)),0)</f>
      </c>
      <c r="H249" s="44"/>
      <c r="I249" s="23" t="str">
        <f t="shared" si="13"/>
        <v/>
      </c>
      <c r="J249" s="33" cm="1">
        <f t="array" ref="J249">IFERROR(-_xlfn.IFS(OR(H249="y",H249="Y"),F249,AND(H249&lt;&gt;0,ISNUMBER(H249)),H249,G249&lt;&gt;0,G249),0)</f>
        <v>0</v>
      </c>
      <c r="K249" s="29" t="str">
        <f t="shared" si="14"/>
        <v/>
      </c>
      <c r="L249" s="45" t="str">
        <f>IF(C249&lt;&gt;"",_xlfn.XLOOKUP(TEXT(C249,"0"),TEXT(CC!$C$3:$C$1000,"0"),CC!$G$3:$G$1000,""),"")</f>
        <v/>
      </c>
    </row>
    <row r="250" spans="7:12" x14ac:dyDescent="0.25">
      <c r="G250" s="58">
        <f>IFERROR(SUMPRODUCT((TEXT(CC!$C$3:$C$1000,"0")=TEXT(C250,"0"))*IFERROR(CC!$E$3:$E$1000+0,0)),0)</f>
      </c>
      <c r="H250" s="44"/>
      <c r="I250" s="23" t="str">
        <f t="shared" si="13"/>
        <v/>
      </c>
      <c r="J250" s="33" cm="1">
        <f t="array" ref="J250">IFERROR(-_xlfn.IFS(OR(H250="y",H250="Y"),F250,AND(H250&lt;&gt;0,ISNUMBER(H250)),H250,G250&lt;&gt;0,G250),0)</f>
        <v>0</v>
      </c>
      <c r="K250" s="29" t="str">
        <f t="shared" si="14"/>
        <v/>
      </c>
      <c r="L250" s="45" t="str">
        <f>IF(C250&lt;&gt;"",_xlfn.XLOOKUP(TEXT(C250,"0"),TEXT(CC!$C$3:$C$1000,"0"),CC!$G$3:$G$1000,""),"")</f>
        <v/>
      </c>
    </row>
    <row r="251" spans="7:12" x14ac:dyDescent="0.25">
      <c r="G251" s="58">
        <f>IFERROR(SUMPRODUCT((TEXT(CC!$C$3:$C$1000,"0")=TEXT(C251,"0"))*IFERROR(CC!$E$3:$E$1000+0,0)),0)</f>
      </c>
      <c r="H251" s="44"/>
      <c r="I251" s="23" t="str">
        <f t="shared" si="13"/>
        <v/>
      </c>
      <c r="J251" s="33" cm="1">
        <f t="array" ref="J251">IFERROR(-_xlfn.IFS(OR(H251="y",H251="Y"),F251,AND(H251&lt;&gt;0,ISNUMBER(H251)),H251,G251&lt;&gt;0,G251),0)</f>
        <v>0</v>
      </c>
      <c r="K251" s="29" t="str">
        <f t="shared" si="14"/>
        <v/>
      </c>
      <c r="L251" s="45" t="str">
        <f>IF(C251&lt;&gt;"",_xlfn.XLOOKUP(TEXT(C251,"0"),TEXT(CC!$C$3:$C$1000,"0"),CC!$G$3:$G$1000,""),"")</f>
        <v/>
      </c>
    </row>
    <row r="252" spans="7:12" x14ac:dyDescent="0.25">
      <c r="G252" s="58">
        <f>IFERROR(SUMPRODUCT((TEXT(CC!$C$3:$C$1000,"0")=TEXT(C252,"0"))*IFERROR(CC!$E$3:$E$1000+0,0)),0)</f>
      </c>
      <c r="H252" s="44"/>
      <c r="I252" s="23" t="str">
        <f t="shared" si="13"/>
        <v/>
      </c>
      <c r="J252" s="33" cm="1">
        <f t="array" ref="J252">IFERROR(-_xlfn.IFS(OR(H252="y",H252="Y"),F252,AND(H252&lt;&gt;0,ISNUMBER(H252)),H252,G252&lt;&gt;0,G252),0)</f>
        <v>0</v>
      </c>
      <c r="K252" s="29" t="str">
        <f t="shared" si="14"/>
        <v/>
      </c>
      <c r="L252" s="45" t="str">
        <f>IF(C252&lt;&gt;"",_xlfn.XLOOKUP(TEXT(C252,"0"),TEXT(CC!$C$3:$C$1000,"0"),CC!$G$3:$G$1000,""),"")</f>
        <v/>
      </c>
    </row>
    <row r="253" spans="7:12" x14ac:dyDescent="0.25">
      <c r="G253" s="58">
        <f>IFERROR(SUMPRODUCT((TEXT(CC!$C$3:$C$1000,"0")=TEXT(C253,"0"))*IFERROR(CC!$E$3:$E$1000+0,0)),0)</f>
      </c>
      <c r="H253" s="44"/>
      <c r="I253" s="23" t="str">
        <f t="shared" si="13"/>
        <v/>
      </c>
      <c r="J253" s="33" cm="1">
        <f t="array" ref="J253">IFERROR(-_xlfn.IFS(OR(H253="y",H253="Y"),F253,AND(H253&lt;&gt;0,ISNUMBER(H253)),H253,G253&lt;&gt;0,G253),0)</f>
        <v>0</v>
      </c>
      <c r="K253" s="29" t="str">
        <f t="shared" si="14"/>
        <v/>
      </c>
      <c r="L253" s="45" t="str">
        <f>IF(C253&lt;&gt;"",_xlfn.XLOOKUP(TEXT(C253,"0"),TEXT(CC!$C$3:$C$1000,"0"),CC!$G$3:$G$1000,""),"")</f>
        <v/>
      </c>
    </row>
    <row r="254" spans="7:12" x14ac:dyDescent="0.25">
      <c r="G254" s="58">
        <f>IFERROR(SUMPRODUCT((TEXT(CC!$C$3:$C$1000,"0")=TEXT(C254,"0"))*IFERROR(CC!$E$3:$E$1000+0,0)),0)</f>
      </c>
      <c r="H254" s="44"/>
      <c r="I254" s="23" t="str">
        <f t="shared" si="13"/>
        <v/>
      </c>
      <c r="J254" s="33" cm="1">
        <f t="array" ref="J254">IFERROR(-_xlfn.IFS(OR(H254="y",H254="Y"),F254,AND(H254&lt;&gt;0,ISNUMBER(H254)),H254,G254&lt;&gt;0,G254),0)</f>
        <v>0</v>
      </c>
      <c r="K254" s="29" t="str">
        <f t="shared" si="14"/>
        <v/>
      </c>
      <c r="L254" s="45" t="str">
        <f>IF(C254&lt;&gt;"",_xlfn.XLOOKUP(TEXT(C254,"0"),TEXT(CC!$C$3:$C$1000,"0"),CC!$G$3:$G$1000,""),"")</f>
        <v/>
      </c>
    </row>
    <row r="255" spans="7:12" x14ac:dyDescent="0.25">
      <c r="G255" s="58">
        <f>IFERROR(SUMPRODUCT((TEXT(CC!$C$3:$C$1000,"0")=TEXT(C255,"0"))*IFERROR(CC!$E$3:$E$1000+0,0)),0)</f>
      </c>
      <c r="H255" s="44"/>
      <c r="I255" s="23" t="str">
        <f t="shared" si="13"/>
        <v/>
      </c>
      <c r="J255" s="33" cm="1">
        <f t="array" ref="J255">IFERROR(-_xlfn.IFS(OR(H255="y",H255="Y"),F255,AND(H255&lt;&gt;0,ISNUMBER(H255)),H255,G255&lt;&gt;0,G255),0)</f>
        <v>0</v>
      </c>
      <c r="K255" s="29" t="str">
        <f t="shared" si="14"/>
        <v/>
      </c>
      <c r="L255" s="45" t="str">
        <f>IF(C255&lt;&gt;"",_xlfn.XLOOKUP(TEXT(C255,"0"),TEXT(CC!$C$3:$C$1000,"0"),CC!$G$3:$G$1000,""),"")</f>
        <v/>
      </c>
    </row>
    <row r="256" spans="7:12" x14ac:dyDescent="0.25">
      <c r="G256" s="58">
        <f>IFERROR(SUMPRODUCT((TEXT(CC!$C$3:$C$1000,"0")=TEXT(C256,"0"))*IFERROR(CC!$E$3:$E$1000+0,0)),0)</f>
      </c>
      <c r="H256" s="44"/>
      <c r="I256" s="23" t="str">
        <f t="shared" si="13"/>
        <v/>
      </c>
      <c r="J256" s="33" cm="1">
        <f t="array" ref="J256">IFERROR(-_xlfn.IFS(OR(H256="y",H256="Y"),F256,AND(H256&lt;&gt;0,ISNUMBER(H256)),H256,G256&lt;&gt;0,G256),0)</f>
        <v>0</v>
      </c>
      <c r="K256" s="29" t="str">
        <f t="shared" si="14"/>
        <v/>
      </c>
      <c r="L256" s="45" t="str">
        <f>IF(C256&lt;&gt;"",_xlfn.XLOOKUP(TEXT(C256,"0"),TEXT(CC!$C$3:$C$1000,"0"),CC!$G$3:$G$1000,""),"")</f>
        <v/>
      </c>
    </row>
    <row r="257" spans="7:12" x14ac:dyDescent="0.25">
      <c r="G257" s="58">
        <f>IFERROR(SUMPRODUCT((TEXT(CC!$C$3:$C$1000,"0")=TEXT(C257,"0"))*IFERROR(CC!$E$3:$E$1000+0,0)),0)</f>
      </c>
      <c r="H257" s="44"/>
      <c r="I257" s="23" t="str">
        <f t="shared" si="13"/>
        <v/>
      </c>
      <c r="J257" s="33" cm="1">
        <f t="array" ref="J257">IFERROR(-_xlfn.IFS(OR(H257="y",H257="Y"),F257,AND(H257&lt;&gt;0,ISNUMBER(H257)),H257,G257&lt;&gt;0,G257),0)</f>
        <v>0</v>
      </c>
      <c r="K257" s="29" t="str">
        <f t="shared" si="14"/>
        <v/>
      </c>
      <c r="L257" s="45" t="str">
        <f>IF(C257&lt;&gt;"",_xlfn.XLOOKUP(TEXT(C257,"0"),TEXT(CC!$C$3:$C$1000,"0"),CC!$G$3:$G$1000,""),"")</f>
        <v/>
      </c>
    </row>
    <row r="258" spans="7:12" x14ac:dyDescent="0.25">
      <c r="G258" s="58">
        <f>IFERROR(SUMPRODUCT((TEXT(CC!$C$3:$C$1000,"0")=TEXT(C258,"0"))*IFERROR(CC!$E$3:$E$1000+0,0)),0)</f>
      </c>
      <c r="H258" s="44"/>
      <c r="I258" s="23" t="str">
        <f t="shared" si="13"/>
        <v/>
      </c>
      <c r="J258" s="33" cm="1">
        <f t="array" ref="J258">IFERROR(-_xlfn.IFS(OR(H258="y",H258="Y"),F258,AND(H258&lt;&gt;0,ISNUMBER(H258)),H258,G258&lt;&gt;0,G258),0)</f>
        <v>0</v>
      </c>
      <c r="K258" s="29" t="str">
        <f t="shared" si="14"/>
        <v/>
      </c>
      <c r="L258" s="45" t="str">
        <f>IF(C258&lt;&gt;"",_xlfn.XLOOKUP(TEXT(C258,"0"),TEXT(CC!$C$3:$C$1000,"0"),CC!$G$3:$G$1000,""),"")</f>
        <v/>
      </c>
    </row>
    <row r="259" spans="7:12" x14ac:dyDescent="0.25">
      <c r="G259" s="58">
        <f>IFERROR(SUMPRODUCT((TEXT(CC!$C$3:$C$1000,"0")=TEXT(C259,"0"))*IFERROR(CC!$E$3:$E$1000+0,0)),0)</f>
      </c>
      <c r="H259" s="44"/>
      <c r="I259" s="23" t="str">
        <f t="shared" si="13"/>
        <v/>
      </c>
      <c r="J259" s="33" cm="1">
        <f t="array" ref="J259">IFERROR(-_xlfn.IFS(OR(H259="y",H259="Y"),F259,AND(H259&lt;&gt;0,ISNUMBER(H259)),H259,G259&lt;&gt;0,G259),0)</f>
        <v>0</v>
      </c>
      <c r="K259" s="29" t="str">
        <f t="shared" si="14"/>
        <v/>
      </c>
      <c r="L259" s="45" t="str">
        <f>IF(C259&lt;&gt;"",_xlfn.XLOOKUP(TEXT(C259,"0"),TEXT(CC!$C$3:$C$1000,"0"),CC!$G$3:$G$1000,""),"")</f>
        <v/>
      </c>
    </row>
    <row r="260" spans="7:12" x14ac:dyDescent="0.25">
      <c r="G260" s="58">
        <f>IFERROR(SUMPRODUCT((TEXT(CC!$C$3:$C$1000,"0")=TEXT(C260,"0"))*IFERROR(CC!$E$3:$E$1000+0,0)),0)</f>
      </c>
      <c r="H260" s="44"/>
      <c r="I260" s="23" t="str">
        <f t="shared" si="13"/>
        <v/>
      </c>
      <c r="J260" s="33" cm="1">
        <f t="array" ref="J260">IFERROR(-_xlfn.IFS(OR(H260="y",H260="Y"),F260,AND(H260&lt;&gt;0,ISNUMBER(H260)),H260,G260&lt;&gt;0,G260),0)</f>
        <v>0</v>
      </c>
      <c r="K260" s="29" t="str">
        <f t="shared" si="14"/>
        <v/>
      </c>
      <c r="L260" s="45" t="str">
        <f>IF(C260&lt;&gt;"",_xlfn.XLOOKUP(TEXT(C260,"0"),TEXT(CC!$C$3:$C$1000,"0"),CC!$G$3:$G$1000,""),"")</f>
        <v/>
      </c>
    </row>
    <row r="261" spans="7:12" x14ac:dyDescent="0.25">
      <c r="G261" s="58">
        <f>IFERROR(SUMPRODUCT((TEXT(CC!$C$3:$C$1000,"0")=TEXT(C261,"0"))*IFERROR(CC!$E$3:$E$1000+0,0)),0)</f>
      </c>
      <c r="H261" s="44"/>
      <c r="I261" s="23" t="str">
        <f t="shared" si="13"/>
        <v/>
      </c>
      <c r="J261" s="33" cm="1">
        <f t="array" ref="J261">IFERROR(-_xlfn.IFS(OR(H261="y",H261="Y"),F261,AND(H261&lt;&gt;0,ISNUMBER(H261)),H261,G261&lt;&gt;0,G261),0)</f>
        <v>0</v>
      </c>
      <c r="K261" s="29" t="str">
        <f t="shared" si="14"/>
        <v/>
      </c>
      <c r="L261" s="45" t="str">
        <f>IF(C261&lt;&gt;"",_xlfn.XLOOKUP(TEXT(C261,"0"),TEXT(CC!$C$3:$C$1000,"0"),CC!$G$3:$G$1000,""),"")</f>
        <v/>
      </c>
    </row>
    <row r="262" spans="7:12" x14ac:dyDescent="0.25">
      <c r="G262" s="58">
        <f>IFERROR(SUMPRODUCT((TEXT(CC!$C$3:$C$1000,"0")=TEXT(C262,"0"))*IFERROR(CC!$E$3:$E$1000+0,0)),0)</f>
      </c>
      <c r="H262" s="44"/>
      <c r="I262" s="23" t="str">
        <f t="shared" si="13"/>
        <v/>
      </c>
      <c r="J262" s="33" cm="1">
        <f t="array" ref="J262">IFERROR(-_xlfn.IFS(OR(H262="y",H262="Y"),F262,AND(H262&lt;&gt;0,ISNUMBER(H262)),H262,G262&lt;&gt;0,G262),0)</f>
        <v>0</v>
      </c>
      <c r="K262" s="29" t="str">
        <f t="shared" si="14"/>
        <v/>
      </c>
      <c r="L262" s="45" t="str">
        <f>IF(C262&lt;&gt;"",_xlfn.XLOOKUP(TEXT(C262,"0"),TEXT(CC!$C$3:$C$1000,"0"),CC!$G$3:$G$1000,""),"")</f>
        <v/>
      </c>
    </row>
    <row r="263" spans="7:12" x14ac:dyDescent="0.25">
      <c r="G263" s="58">
        <f>IFERROR(SUMPRODUCT((TEXT(CC!$C$3:$C$1000,"0")=TEXT(C263,"0"))*IFERROR(CC!$E$3:$E$1000+0,0)),0)</f>
      </c>
      <c r="H263" s="44"/>
      <c r="I263" s="23" t="str">
        <f t="shared" si="13"/>
        <v/>
      </c>
      <c r="J263" s="33" cm="1">
        <f t="array" ref="J263">IFERROR(-_xlfn.IFS(OR(H263="y",H263="Y"),F263,AND(H263&lt;&gt;0,ISNUMBER(H263)),H263,G263&lt;&gt;0,G263),0)</f>
        <v>0</v>
      </c>
      <c r="K263" s="29" t="str">
        <f t="shared" si="14"/>
        <v/>
      </c>
      <c r="L263" s="45" t="str">
        <f>IF(C263&lt;&gt;"",_xlfn.XLOOKUP(TEXT(C263,"0"),TEXT(CC!$C$3:$C$1000,"0"),CC!$G$3:$G$1000,""),"")</f>
        <v/>
      </c>
    </row>
    <row r="264" spans="7:12" x14ac:dyDescent="0.25">
      <c r="G264" s="58">
        <f>IFERROR(SUMPRODUCT((TEXT(CC!$C$3:$C$1000,"0")=TEXT(C264,"0"))*IFERROR(CC!$E$3:$E$1000+0,0)),0)</f>
      </c>
      <c r="H264" s="44"/>
      <c r="I264" s="23" t="str">
        <f t="shared" si="13"/>
        <v/>
      </c>
      <c r="J264" s="33" cm="1">
        <f t="array" ref="J264">IFERROR(-_xlfn.IFS(OR(H264="y",H264="Y"),F264,AND(H264&lt;&gt;0,ISNUMBER(H264)),H264,G264&lt;&gt;0,G264),0)</f>
        <v>0</v>
      </c>
      <c r="K264" s="29" t="str">
        <f t="shared" si="14"/>
        <v/>
      </c>
      <c r="L264" s="45" t="str">
        <f>IF(C264&lt;&gt;"",_xlfn.XLOOKUP(TEXT(C264,"0"),TEXT(CC!$C$3:$C$1000,"0"),CC!$G$3:$G$1000,""),"")</f>
        <v/>
      </c>
    </row>
    <row r="265" spans="7:12" x14ac:dyDescent="0.25">
      <c r="G265" s="58">
        <f>IFERROR(SUMPRODUCT((TEXT(CC!$C$3:$C$1000,"0")=TEXT(C265,"0"))*IFERROR(CC!$E$3:$E$1000+0,0)),0)</f>
      </c>
      <c r="H265" s="44"/>
      <c r="I265" s="23" t="str">
        <f t="shared" si="13"/>
        <v/>
      </c>
      <c r="J265" s="33" cm="1">
        <f t="array" ref="J265">IFERROR(-_xlfn.IFS(OR(H265="y",H265="Y"),F265,AND(H265&lt;&gt;0,ISNUMBER(H265)),H265,G265&lt;&gt;0,G265),0)</f>
        <v>0</v>
      </c>
      <c r="K265" s="29" t="str">
        <f t="shared" si="14"/>
        <v/>
      </c>
      <c r="L265" s="45" t="str">
        <f>IF(C265&lt;&gt;"",_xlfn.XLOOKUP(TEXT(C265,"0"),TEXT(CC!$C$3:$C$1000,"0"),CC!$G$3:$G$1000,""),"")</f>
        <v/>
      </c>
    </row>
    <row r="266" spans="7:12" x14ac:dyDescent="0.25">
      <c r="G266" s="58">
        <f>IFERROR(SUMPRODUCT((TEXT(CC!$C$3:$C$1000,"0")=TEXT(C266,"0"))*IFERROR(CC!$E$3:$E$1000+0,0)),0)</f>
      </c>
      <c r="H266" s="44"/>
      <c r="I266" s="23" t="str">
        <f t="shared" si="13"/>
        <v/>
      </c>
      <c r="J266" s="33" cm="1">
        <f t="array" ref="J266">IFERROR(-_xlfn.IFS(OR(H266="y",H266="Y"),F266,AND(H266&lt;&gt;0,ISNUMBER(H266)),H266,G266&lt;&gt;0,G266),0)</f>
        <v>0</v>
      </c>
      <c r="K266" s="29" t="str">
        <f t="shared" si="14"/>
        <v/>
      </c>
      <c r="L266" s="45" t="str">
        <f>IF(C266&lt;&gt;"",_xlfn.XLOOKUP(TEXT(C266,"0"),TEXT(CC!$C$3:$C$1000,"0"),CC!$G$3:$G$1000,""),"")</f>
        <v/>
      </c>
    </row>
    <row r="267" spans="7:12" x14ac:dyDescent="0.25">
      <c r="G267" s="58">
        <f>IFERROR(SUMPRODUCT((TEXT(CC!$C$3:$C$1000,"0")=TEXT(C267,"0"))*IFERROR(CC!$E$3:$E$1000+0,0)),0)</f>
      </c>
      <c r="H267" s="44"/>
      <c r="I267" s="23" t="str">
        <f t="shared" si="13"/>
        <v/>
      </c>
      <c r="J267" s="33" cm="1">
        <f t="array" ref="J267">IFERROR(-_xlfn.IFS(OR(H267="y",H267="Y"),F267,AND(H267&lt;&gt;0,ISNUMBER(H267)),H267,G267&lt;&gt;0,G267),0)</f>
        <v>0</v>
      </c>
      <c r="K267" s="29" t="str">
        <f t="shared" si="14"/>
        <v/>
      </c>
      <c r="L267" s="45" t="str">
        <f>IF(C267&lt;&gt;"",_xlfn.XLOOKUP(TEXT(C267,"0"),TEXT(CC!$C$3:$C$1000,"0"),CC!$G$3:$G$1000,""),"")</f>
        <v/>
      </c>
    </row>
    <row r="268" spans="7:12" x14ac:dyDescent="0.25">
      <c r="G268" s="58">
        <f>IFERROR(SUMPRODUCT((TEXT(CC!$C$3:$C$1000,"0")=TEXT(C268,"0"))*IFERROR(CC!$E$3:$E$1000+0,0)),0)</f>
      </c>
      <c r="H268" s="44"/>
      <c r="I268" s="23" t="str">
        <f t="shared" si="13"/>
        <v/>
      </c>
      <c r="J268" s="33" cm="1">
        <f t="array" ref="J268">IFERROR(-_xlfn.IFS(OR(H268="y",H268="Y"),F268,AND(H268&lt;&gt;0,ISNUMBER(H268)),H268,G268&lt;&gt;0,G268),0)</f>
        <v>0</v>
      </c>
      <c r="K268" s="29" t="str">
        <f t="shared" si="14"/>
        <v/>
      </c>
      <c r="L268" s="45" t="str">
        <f>IF(C268&lt;&gt;"",_xlfn.XLOOKUP(TEXT(C268,"0"),TEXT(CC!$C$3:$C$1000,"0"),CC!$G$3:$G$1000,""),"")</f>
        <v/>
      </c>
    </row>
    <row r="269" spans="7:12" x14ac:dyDescent="0.25">
      <c r="G269" s="58">
        <f>IFERROR(SUMPRODUCT((TEXT(CC!$C$3:$C$1000,"0")=TEXT(C269,"0"))*IFERROR(CC!$E$3:$E$1000+0,0)),0)</f>
      </c>
      <c r="H269" s="44"/>
      <c r="I269" s="23" t="str">
        <f t="shared" si="13"/>
        <v/>
      </c>
      <c r="J269" s="33" cm="1">
        <f t="array" ref="J269">IFERROR(-_xlfn.IFS(OR(H269="y",H269="Y"),F269,AND(H269&lt;&gt;0,ISNUMBER(H269)),H269,G269&lt;&gt;0,G269),0)</f>
        <v>0</v>
      </c>
      <c r="K269" s="29" t="str">
        <f t="shared" si="14"/>
        <v/>
      </c>
      <c r="L269" s="45" t="str">
        <f>IF(C269&lt;&gt;"",_xlfn.XLOOKUP(TEXT(C269,"0"),TEXT(CC!$C$3:$C$1000,"0"),CC!$G$3:$G$1000,""),"")</f>
        <v/>
      </c>
    </row>
    <row r="270" spans="7:12" x14ac:dyDescent="0.25">
      <c r="G270" s="58">
        <f>IFERROR(SUMPRODUCT((TEXT(CC!$C$3:$C$1000,"0")=TEXT(C270,"0"))*IFERROR(CC!$E$3:$E$1000+0,0)),0)</f>
      </c>
      <c r="H270" s="44"/>
      <c r="I270" s="23" t="str">
        <f t="shared" si="13"/>
        <v/>
      </c>
      <c r="J270" s="33" cm="1">
        <f t="array" ref="J270">IFERROR(-_xlfn.IFS(OR(H270="y",H270="Y"),F270,AND(H270&lt;&gt;0,ISNUMBER(H270)),H270,G270&lt;&gt;0,G270),0)</f>
        <v>0</v>
      </c>
      <c r="K270" s="29" t="str">
        <f t="shared" si="14"/>
        <v/>
      </c>
      <c r="L270" s="45" t="str">
        <f>IF(C270&lt;&gt;"",_xlfn.XLOOKUP(TEXT(C270,"0"),TEXT(CC!$C$3:$C$1000,"0"),CC!$G$3:$G$1000,""),"")</f>
        <v/>
      </c>
    </row>
    <row r="271" spans="7:12" x14ac:dyDescent="0.25">
      <c r="G271" s="58">
        <f>IFERROR(SUMPRODUCT((TEXT(CC!$C$3:$C$1000,"0")=TEXT(C271,"0"))*IFERROR(CC!$E$3:$E$1000+0,0)),0)</f>
      </c>
      <c r="H271" s="44"/>
      <c r="I271" s="23" t="str">
        <f t="shared" ref="I271:I334" si="15">IF(J271&lt;&gt;0,"531011","")</f>
        <v/>
      </c>
      <c r="J271" s="33" cm="1">
        <f t="array" ref="J271">IFERROR(-_xlfn.IFS(OR(H271="y",H271="Y"),F271,AND(H271&lt;&gt;0,ISNUMBER(H271)),H271,G271&lt;&gt;0,G271),0)</f>
        <v>0</v>
      </c>
      <c r="K271" s="29" t="str">
        <f t="shared" si="14"/>
        <v/>
      </c>
      <c r="L271" s="45" t="str">
        <f>IF(C271&lt;&gt;"",_xlfn.XLOOKUP(TEXT(C271,"0"),TEXT(CC!$C$3:$C$1000,"0"),CC!$G$3:$G$1000,""),"")</f>
        <v/>
      </c>
    </row>
    <row r="272" spans="7:12" x14ac:dyDescent="0.25">
      <c r="G272" s="58">
        <f>IFERROR(SUMPRODUCT((TEXT(CC!$C$3:$C$1000,"0")=TEXT(C272,"0"))*IFERROR(CC!$E$3:$E$1000+0,0)),0)</f>
      </c>
      <c r="H272" s="44"/>
      <c r="I272" s="23" t="str">
        <f t="shared" si="15"/>
        <v/>
      </c>
      <c r="J272" s="33" cm="1">
        <f t="array" ref="J272">IFERROR(-_xlfn.IFS(OR(H272="y",H272="Y"),F272,AND(H272&lt;&gt;0,ISNUMBER(H272)),H272,G272&lt;&gt;0,G272),0)</f>
        <v>0</v>
      </c>
      <c r="K272" s="29" t="str">
        <f t="shared" ref="K272:K335" si="16">IF(J272&lt;&gt;0,C272,"")</f>
        <v/>
      </c>
      <c r="L272" s="45" t="str">
        <f>IF(C272&lt;&gt;"",_xlfn.XLOOKUP(TEXT(C272,"0"),TEXT(CC!$C$3:$C$1000,"0"),CC!$G$3:$G$1000,""),"")</f>
        <v/>
      </c>
    </row>
    <row r="273" spans="7:12" x14ac:dyDescent="0.25">
      <c r="G273" s="58">
        <f>IFERROR(SUMPRODUCT((TEXT(CC!$C$3:$C$1000,"0")=TEXT(C273,"0"))*IFERROR(CC!$E$3:$E$1000+0,0)),0)</f>
      </c>
      <c r="H273" s="44"/>
      <c r="I273" s="23" t="str">
        <f t="shared" si="15"/>
        <v/>
      </c>
      <c r="J273" s="33" cm="1">
        <f t="array" ref="J273">IFERROR(-_xlfn.IFS(OR(H273="y",H273="Y"),F273,AND(H273&lt;&gt;0,ISNUMBER(H273)),H273,G273&lt;&gt;0,G273),0)</f>
        <v>0</v>
      </c>
      <c r="K273" s="29" t="str">
        <f t="shared" si="16"/>
        <v/>
      </c>
      <c r="L273" s="45" t="str">
        <f>IF(C273&lt;&gt;"",_xlfn.XLOOKUP(TEXT(C273,"0"),TEXT(CC!$C$3:$C$1000,"0"),CC!$G$3:$G$1000,""),"")</f>
        <v/>
      </c>
    </row>
    <row r="274" spans="7:12" x14ac:dyDescent="0.25">
      <c r="G274" s="58">
        <f>IFERROR(SUMPRODUCT((TEXT(CC!$C$3:$C$1000,"0")=TEXT(C274,"0"))*IFERROR(CC!$E$3:$E$1000+0,0)),0)</f>
      </c>
      <c r="H274" s="44"/>
      <c r="I274" s="23" t="str">
        <f t="shared" si="15"/>
        <v/>
      </c>
      <c r="J274" s="33" cm="1">
        <f t="array" ref="J274">IFERROR(-_xlfn.IFS(OR(H274="y",H274="Y"),F274,AND(H274&lt;&gt;0,ISNUMBER(H274)),H274,G274&lt;&gt;0,G274),0)</f>
        <v>0</v>
      </c>
      <c r="K274" s="29" t="str">
        <f t="shared" si="16"/>
        <v/>
      </c>
      <c r="L274" s="45" t="str">
        <f>IF(C274&lt;&gt;"",_xlfn.XLOOKUP(TEXT(C274,"0"),TEXT(CC!$C$3:$C$1000,"0"),CC!$G$3:$G$1000,""),"")</f>
        <v/>
      </c>
    </row>
    <row r="275" spans="7:12" x14ac:dyDescent="0.25">
      <c r="G275" s="58">
        <f>IFERROR(SUMPRODUCT((TEXT(CC!$C$3:$C$1000,"0")=TEXT(C275,"0"))*IFERROR(CC!$E$3:$E$1000+0,0)),0)</f>
      </c>
      <c r="H275" s="44"/>
      <c r="I275" s="23" t="str">
        <f t="shared" si="15"/>
        <v/>
      </c>
      <c r="J275" s="33" cm="1">
        <f t="array" ref="J275">IFERROR(-_xlfn.IFS(OR(H275="y",H275="Y"),F275,AND(H275&lt;&gt;0,ISNUMBER(H275)),H275,G275&lt;&gt;0,G275),0)</f>
        <v>0</v>
      </c>
      <c r="K275" s="29" t="str">
        <f t="shared" si="16"/>
        <v/>
      </c>
      <c r="L275" s="45" t="str">
        <f>IF(C275&lt;&gt;"",_xlfn.XLOOKUP(TEXT(C275,"0"),TEXT(CC!$C$3:$C$1000,"0"),CC!$G$3:$G$1000,""),"")</f>
        <v/>
      </c>
    </row>
    <row r="276" spans="7:12" x14ac:dyDescent="0.25">
      <c r="G276" s="58">
        <f>IFERROR(SUMPRODUCT((TEXT(CC!$C$3:$C$1000,"0")=TEXT(C276,"0"))*IFERROR(CC!$E$3:$E$1000+0,0)),0)</f>
      </c>
      <c r="H276" s="44"/>
      <c r="I276" s="23" t="str">
        <f t="shared" si="15"/>
        <v/>
      </c>
      <c r="J276" s="33" cm="1">
        <f t="array" ref="J276">IFERROR(-_xlfn.IFS(OR(H276="y",H276="Y"),F276,AND(H276&lt;&gt;0,ISNUMBER(H276)),H276,G276&lt;&gt;0,G276),0)</f>
        <v>0</v>
      </c>
      <c r="K276" s="29" t="str">
        <f t="shared" si="16"/>
        <v/>
      </c>
      <c r="L276" s="45" t="str">
        <f>IF(C276&lt;&gt;"",_xlfn.XLOOKUP(TEXT(C276,"0"),TEXT(CC!$C$3:$C$1000,"0"),CC!$G$3:$G$1000,""),"")</f>
        <v/>
      </c>
    </row>
    <row r="277" spans="7:12" x14ac:dyDescent="0.25">
      <c r="G277" s="58">
        <f>IFERROR(SUMPRODUCT((TEXT(CC!$C$3:$C$1000,"0")=TEXT(C277,"0"))*IFERROR(CC!$E$3:$E$1000+0,0)),0)</f>
      </c>
      <c r="H277" s="44"/>
      <c r="I277" s="23" t="str">
        <f t="shared" si="15"/>
        <v/>
      </c>
      <c r="J277" s="33" cm="1">
        <f t="array" ref="J277">IFERROR(-_xlfn.IFS(OR(H277="y",H277="Y"),F277,AND(H277&lt;&gt;0,ISNUMBER(H277)),H277,G277&lt;&gt;0,G277),0)</f>
        <v>0</v>
      </c>
      <c r="K277" s="29" t="str">
        <f t="shared" si="16"/>
        <v/>
      </c>
      <c r="L277" s="45" t="str">
        <f>IF(C277&lt;&gt;"",_xlfn.XLOOKUP(TEXT(C277,"0"),TEXT(CC!$C$3:$C$1000,"0"),CC!$G$3:$G$1000,""),"")</f>
        <v/>
      </c>
    </row>
    <row r="278" spans="7:12" x14ac:dyDescent="0.25">
      <c r="G278" s="58">
        <f>IFERROR(SUMPRODUCT((TEXT(CC!$C$3:$C$1000,"0")=TEXT(C278,"0"))*IFERROR(CC!$E$3:$E$1000+0,0)),0)</f>
      </c>
      <c r="H278" s="44"/>
      <c r="I278" s="23" t="str">
        <f t="shared" si="15"/>
        <v/>
      </c>
      <c r="J278" s="33" cm="1">
        <f t="array" ref="J278">IFERROR(-_xlfn.IFS(OR(H278="y",H278="Y"),F278,AND(H278&lt;&gt;0,ISNUMBER(H278)),H278,G278&lt;&gt;0,G278),0)</f>
        <v>0</v>
      </c>
      <c r="K278" s="29" t="str">
        <f t="shared" si="16"/>
        <v/>
      </c>
      <c r="L278" s="45" t="str">
        <f>IF(C278&lt;&gt;"",_xlfn.XLOOKUP(TEXT(C278,"0"),TEXT(CC!$C$3:$C$1000,"0"),CC!$G$3:$G$1000,""),"")</f>
        <v/>
      </c>
    </row>
    <row r="279" spans="7:12" x14ac:dyDescent="0.25">
      <c r="G279" s="58">
        <f>IFERROR(SUMPRODUCT((TEXT(CC!$C$3:$C$1000,"0")=TEXT(C279,"0"))*IFERROR(CC!$E$3:$E$1000+0,0)),0)</f>
      </c>
      <c r="H279" s="44"/>
      <c r="I279" s="23" t="str">
        <f t="shared" si="15"/>
        <v/>
      </c>
      <c r="J279" s="33" cm="1">
        <f t="array" ref="J279">IFERROR(-_xlfn.IFS(OR(H279="y",H279="Y"),F279,AND(H279&lt;&gt;0,ISNUMBER(H279)),H279,G279&lt;&gt;0,G279),0)</f>
        <v>0</v>
      </c>
      <c r="K279" s="29" t="str">
        <f t="shared" si="16"/>
        <v/>
      </c>
      <c r="L279" s="45" t="str">
        <f>IF(C279&lt;&gt;"",_xlfn.XLOOKUP(TEXT(C279,"0"),TEXT(CC!$C$3:$C$1000,"0"),CC!$G$3:$G$1000,""),"")</f>
        <v/>
      </c>
    </row>
    <row r="280" spans="7:12" x14ac:dyDescent="0.25">
      <c r="G280" s="58">
        <f>IFERROR(SUMPRODUCT((TEXT(CC!$C$3:$C$1000,"0")=TEXT(C280,"0"))*IFERROR(CC!$E$3:$E$1000+0,0)),0)</f>
      </c>
      <c r="H280" s="44"/>
      <c r="I280" s="23" t="str">
        <f t="shared" si="15"/>
        <v/>
      </c>
      <c r="J280" s="33" cm="1">
        <f t="array" ref="J280">IFERROR(-_xlfn.IFS(OR(H280="y",H280="Y"),F280,AND(H280&lt;&gt;0,ISNUMBER(H280)),H280,G280&lt;&gt;0,G280),0)</f>
        <v>0</v>
      </c>
      <c r="K280" s="29" t="str">
        <f t="shared" si="16"/>
        <v/>
      </c>
      <c r="L280" s="45" t="str">
        <f>IF(C280&lt;&gt;"",_xlfn.XLOOKUP(TEXT(C280,"0"),TEXT(CC!$C$3:$C$1000,"0"),CC!$G$3:$G$1000,""),"")</f>
        <v/>
      </c>
    </row>
    <row r="281" spans="7:12" x14ac:dyDescent="0.25">
      <c r="G281" s="58">
        <f>IFERROR(SUMPRODUCT((TEXT(CC!$C$3:$C$1000,"0")=TEXT(C281,"0"))*IFERROR(CC!$E$3:$E$1000+0,0)),0)</f>
      </c>
      <c r="H281" s="44"/>
      <c r="I281" s="23" t="str">
        <f t="shared" si="15"/>
        <v/>
      </c>
      <c r="J281" s="33" cm="1">
        <f t="array" ref="J281">IFERROR(-_xlfn.IFS(OR(H281="y",H281="Y"),F281,AND(H281&lt;&gt;0,ISNUMBER(H281)),H281,G281&lt;&gt;0,G281),0)</f>
        <v>0</v>
      </c>
      <c r="K281" s="29" t="str">
        <f t="shared" si="16"/>
        <v/>
      </c>
      <c r="L281" s="45" t="str">
        <f>IF(C281&lt;&gt;"",_xlfn.XLOOKUP(TEXT(C281,"0"),TEXT(CC!$C$3:$C$1000,"0"),CC!$G$3:$G$1000,""),"")</f>
        <v/>
      </c>
    </row>
    <row r="282" spans="7:12" x14ac:dyDescent="0.25">
      <c r="G282" s="58">
        <f>IFERROR(SUMPRODUCT((TEXT(CC!$C$3:$C$1000,"0")=TEXT(C282,"0"))*IFERROR(CC!$E$3:$E$1000+0,0)),0)</f>
      </c>
      <c r="H282" s="44"/>
      <c r="I282" s="23" t="str">
        <f t="shared" si="15"/>
        <v/>
      </c>
      <c r="J282" s="33" cm="1">
        <f t="array" ref="J282">IFERROR(-_xlfn.IFS(OR(H282="y",H282="Y"),F282,AND(H282&lt;&gt;0,ISNUMBER(H282)),H282,G282&lt;&gt;0,G282),0)</f>
        <v>0</v>
      </c>
      <c r="K282" s="29" t="str">
        <f t="shared" si="16"/>
        <v/>
      </c>
      <c r="L282" s="45" t="str">
        <f>IF(C282&lt;&gt;"",_xlfn.XLOOKUP(TEXT(C282,"0"),TEXT(CC!$C$3:$C$1000,"0"),CC!$G$3:$G$1000,""),"")</f>
        <v/>
      </c>
    </row>
    <row r="283" spans="7:12" x14ac:dyDescent="0.25">
      <c r="G283" s="58">
        <f>IFERROR(SUMPRODUCT((TEXT(CC!$C$3:$C$1000,"0")=TEXT(C283,"0"))*IFERROR(CC!$E$3:$E$1000+0,0)),0)</f>
      </c>
      <c r="H283" s="44"/>
      <c r="I283" s="23" t="str">
        <f t="shared" si="15"/>
        <v/>
      </c>
      <c r="J283" s="33" cm="1">
        <f t="array" ref="J283">IFERROR(-_xlfn.IFS(OR(H283="y",H283="Y"),F283,AND(H283&lt;&gt;0,ISNUMBER(H283)),H283,G283&lt;&gt;0,G283),0)</f>
        <v>0</v>
      </c>
      <c r="K283" s="29" t="str">
        <f t="shared" si="16"/>
        <v/>
      </c>
      <c r="L283" s="45" t="str">
        <f>IF(C283&lt;&gt;"",_xlfn.XLOOKUP(TEXT(C283,"0"),TEXT(CC!$C$3:$C$1000,"0"),CC!$G$3:$G$1000,""),"")</f>
        <v/>
      </c>
    </row>
    <row r="284" spans="7:12" x14ac:dyDescent="0.25">
      <c r="G284" s="58">
        <f>IFERROR(SUMPRODUCT((TEXT(CC!$C$3:$C$1000,"0")=TEXT(C284,"0"))*IFERROR(CC!$E$3:$E$1000+0,0)),0)</f>
      </c>
      <c r="H284" s="44"/>
      <c r="I284" s="23" t="str">
        <f t="shared" si="15"/>
        <v/>
      </c>
      <c r="J284" s="33" cm="1">
        <f t="array" ref="J284">IFERROR(-_xlfn.IFS(OR(H284="y",H284="Y"),F284,AND(H284&lt;&gt;0,ISNUMBER(H284)),H284,G284&lt;&gt;0,G284),0)</f>
        <v>0</v>
      </c>
      <c r="K284" s="29" t="str">
        <f t="shared" si="16"/>
        <v/>
      </c>
      <c r="L284" s="45" t="str">
        <f>IF(C284&lt;&gt;"",_xlfn.XLOOKUP(TEXT(C284,"0"),TEXT(CC!$C$3:$C$1000,"0"),CC!$G$3:$G$1000,""),"")</f>
        <v/>
      </c>
    </row>
    <row r="285" spans="7:12" x14ac:dyDescent="0.25">
      <c r="G285" s="58">
        <f>IFERROR(SUMPRODUCT((TEXT(CC!$C$3:$C$1000,"0")=TEXT(C285,"0"))*IFERROR(CC!$E$3:$E$1000+0,0)),0)</f>
      </c>
      <c r="H285" s="44"/>
      <c r="I285" s="23" t="str">
        <f t="shared" si="15"/>
        <v/>
      </c>
      <c r="J285" s="33" cm="1">
        <f t="array" ref="J285">IFERROR(-_xlfn.IFS(OR(H285="y",H285="Y"),F285,AND(H285&lt;&gt;0,ISNUMBER(H285)),H285,G285&lt;&gt;0,G285),0)</f>
        <v>0</v>
      </c>
      <c r="K285" s="29" t="str">
        <f t="shared" si="16"/>
        <v/>
      </c>
      <c r="L285" s="45" t="str">
        <f>IF(C285&lt;&gt;"",_xlfn.XLOOKUP(TEXT(C285,"0"),TEXT(CC!$C$3:$C$1000,"0"),CC!$G$3:$G$1000,""),"")</f>
        <v/>
      </c>
    </row>
    <row r="286" spans="7:12" x14ac:dyDescent="0.25">
      <c r="G286" s="58">
        <f>IFERROR(SUMPRODUCT((TEXT(CC!$C$3:$C$1000,"0")=TEXT(C286,"0"))*IFERROR(CC!$E$3:$E$1000+0,0)),0)</f>
      </c>
      <c r="H286" s="44"/>
      <c r="I286" s="23" t="str">
        <f t="shared" si="15"/>
        <v/>
      </c>
      <c r="J286" s="33" cm="1">
        <f t="array" ref="J286">IFERROR(-_xlfn.IFS(OR(H286="y",H286="Y"),F286,AND(H286&lt;&gt;0,ISNUMBER(H286)),H286,G286&lt;&gt;0,G286),0)</f>
        <v>0</v>
      </c>
      <c r="K286" s="29" t="str">
        <f t="shared" si="16"/>
        <v/>
      </c>
      <c r="L286" s="45" t="str">
        <f>IF(C286&lt;&gt;"",_xlfn.XLOOKUP(TEXT(C286,"0"),TEXT(CC!$C$3:$C$1000,"0"),CC!$G$3:$G$1000,""),"")</f>
        <v/>
      </c>
    </row>
    <row r="287" spans="7:12" x14ac:dyDescent="0.25">
      <c r="G287" s="58">
        <f>IFERROR(SUMPRODUCT((TEXT(CC!$C$3:$C$1000,"0")=TEXT(C287,"0"))*IFERROR(CC!$E$3:$E$1000+0,0)),0)</f>
      </c>
      <c r="H287" s="44"/>
      <c r="I287" s="23" t="str">
        <f t="shared" si="15"/>
        <v/>
      </c>
      <c r="J287" s="33" cm="1">
        <f t="array" ref="J287">IFERROR(-_xlfn.IFS(OR(H287="y",H287="Y"),F287,AND(H287&lt;&gt;0,ISNUMBER(H287)),H287,G287&lt;&gt;0,G287),0)</f>
        <v>0</v>
      </c>
      <c r="K287" s="29" t="str">
        <f t="shared" si="16"/>
        <v/>
      </c>
      <c r="L287" s="45" t="str">
        <f>IF(C287&lt;&gt;"",_xlfn.XLOOKUP(TEXT(C287,"0"),TEXT(CC!$C$3:$C$1000,"0"),CC!$G$3:$G$1000,""),"")</f>
        <v/>
      </c>
    </row>
    <row r="288" spans="7:12" x14ac:dyDescent="0.25">
      <c r="G288" s="58">
        <f>IFERROR(SUMPRODUCT((TEXT(CC!$C$3:$C$1000,"0")=TEXT(C288,"0"))*IFERROR(CC!$E$3:$E$1000+0,0)),0)</f>
      </c>
      <c r="H288" s="44"/>
      <c r="I288" s="23" t="str">
        <f t="shared" si="15"/>
        <v/>
      </c>
      <c r="J288" s="33" cm="1">
        <f t="array" ref="J288">IFERROR(-_xlfn.IFS(OR(H288="y",H288="Y"),F288,AND(H288&lt;&gt;0,ISNUMBER(H288)),H288,G288&lt;&gt;0,G288),0)</f>
        <v>0</v>
      </c>
      <c r="K288" s="29" t="str">
        <f t="shared" si="16"/>
        <v/>
      </c>
      <c r="L288" s="45" t="str">
        <f>IF(C288&lt;&gt;"",_xlfn.XLOOKUP(TEXT(C288,"0"),TEXT(CC!$C$3:$C$1000,"0"),CC!$G$3:$G$1000,""),"")</f>
        <v/>
      </c>
    </row>
    <row r="289" spans="7:12" x14ac:dyDescent="0.25">
      <c r="G289" s="58">
        <f>IFERROR(SUMPRODUCT((TEXT(CC!$C$3:$C$1000,"0")=TEXT(C289,"0"))*IFERROR(CC!$E$3:$E$1000+0,0)),0)</f>
      </c>
      <c r="H289" s="44"/>
      <c r="I289" s="23" t="str">
        <f t="shared" si="15"/>
        <v/>
      </c>
      <c r="J289" s="33" cm="1">
        <f t="array" ref="J289">IFERROR(-_xlfn.IFS(OR(H289="y",H289="Y"),F289,AND(H289&lt;&gt;0,ISNUMBER(H289)),H289,G289&lt;&gt;0,G289),0)</f>
        <v>0</v>
      </c>
      <c r="K289" s="29" t="str">
        <f t="shared" si="16"/>
        <v/>
      </c>
      <c r="L289" s="45" t="str">
        <f>IF(C289&lt;&gt;"",_xlfn.XLOOKUP(TEXT(C289,"0"),TEXT(CC!$C$3:$C$1000,"0"),CC!$G$3:$G$1000,""),"")</f>
        <v/>
      </c>
    </row>
    <row r="290" spans="7:12" x14ac:dyDescent="0.25">
      <c r="G290" s="58">
        <f>IFERROR(SUMPRODUCT((TEXT(CC!$C$3:$C$1000,"0")=TEXT(C290,"0"))*IFERROR(CC!$E$3:$E$1000+0,0)),0)</f>
      </c>
      <c r="H290" s="44"/>
      <c r="I290" s="23" t="str">
        <f t="shared" si="15"/>
        <v/>
      </c>
      <c r="J290" s="33" cm="1">
        <f t="array" ref="J290">IFERROR(-_xlfn.IFS(OR(H290="y",H290="Y"),F290,AND(H290&lt;&gt;0,ISNUMBER(H290)),H290,G290&lt;&gt;0,G290),0)</f>
        <v>0</v>
      </c>
      <c r="K290" s="29" t="str">
        <f t="shared" si="16"/>
        <v/>
      </c>
      <c r="L290" s="45" t="str">
        <f>IF(C290&lt;&gt;"",_xlfn.XLOOKUP(TEXT(C290,"0"),TEXT(CC!$C$3:$C$1000,"0"),CC!$G$3:$G$1000,""),"")</f>
        <v/>
      </c>
    </row>
    <row r="291" spans="7:12" x14ac:dyDescent="0.25">
      <c r="G291" s="58">
        <f>IFERROR(SUMPRODUCT((TEXT(CC!$C$3:$C$1000,"0")=TEXT(C291,"0"))*IFERROR(CC!$E$3:$E$1000+0,0)),0)</f>
      </c>
      <c r="H291" s="44"/>
      <c r="I291" s="23" t="str">
        <f t="shared" si="15"/>
        <v/>
      </c>
      <c r="J291" s="33" cm="1">
        <f t="array" ref="J291">IFERROR(-_xlfn.IFS(OR(H291="y",H291="Y"),F291,AND(H291&lt;&gt;0,ISNUMBER(H291)),H291,G291&lt;&gt;0,G291),0)</f>
        <v>0</v>
      </c>
      <c r="K291" s="29" t="str">
        <f t="shared" si="16"/>
        <v/>
      </c>
      <c r="L291" s="45" t="str">
        <f>IF(C291&lt;&gt;"",_xlfn.XLOOKUP(TEXT(C291,"0"),TEXT(CC!$C$3:$C$1000,"0"),CC!$G$3:$G$1000,""),"")</f>
        <v/>
      </c>
    </row>
    <row r="292" spans="7:12" x14ac:dyDescent="0.25">
      <c r="G292" s="58">
        <f>IFERROR(SUMPRODUCT((TEXT(CC!$C$3:$C$1000,"0")=TEXT(C292,"0"))*IFERROR(CC!$E$3:$E$1000+0,0)),0)</f>
      </c>
      <c r="H292" s="44"/>
      <c r="I292" s="23" t="str">
        <f t="shared" si="15"/>
        <v/>
      </c>
      <c r="J292" s="33" cm="1">
        <f t="array" ref="J292">IFERROR(-_xlfn.IFS(OR(H292="y",H292="Y"),F292,AND(H292&lt;&gt;0,ISNUMBER(H292)),H292,G292&lt;&gt;0,G292),0)</f>
        <v>0</v>
      </c>
      <c r="K292" s="29" t="str">
        <f t="shared" si="16"/>
        <v/>
      </c>
      <c r="L292" s="45" t="str">
        <f>IF(C292&lt;&gt;"",_xlfn.XLOOKUP(TEXT(C292,"0"),TEXT(CC!$C$3:$C$1000,"0"),CC!$G$3:$G$1000,""),"")</f>
        <v/>
      </c>
    </row>
    <row r="293" spans="7:12" x14ac:dyDescent="0.25">
      <c r="G293" s="58">
        <f>IFERROR(SUMPRODUCT((TEXT(CC!$C$3:$C$1000,"0")=TEXT(C293,"0"))*IFERROR(CC!$E$3:$E$1000+0,0)),0)</f>
      </c>
      <c r="H293" s="44"/>
      <c r="I293" s="23" t="str">
        <f t="shared" si="15"/>
        <v/>
      </c>
      <c r="J293" s="33" cm="1">
        <f t="array" ref="J293">IFERROR(-_xlfn.IFS(OR(H293="y",H293="Y"),F293,AND(H293&lt;&gt;0,ISNUMBER(H293)),H293,G293&lt;&gt;0,G293),0)</f>
        <v>0</v>
      </c>
      <c r="K293" s="29" t="str">
        <f t="shared" si="16"/>
        <v/>
      </c>
      <c r="L293" s="45" t="str">
        <f>IF(C293&lt;&gt;"",_xlfn.XLOOKUP(TEXT(C293,"0"),TEXT(CC!$C$3:$C$1000,"0"),CC!$G$3:$G$1000,""),"")</f>
        <v/>
      </c>
    </row>
    <row r="294" spans="7:12" x14ac:dyDescent="0.25">
      <c r="G294" s="58">
        <f>IFERROR(SUMPRODUCT((TEXT(CC!$C$3:$C$1000,"0")=TEXT(C294,"0"))*IFERROR(CC!$E$3:$E$1000+0,0)),0)</f>
      </c>
      <c r="H294" s="44"/>
      <c r="I294" s="23" t="str">
        <f t="shared" si="15"/>
        <v/>
      </c>
      <c r="J294" s="33" cm="1">
        <f t="array" ref="J294">IFERROR(-_xlfn.IFS(OR(H294="y",H294="Y"),F294,AND(H294&lt;&gt;0,ISNUMBER(H294)),H294,G294&lt;&gt;0,G294),0)</f>
        <v>0</v>
      </c>
      <c r="K294" s="29" t="str">
        <f t="shared" si="16"/>
        <v/>
      </c>
      <c r="L294" s="45" t="str">
        <f>IF(C294&lt;&gt;"",_xlfn.XLOOKUP(TEXT(C294,"0"),TEXT(CC!$C$3:$C$1000,"0"),CC!$G$3:$G$1000,""),"")</f>
        <v/>
      </c>
    </row>
    <row r="295" spans="7:12" x14ac:dyDescent="0.25">
      <c r="G295" s="58">
        <f>IFERROR(SUMPRODUCT((TEXT(CC!$C$3:$C$1000,"0")=TEXT(C295,"0"))*IFERROR(CC!$E$3:$E$1000+0,0)),0)</f>
      </c>
      <c r="H295" s="44"/>
      <c r="I295" s="23" t="str">
        <f t="shared" si="15"/>
        <v/>
      </c>
      <c r="J295" s="33" cm="1">
        <f t="array" ref="J295">IFERROR(-_xlfn.IFS(OR(H295="y",H295="Y"),F295,AND(H295&lt;&gt;0,ISNUMBER(H295)),H295,G295&lt;&gt;0,G295),0)</f>
        <v>0</v>
      </c>
      <c r="K295" s="29" t="str">
        <f t="shared" si="16"/>
        <v/>
      </c>
      <c r="L295" s="45" t="str">
        <f>IF(C295&lt;&gt;"",_xlfn.XLOOKUP(TEXT(C295,"0"),TEXT(CC!$C$3:$C$1000,"0"),CC!$G$3:$G$1000,""),"")</f>
        <v/>
      </c>
    </row>
    <row r="296" spans="7:12" x14ac:dyDescent="0.25">
      <c r="G296" s="58">
        <f>IFERROR(SUMPRODUCT((TEXT(CC!$C$3:$C$1000,"0")=TEXT(C296,"0"))*IFERROR(CC!$E$3:$E$1000+0,0)),0)</f>
      </c>
      <c r="H296" s="44"/>
      <c r="I296" s="23" t="str">
        <f t="shared" si="15"/>
        <v/>
      </c>
      <c r="J296" s="33" cm="1">
        <f t="array" ref="J296">IFERROR(-_xlfn.IFS(OR(H296="y",H296="Y"),F296,AND(H296&lt;&gt;0,ISNUMBER(H296)),H296,G296&lt;&gt;0,G296),0)</f>
        <v>0</v>
      </c>
      <c r="K296" s="29" t="str">
        <f t="shared" si="16"/>
        <v/>
      </c>
      <c r="L296" s="45" t="str">
        <f>IF(C296&lt;&gt;"",_xlfn.XLOOKUP(TEXT(C296,"0"),TEXT(CC!$C$3:$C$1000,"0"),CC!$G$3:$G$1000,""),"")</f>
        <v/>
      </c>
    </row>
    <row r="297" spans="7:12" x14ac:dyDescent="0.25">
      <c r="G297" s="58">
        <f>IFERROR(SUMPRODUCT((TEXT(CC!$C$3:$C$1000,"0")=TEXT(C297,"0"))*IFERROR(CC!$E$3:$E$1000+0,0)),0)</f>
      </c>
      <c r="H297" s="44"/>
      <c r="I297" s="23" t="str">
        <f t="shared" si="15"/>
        <v/>
      </c>
      <c r="J297" s="33" cm="1">
        <f t="array" ref="J297">IFERROR(-_xlfn.IFS(OR(H297="y",H297="Y"),F297,AND(H297&lt;&gt;0,ISNUMBER(H297)),H297,G297&lt;&gt;0,G297),0)</f>
        <v>0</v>
      </c>
      <c r="K297" s="29" t="str">
        <f t="shared" si="16"/>
        <v/>
      </c>
      <c r="L297" s="45" t="str">
        <f>IF(C297&lt;&gt;"",_xlfn.XLOOKUP(TEXT(C297,"0"),TEXT(CC!$C$3:$C$1000,"0"),CC!$G$3:$G$1000,""),"")</f>
        <v/>
      </c>
    </row>
    <row r="298" spans="7:12" x14ac:dyDescent="0.25">
      <c r="G298" s="58">
        <f>IFERROR(SUMPRODUCT((TEXT(CC!$C$3:$C$1000,"0")=TEXT(C298,"0"))*IFERROR(CC!$E$3:$E$1000+0,0)),0)</f>
      </c>
      <c r="H298" s="44"/>
      <c r="I298" s="23" t="str">
        <f t="shared" si="15"/>
        <v/>
      </c>
      <c r="J298" s="33" cm="1">
        <f t="array" ref="J298">IFERROR(-_xlfn.IFS(OR(H298="y",H298="Y"),F298,AND(H298&lt;&gt;0,ISNUMBER(H298)),H298,G298&lt;&gt;0,G298),0)</f>
        <v>0</v>
      </c>
      <c r="K298" s="29" t="str">
        <f t="shared" si="16"/>
        <v/>
      </c>
      <c r="L298" s="45" t="str">
        <f>IF(C298&lt;&gt;"",_xlfn.XLOOKUP(TEXT(C298,"0"),TEXT(CC!$C$3:$C$1000,"0"),CC!$G$3:$G$1000,""),"")</f>
        <v/>
      </c>
    </row>
    <row r="299" spans="7:12" x14ac:dyDescent="0.25">
      <c r="G299" s="58">
        <f>IFERROR(SUMPRODUCT((TEXT(CC!$C$3:$C$1000,"0")=TEXT(C299,"0"))*IFERROR(CC!$E$3:$E$1000+0,0)),0)</f>
      </c>
      <c r="H299" s="44"/>
      <c r="I299" s="23" t="str">
        <f t="shared" si="15"/>
        <v/>
      </c>
      <c r="J299" s="33" cm="1">
        <f t="array" ref="J299">IFERROR(-_xlfn.IFS(OR(H299="y",H299="Y"),F299,AND(H299&lt;&gt;0,ISNUMBER(H299)),H299,G299&lt;&gt;0,G299),0)</f>
        <v>0</v>
      </c>
      <c r="K299" s="29" t="str">
        <f t="shared" si="16"/>
        <v/>
      </c>
      <c r="L299" s="45" t="str">
        <f>IF(C299&lt;&gt;"",_xlfn.XLOOKUP(TEXT(C299,"0"),TEXT(CC!$C$3:$C$1000,"0"),CC!$G$3:$G$1000,""),"")</f>
        <v/>
      </c>
    </row>
    <row r="300" spans="7:12" x14ac:dyDescent="0.25">
      <c r="G300" s="58">
        <f>IFERROR(SUMPRODUCT((TEXT(CC!$C$3:$C$1000,"0")=TEXT(C300,"0"))*IFERROR(CC!$E$3:$E$1000+0,0)),0)</f>
      </c>
      <c r="H300" s="44"/>
      <c r="I300" s="23" t="str">
        <f t="shared" si="15"/>
        <v/>
      </c>
      <c r="J300" s="33" cm="1">
        <f t="array" ref="J300">IFERROR(-_xlfn.IFS(OR(H300="y",H300="Y"),F300,AND(H300&lt;&gt;0,ISNUMBER(H300)),H300,G300&lt;&gt;0,G300),0)</f>
        <v>0</v>
      </c>
      <c r="K300" s="29" t="str">
        <f t="shared" si="16"/>
        <v/>
      </c>
      <c r="L300" s="45" t="str">
        <f>IF(C300&lt;&gt;"",_xlfn.XLOOKUP(TEXT(C300,"0"),TEXT(CC!$C$3:$C$1000,"0"),CC!$G$3:$G$1000,""),"")</f>
        <v/>
      </c>
    </row>
    <row r="301" spans="7:12" x14ac:dyDescent="0.25">
      <c r="G301" s="58">
        <f>IFERROR(SUMPRODUCT((TEXT(CC!$C$3:$C$1000,"0")=TEXT(C301,"0"))*IFERROR(CC!$E$3:$E$1000+0,0)),0)</f>
      </c>
      <c r="H301" s="44"/>
      <c r="I301" s="23" t="str">
        <f t="shared" si="15"/>
        <v/>
      </c>
      <c r="J301" s="33" cm="1">
        <f t="array" ref="J301">IFERROR(-_xlfn.IFS(OR(H301="y",H301="Y"),F301,AND(H301&lt;&gt;0,ISNUMBER(H301)),H301,G301&lt;&gt;0,G301),0)</f>
        <v>0</v>
      </c>
      <c r="K301" s="29" t="str">
        <f t="shared" si="16"/>
        <v/>
      </c>
      <c r="L301" s="45" t="str">
        <f>IF(C301&lt;&gt;"",_xlfn.XLOOKUP(TEXT(C301,"0"),TEXT(CC!$C$3:$C$1000,"0"),CC!$G$3:$G$1000,""),"")</f>
        <v/>
      </c>
    </row>
    <row r="302" spans="7:12" x14ac:dyDescent="0.25">
      <c r="G302" s="58">
        <f>IFERROR(SUMPRODUCT((TEXT(CC!$C$3:$C$1000,"0")=TEXT(C302,"0"))*IFERROR(CC!$E$3:$E$1000+0,0)),0)</f>
      </c>
      <c r="H302" s="44"/>
      <c r="I302" s="23" t="str">
        <f t="shared" si="15"/>
        <v/>
      </c>
      <c r="J302" s="33" cm="1">
        <f t="array" ref="J302">IFERROR(-_xlfn.IFS(OR(H302="y",H302="Y"),F302,AND(H302&lt;&gt;0,ISNUMBER(H302)),H302,G302&lt;&gt;0,G302),0)</f>
        <v>0</v>
      </c>
      <c r="K302" s="29" t="str">
        <f t="shared" si="16"/>
        <v/>
      </c>
      <c r="L302" s="45" t="str">
        <f>IF(C302&lt;&gt;"",_xlfn.XLOOKUP(TEXT(C302,"0"),TEXT(CC!$C$3:$C$1000,"0"),CC!$G$3:$G$1000,""),"")</f>
        <v/>
      </c>
    </row>
    <row r="303" spans="7:12" x14ac:dyDescent="0.25">
      <c r="G303" s="58">
        <f>IFERROR(SUMPRODUCT((TEXT(CC!$C$3:$C$1000,"0")=TEXT(C303,"0"))*IFERROR(CC!$E$3:$E$1000+0,0)),0)</f>
      </c>
      <c r="H303" s="44"/>
      <c r="I303" s="23" t="str">
        <f t="shared" si="15"/>
        <v/>
      </c>
      <c r="J303" s="33" cm="1">
        <f t="array" ref="J303">IFERROR(-_xlfn.IFS(OR(H303="y",H303="Y"),F303,AND(H303&lt;&gt;0,ISNUMBER(H303)),H303,G303&lt;&gt;0,G303),0)</f>
        <v>0</v>
      </c>
      <c r="K303" s="29" t="str">
        <f t="shared" si="16"/>
        <v/>
      </c>
      <c r="L303" s="45" t="str">
        <f>IF(C303&lt;&gt;"",_xlfn.XLOOKUP(TEXT(C303,"0"),TEXT(CC!$C$3:$C$1000,"0"),CC!$G$3:$G$1000,""),"")</f>
        <v/>
      </c>
    </row>
    <row r="304" spans="7:12" x14ac:dyDescent="0.25">
      <c r="G304" s="58">
        <f>IFERROR(SUMPRODUCT((TEXT(CC!$C$3:$C$1000,"0")=TEXT(C304,"0"))*IFERROR(CC!$E$3:$E$1000+0,0)),0)</f>
      </c>
      <c r="H304" s="44"/>
      <c r="I304" s="23" t="str">
        <f t="shared" si="15"/>
        <v/>
      </c>
      <c r="J304" s="33" cm="1">
        <f t="array" ref="J304">IFERROR(-_xlfn.IFS(OR(H304="y",H304="Y"),F304,AND(H304&lt;&gt;0,ISNUMBER(H304)),H304,G304&lt;&gt;0,G304),0)</f>
        <v>0</v>
      </c>
      <c r="K304" s="29" t="str">
        <f t="shared" si="16"/>
        <v/>
      </c>
      <c r="L304" s="45" t="str">
        <f>IF(C304&lt;&gt;"",_xlfn.XLOOKUP(TEXT(C304,"0"),TEXT(CC!$C$3:$C$1000,"0"),CC!$G$3:$G$1000,""),"")</f>
        <v/>
      </c>
    </row>
    <row r="305" spans="7:12" x14ac:dyDescent="0.25">
      <c r="G305" s="58">
        <f>IFERROR(SUMPRODUCT((TEXT(CC!$C$3:$C$1000,"0")=TEXT(C305,"0"))*IFERROR(CC!$E$3:$E$1000+0,0)),0)</f>
      </c>
      <c r="H305" s="44"/>
      <c r="I305" s="23" t="str">
        <f t="shared" si="15"/>
        <v/>
      </c>
      <c r="J305" s="33" cm="1">
        <f t="array" ref="J305">IFERROR(-_xlfn.IFS(OR(H305="y",H305="Y"),F305,AND(H305&lt;&gt;0,ISNUMBER(H305)),H305,G305&lt;&gt;0,G305),0)</f>
        <v>0</v>
      </c>
      <c r="K305" s="29" t="str">
        <f t="shared" si="16"/>
        <v/>
      </c>
      <c r="L305" s="45" t="str">
        <f>IF(C305&lt;&gt;"",_xlfn.XLOOKUP(TEXT(C305,"0"),TEXT(CC!$C$3:$C$1000,"0"),CC!$G$3:$G$1000,""),"")</f>
        <v/>
      </c>
    </row>
    <row r="306" spans="7:12" x14ac:dyDescent="0.25">
      <c r="G306" s="58">
        <f>IFERROR(SUMPRODUCT((TEXT(CC!$C$3:$C$1000,"0")=TEXT(C306,"0"))*IFERROR(CC!$E$3:$E$1000+0,0)),0)</f>
      </c>
      <c r="H306" s="44"/>
      <c r="I306" s="23" t="str">
        <f t="shared" si="15"/>
        <v/>
      </c>
      <c r="J306" s="33" cm="1">
        <f t="array" ref="J306">IFERROR(-_xlfn.IFS(OR(H306="y",H306="Y"),F306,AND(H306&lt;&gt;0,ISNUMBER(H306)),H306,G306&lt;&gt;0,G306),0)</f>
        <v>0</v>
      </c>
      <c r="K306" s="29" t="str">
        <f t="shared" si="16"/>
        <v/>
      </c>
      <c r="L306" s="45" t="str">
        <f>IF(C306&lt;&gt;"",_xlfn.XLOOKUP(TEXT(C306,"0"),TEXT(CC!$C$3:$C$1000,"0"),CC!$G$3:$G$1000,""),"")</f>
        <v/>
      </c>
    </row>
    <row r="307" spans="7:12" x14ac:dyDescent="0.25">
      <c r="G307" s="58">
        <f>IFERROR(SUMPRODUCT((TEXT(CC!$C$3:$C$1000,"0")=TEXT(C307,"0"))*IFERROR(CC!$E$3:$E$1000+0,0)),0)</f>
      </c>
      <c r="H307" s="44"/>
      <c r="I307" s="23" t="str">
        <f t="shared" si="15"/>
        <v/>
      </c>
      <c r="J307" s="33" cm="1">
        <f t="array" ref="J307">IFERROR(-_xlfn.IFS(OR(H307="y",H307="Y"),F307,AND(H307&lt;&gt;0,ISNUMBER(H307)),H307,G307&lt;&gt;0,G307),0)</f>
        <v>0</v>
      </c>
      <c r="K307" s="29" t="str">
        <f t="shared" si="16"/>
        <v/>
      </c>
      <c r="L307" s="45" t="str">
        <f>IF(C307&lt;&gt;"",_xlfn.XLOOKUP(TEXT(C307,"0"),TEXT(CC!$C$3:$C$1000,"0"),CC!$G$3:$G$1000,""),"")</f>
        <v/>
      </c>
    </row>
    <row r="308" spans="7:12" x14ac:dyDescent="0.25">
      <c r="G308" s="58">
        <f>IFERROR(SUMPRODUCT((TEXT(CC!$C$3:$C$1000,"0")=TEXT(C308,"0"))*IFERROR(CC!$E$3:$E$1000+0,0)),0)</f>
      </c>
      <c r="H308" s="44"/>
      <c r="I308" s="23" t="str">
        <f t="shared" si="15"/>
        <v/>
      </c>
      <c r="J308" s="33" cm="1">
        <f t="array" ref="J308">IFERROR(-_xlfn.IFS(OR(H308="y",H308="Y"),F308,AND(H308&lt;&gt;0,ISNUMBER(H308)),H308,G308&lt;&gt;0,G308),0)</f>
        <v>0</v>
      </c>
      <c r="K308" s="29" t="str">
        <f t="shared" si="16"/>
        <v/>
      </c>
      <c r="L308" s="45" t="str">
        <f>IF(C308&lt;&gt;"",_xlfn.XLOOKUP(TEXT(C308,"0"),TEXT(CC!$C$3:$C$1000,"0"),CC!$G$3:$G$1000,""),"")</f>
        <v/>
      </c>
    </row>
    <row r="309" spans="7:12" x14ac:dyDescent="0.25">
      <c r="G309" s="58">
        <f>IFERROR(SUMPRODUCT((TEXT(CC!$C$3:$C$1000,"0")=TEXT(C309,"0"))*IFERROR(CC!$E$3:$E$1000+0,0)),0)</f>
      </c>
      <c r="H309" s="44"/>
      <c r="I309" s="23" t="str">
        <f t="shared" si="15"/>
        <v/>
      </c>
      <c r="J309" s="33" cm="1">
        <f t="array" ref="J309">IFERROR(-_xlfn.IFS(OR(H309="y",H309="Y"),F309,AND(H309&lt;&gt;0,ISNUMBER(H309)),H309,G309&lt;&gt;0,G309),0)</f>
        <v>0</v>
      </c>
      <c r="K309" s="29" t="str">
        <f t="shared" si="16"/>
        <v/>
      </c>
      <c r="L309" s="45" t="str">
        <f>IF(C309&lt;&gt;"",_xlfn.XLOOKUP(TEXT(C309,"0"),TEXT(CC!$C$3:$C$1000,"0"),CC!$G$3:$G$1000,""),"")</f>
        <v/>
      </c>
    </row>
    <row r="310" spans="7:12" x14ac:dyDescent="0.25">
      <c r="G310" s="58">
        <f>IFERROR(SUMPRODUCT((TEXT(CC!$C$3:$C$1000,"0")=TEXT(C310,"0"))*IFERROR(CC!$E$3:$E$1000+0,0)),0)</f>
      </c>
      <c r="H310" s="44"/>
      <c r="I310" s="23" t="str">
        <f t="shared" si="15"/>
        <v/>
      </c>
      <c r="J310" s="33" cm="1">
        <f t="array" ref="J310">IFERROR(-_xlfn.IFS(OR(H310="y",H310="Y"),F310,AND(H310&lt;&gt;0,ISNUMBER(H310)),H310,G310&lt;&gt;0,G310),0)</f>
        <v>0</v>
      </c>
      <c r="K310" s="29" t="str">
        <f t="shared" si="16"/>
        <v/>
      </c>
      <c r="L310" s="45" t="str">
        <f>IF(C310&lt;&gt;"",_xlfn.XLOOKUP(TEXT(C310,"0"),TEXT(CC!$C$3:$C$1000,"0"),CC!$G$3:$G$1000,""),"")</f>
        <v/>
      </c>
    </row>
    <row r="311" spans="7:12" x14ac:dyDescent="0.25">
      <c r="G311" s="58">
        <f>IFERROR(SUMPRODUCT((TEXT(CC!$C$3:$C$1000,"0")=TEXT(C311,"0"))*IFERROR(CC!$E$3:$E$1000+0,0)),0)</f>
      </c>
      <c r="H311" s="44"/>
      <c r="I311" s="23" t="str">
        <f t="shared" si="15"/>
        <v/>
      </c>
      <c r="J311" s="33" cm="1">
        <f t="array" ref="J311">IFERROR(-_xlfn.IFS(OR(H311="y",H311="Y"),F311,AND(H311&lt;&gt;0,ISNUMBER(H311)),H311,G311&lt;&gt;0,G311),0)</f>
        <v>0</v>
      </c>
      <c r="K311" s="29" t="str">
        <f t="shared" si="16"/>
        <v/>
      </c>
      <c r="L311" s="45" t="str">
        <f>IF(C311&lt;&gt;"",_xlfn.XLOOKUP(TEXT(C311,"0"),TEXT(CC!$C$3:$C$1000,"0"),CC!$G$3:$G$1000,""),"")</f>
        <v/>
      </c>
    </row>
    <row r="312" spans="7:12" x14ac:dyDescent="0.25">
      <c r="G312" s="58">
        <f>IFERROR(SUMPRODUCT((TEXT(CC!$C$3:$C$1000,"0")=TEXT(C312,"0"))*IFERROR(CC!$E$3:$E$1000+0,0)),0)</f>
      </c>
      <c r="H312" s="44"/>
      <c r="I312" s="23" t="str">
        <f t="shared" si="15"/>
        <v/>
      </c>
      <c r="J312" s="33" cm="1">
        <f t="array" ref="J312">IFERROR(-_xlfn.IFS(OR(H312="y",H312="Y"),F312,AND(H312&lt;&gt;0,ISNUMBER(H312)),H312,G312&lt;&gt;0,G312),0)</f>
        <v>0</v>
      </c>
      <c r="K312" s="29" t="str">
        <f t="shared" si="16"/>
        <v/>
      </c>
      <c r="L312" s="45" t="str">
        <f>IF(C312&lt;&gt;"",_xlfn.XLOOKUP(TEXT(C312,"0"),TEXT(CC!$C$3:$C$1000,"0"),CC!$G$3:$G$1000,""),"")</f>
        <v/>
      </c>
    </row>
    <row r="313" spans="7:12" x14ac:dyDescent="0.25">
      <c r="G313" s="58">
        <f>IFERROR(SUMPRODUCT((TEXT(CC!$C$3:$C$1000,"0")=TEXT(C313,"0"))*IFERROR(CC!$E$3:$E$1000+0,0)),0)</f>
      </c>
      <c r="H313" s="44"/>
      <c r="I313" s="23" t="str">
        <f t="shared" si="15"/>
        <v/>
      </c>
      <c r="J313" s="33" cm="1">
        <f t="array" ref="J313">IFERROR(-_xlfn.IFS(OR(H313="y",H313="Y"),F313,AND(H313&lt;&gt;0,ISNUMBER(H313)),H313,G313&lt;&gt;0,G313),0)</f>
        <v>0</v>
      </c>
      <c r="K313" s="29" t="str">
        <f t="shared" si="16"/>
        <v/>
      </c>
      <c r="L313" s="45" t="str">
        <f>IF(C313&lt;&gt;"",_xlfn.XLOOKUP(TEXT(C313,"0"),TEXT(CC!$C$3:$C$1000,"0"),CC!$G$3:$G$1000,""),"")</f>
        <v/>
      </c>
    </row>
    <row r="314" spans="7:12" x14ac:dyDescent="0.25">
      <c r="G314" s="58">
        <f>IFERROR(SUMPRODUCT((TEXT(CC!$C$3:$C$1000,"0")=TEXT(C314,"0"))*IFERROR(CC!$E$3:$E$1000+0,0)),0)</f>
      </c>
      <c r="H314" s="44"/>
      <c r="I314" s="23" t="str">
        <f t="shared" si="15"/>
        <v/>
      </c>
      <c r="J314" s="33" cm="1">
        <f t="array" ref="J314">IFERROR(-_xlfn.IFS(OR(H314="y",H314="Y"),F314,AND(H314&lt;&gt;0,ISNUMBER(H314)),H314,G314&lt;&gt;0,G314),0)</f>
        <v>0</v>
      </c>
      <c r="K314" s="29" t="str">
        <f t="shared" si="16"/>
        <v/>
      </c>
      <c r="L314" s="45" t="str">
        <f>IF(C314&lt;&gt;"",_xlfn.XLOOKUP(TEXT(C314,"0"),TEXT(CC!$C$3:$C$1000,"0"),CC!$G$3:$G$1000,""),"")</f>
        <v/>
      </c>
    </row>
    <row r="315" spans="7:12" x14ac:dyDescent="0.25">
      <c r="G315" s="58">
        <f>IFERROR(SUMPRODUCT((TEXT(CC!$C$3:$C$1000,"0")=TEXT(C315,"0"))*IFERROR(CC!$E$3:$E$1000+0,0)),0)</f>
      </c>
      <c r="H315" s="44"/>
      <c r="I315" s="23" t="str">
        <f t="shared" si="15"/>
        <v/>
      </c>
      <c r="J315" s="33" cm="1">
        <f t="array" ref="J315">IFERROR(-_xlfn.IFS(OR(H315="y",H315="Y"),F315,AND(H315&lt;&gt;0,ISNUMBER(H315)),H315,G315&lt;&gt;0,G315),0)</f>
        <v>0</v>
      </c>
      <c r="K315" s="29" t="str">
        <f t="shared" si="16"/>
        <v/>
      </c>
      <c r="L315" s="45" t="str">
        <f>IF(C315&lt;&gt;"",_xlfn.XLOOKUP(TEXT(C315,"0"),TEXT(CC!$C$3:$C$1000,"0"),CC!$G$3:$G$1000,""),"")</f>
        <v/>
      </c>
    </row>
    <row r="316" spans="7:12" x14ac:dyDescent="0.25">
      <c r="G316" s="58">
        <f>IFERROR(SUMPRODUCT((TEXT(CC!$C$3:$C$1000,"0")=TEXT(C316,"0"))*IFERROR(CC!$E$3:$E$1000+0,0)),0)</f>
      </c>
      <c r="H316" s="44"/>
      <c r="I316" s="23" t="str">
        <f t="shared" si="15"/>
        <v/>
      </c>
      <c r="J316" s="33" cm="1">
        <f t="array" ref="J316">IFERROR(-_xlfn.IFS(OR(H316="y",H316="Y"),F316,AND(H316&lt;&gt;0,ISNUMBER(H316)),H316,G316&lt;&gt;0,G316),0)</f>
        <v>0</v>
      </c>
      <c r="K316" s="29" t="str">
        <f t="shared" si="16"/>
        <v/>
      </c>
      <c r="L316" s="45" t="str">
        <f>IF(C316&lt;&gt;"",_xlfn.XLOOKUP(TEXT(C316,"0"),TEXT(CC!$C$3:$C$1000,"0"),CC!$G$3:$G$1000,""),"")</f>
        <v/>
      </c>
    </row>
    <row r="317" spans="7:12" x14ac:dyDescent="0.25">
      <c r="G317" s="58">
        <f>IFERROR(SUMPRODUCT((TEXT(CC!$C$3:$C$1000,"0")=TEXT(C317,"0"))*IFERROR(CC!$E$3:$E$1000+0,0)),0)</f>
      </c>
      <c r="H317" s="44"/>
      <c r="I317" s="23" t="str">
        <f t="shared" si="15"/>
        <v/>
      </c>
      <c r="J317" s="33" cm="1">
        <f t="array" ref="J317">IFERROR(-_xlfn.IFS(OR(H317="y",H317="Y"),F317,AND(H317&lt;&gt;0,ISNUMBER(H317)),H317,G317&lt;&gt;0,G317),0)</f>
        <v>0</v>
      </c>
      <c r="K317" s="29" t="str">
        <f t="shared" si="16"/>
        <v/>
      </c>
      <c r="L317" s="45" t="str">
        <f>IF(C317&lt;&gt;"",_xlfn.XLOOKUP(TEXT(C317,"0"),TEXT(CC!$C$3:$C$1000,"0"),CC!$G$3:$G$1000,""),"")</f>
        <v/>
      </c>
    </row>
    <row r="318" spans="7:12" x14ac:dyDescent="0.25">
      <c r="G318" s="58">
        <f>IFERROR(SUMPRODUCT((TEXT(CC!$C$3:$C$1000,"0")=TEXT(C318,"0"))*IFERROR(CC!$E$3:$E$1000+0,0)),0)</f>
      </c>
      <c r="H318" s="44"/>
      <c r="I318" s="23" t="str">
        <f t="shared" si="15"/>
        <v/>
      </c>
      <c r="J318" s="33" cm="1">
        <f t="array" ref="J318">IFERROR(-_xlfn.IFS(OR(H318="y",H318="Y"),F318,AND(H318&lt;&gt;0,ISNUMBER(H318)),H318,G318&lt;&gt;0,G318),0)</f>
        <v>0</v>
      </c>
      <c r="K318" s="29" t="str">
        <f t="shared" si="16"/>
        <v/>
      </c>
      <c r="L318" s="45" t="str">
        <f>IF(C318&lt;&gt;"",_xlfn.XLOOKUP(TEXT(C318,"0"),TEXT(CC!$C$3:$C$1000,"0"),CC!$G$3:$G$1000,""),"")</f>
        <v/>
      </c>
    </row>
    <row r="319" spans="7:12" x14ac:dyDescent="0.25">
      <c r="G319" s="58">
        <f>IFERROR(SUMPRODUCT((TEXT(CC!$C$3:$C$1000,"0")=TEXT(C319,"0"))*IFERROR(CC!$E$3:$E$1000+0,0)),0)</f>
      </c>
      <c r="H319" s="44"/>
      <c r="I319" s="23" t="str">
        <f t="shared" si="15"/>
        <v/>
      </c>
      <c r="J319" s="33" cm="1">
        <f t="array" ref="J319">IFERROR(-_xlfn.IFS(OR(H319="y",H319="Y"),F319,AND(H319&lt;&gt;0,ISNUMBER(H319)),H319,G319&lt;&gt;0,G319),0)</f>
        <v>0</v>
      </c>
      <c r="K319" s="29" t="str">
        <f t="shared" si="16"/>
        <v/>
      </c>
      <c r="L319" s="45" t="str">
        <f>IF(C319&lt;&gt;"",_xlfn.XLOOKUP(TEXT(C319,"0"),TEXT(CC!$C$3:$C$1000,"0"),CC!$G$3:$G$1000,""),"")</f>
        <v/>
      </c>
    </row>
    <row r="320" spans="7:12" x14ac:dyDescent="0.25">
      <c r="G320" s="58">
        <f>IFERROR(SUMPRODUCT((TEXT(CC!$C$3:$C$1000,"0")=TEXT(C320,"0"))*IFERROR(CC!$E$3:$E$1000+0,0)),0)</f>
      </c>
      <c r="H320" s="44"/>
      <c r="I320" s="23" t="str">
        <f t="shared" si="15"/>
        <v/>
      </c>
      <c r="J320" s="33" cm="1">
        <f t="array" ref="J320">IFERROR(-_xlfn.IFS(OR(H320="y",H320="Y"),F320,AND(H320&lt;&gt;0,ISNUMBER(H320)),H320,G320&lt;&gt;0,G320),0)</f>
        <v>0</v>
      </c>
      <c r="K320" s="29" t="str">
        <f t="shared" si="16"/>
        <v/>
      </c>
      <c r="L320" s="45" t="str">
        <f>IF(C320&lt;&gt;"",_xlfn.XLOOKUP(TEXT(C320,"0"),TEXT(CC!$C$3:$C$1000,"0"),CC!$G$3:$G$1000,""),"")</f>
        <v/>
      </c>
    </row>
    <row r="321" spans="7:12" x14ac:dyDescent="0.25">
      <c r="G321" s="58">
        <f>IFERROR(SUMPRODUCT((TEXT(CC!$C$3:$C$1000,"0")=TEXT(C321,"0"))*IFERROR(CC!$E$3:$E$1000+0,0)),0)</f>
      </c>
      <c r="H321" s="44"/>
      <c r="I321" s="23" t="str">
        <f t="shared" si="15"/>
        <v/>
      </c>
      <c r="J321" s="33" cm="1">
        <f t="array" ref="J321">IFERROR(-_xlfn.IFS(OR(H321="y",H321="Y"),F321,AND(H321&lt;&gt;0,ISNUMBER(H321)),H321,G321&lt;&gt;0,G321),0)</f>
        <v>0</v>
      </c>
      <c r="K321" s="29" t="str">
        <f t="shared" si="16"/>
        <v/>
      </c>
      <c r="L321" s="45" t="str">
        <f>IF(C321&lt;&gt;"",_xlfn.XLOOKUP(TEXT(C321,"0"),TEXT(CC!$C$3:$C$1000,"0"),CC!$G$3:$G$1000,""),"")</f>
        <v/>
      </c>
    </row>
    <row r="322" spans="7:12" x14ac:dyDescent="0.25">
      <c r="G322" s="58">
        <f>IFERROR(SUMPRODUCT((TEXT(CC!$C$3:$C$1000,"0")=TEXT(C322,"0"))*IFERROR(CC!$E$3:$E$1000+0,0)),0)</f>
      </c>
      <c r="H322" s="44"/>
      <c r="I322" s="23" t="str">
        <f t="shared" si="15"/>
        <v/>
      </c>
      <c r="J322" s="33" cm="1">
        <f t="array" ref="J322">IFERROR(-_xlfn.IFS(OR(H322="y",H322="Y"),F322,AND(H322&lt;&gt;0,ISNUMBER(H322)),H322,G322&lt;&gt;0,G322),0)</f>
        <v>0</v>
      </c>
      <c r="K322" s="29" t="str">
        <f t="shared" si="16"/>
        <v/>
      </c>
      <c r="L322" s="45" t="str">
        <f>IF(C322&lt;&gt;"",_xlfn.XLOOKUP(TEXT(C322,"0"),TEXT(CC!$C$3:$C$1000,"0"),CC!$G$3:$G$1000,""),"")</f>
        <v/>
      </c>
    </row>
    <row r="323" spans="7:12" x14ac:dyDescent="0.25">
      <c r="G323" s="58">
        <f>IFERROR(SUMPRODUCT((TEXT(CC!$C$3:$C$1000,"0")=TEXT(C323,"0"))*IFERROR(CC!$E$3:$E$1000+0,0)),0)</f>
      </c>
      <c r="H323" s="44"/>
      <c r="I323" s="23" t="str">
        <f t="shared" si="15"/>
        <v/>
      </c>
      <c r="J323" s="33" cm="1">
        <f t="array" ref="J323">IFERROR(-_xlfn.IFS(OR(H323="y",H323="Y"),F323,AND(H323&lt;&gt;0,ISNUMBER(H323)),H323,G323&lt;&gt;0,G323),0)</f>
        <v>0</v>
      </c>
      <c r="K323" s="29" t="str">
        <f t="shared" si="16"/>
        <v/>
      </c>
      <c r="L323" s="45" t="str">
        <f>IF(C323&lt;&gt;"",_xlfn.XLOOKUP(TEXT(C323,"0"),TEXT(CC!$C$3:$C$1000,"0"),CC!$G$3:$G$1000,""),"")</f>
        <v/>
      </c>
    </row>
    <row r="324" spans="7:12" x14ac:dyDescent="0.25">
      <c r="G324" s="58">
        <f>IFERROR(SUMPRODUCT((TEXT(CC!$C$3:$C$1000,"0")=TEXT(C324,"0"))*IFERROR(CC!$E$3:$E$1000+0,0)),0)</f>
      </c>
      <c r="H324" s="44"/>
      <c r="I324" s="23" t="str">
        <f t="shared" si="15"/>
        <v/>
      </c>
      <c r="J324" s="33" cm="1">
        <f t="array" ref="J324">IFERROR(-_xlfn.IFS(OR(H324="y",H324="Y"),F324,AND(H324&lt;&gt;0,ISNUMBER(H324)),H324,G324&lt;&gt;0,G324),0)</f>
        <v>0</v>
      </c>
      <c r="K324" s="29" t="str">
        <f t="shared" si="16"/>
        <v/>
      </c>
      <c r="L324" s="45" t="str">
        <f>IF(C324&lt;&gt;"",_xlfn.XLOOKUP(TEXT(C324,"0"),TEXT(CC!$C$3:$C$1000,"0"),CC!$G$3:$G$1000,""),"")</f>
        <v/>
      </c>
    </row>
    <row r="325" spans="7:12" x14ac:dyDescent="0.25">
      <c r="G325" s="58">
        <f>IFERROR(SUMPRODUCT((TEXT(CC!$C$3:$C$1000,"0")=TEXT(C325,"0"))*IFERROR(CC!$E$3:$E$1000+0,0)),0)</f>
      </c>
      <c r="H325" s="44"/>
      <c r="I325" s="23" t="str">
        <f t="shared" si="15"/>
        <v/>
      </c>
      <c r="J325" s="33" cm="1">
        <f t="array" ref="J325">IFERROR(-_xlfn.IFS(OR(H325="y",H325="Y"),F325,AND(H325&lt;&gt;0,ISNUMBER(H325)),H325,G325&lt;&gt;0,G325),0)</f>
        <v>0</v>
      </c>
      <c r="K325" s="29" t="str">
        <f t="shared" si="16"/>
        <v/>
      </c>
      <c r="L325" s="45" t="str">
        <f>IF(C325&lt;&gt;"",_xlfn.XLOOKUP(TEXT(C325,"0"),TEXT(CC!$C$3:$C$1000,"0"),CC!$G$3:$G$1000,""),"")</f>
        <v/>
      </c>
    </row>
    <row r="326" spans="7:12" x14ac:dyDescent="0.25">
      <c r="G326" s="58">
        <f>IFERROR(SUMPRODUCT((TEXT(CC!$C$3:$C$1000,"0")=TEXT(C326,"0"))*IFERROR(CC!$E$3:$E$1000+0,0)),0)</f>
      </c>
      <c r="H326" s="44"/>
      <c r="I326" s="23" t="str">
        <f t="shared" si="15"/>
        <v/>
      </c>
      <c r="J326" s="33" cm="1">
        <f t="array" ref="J326">IFERROR(-_xlfn.IFS(OR(H326="y",H326="Y"),F326,AND(H326&lt;&gt;0,ISNUMBER(H326)),H326,G326&lt;&gt;0,G326),0)</f>
        <v>0</v>
      </c>
      <c r="K326" s="29" t="str">
        <f t="shared" si="16"/>
        <v/>
      </c>
      <c r="L326" s="45" t="str">
        <f>IF(C326&lt;&gt;"",_xlfn.XLOOKUP(TEXT(C326,"0"),TEXT(CC!$C$3:$C$1000,"0"),CC!$G$3:$G$1000,""),"")</f>
        <v/>
      </c>
    </row>
    <row r="327" spans="7:12" x14ac:dyDescent="0.25">
      <c r="G327" s="58">
        <f>IFERROR(SUMPRODUCT((TEXT(CC!$C$3:$C$1000,"0")=TEXT(C327,"0"))*IFERROR(CC!$E$3:$E$1000+0,0)),0)</f>
      </c>
      <c r="H327" s="44"/>
      <c r="I327" s="23" t="str">
        <f t="shared" si="15"/>
        <v/>
      </c>
      <c r="J327" s="33" cm="1">
        <f t="array" ref="J327">IFERROR(-_xlfn.IFS(OR(H327="y",H327="Y"),F327,AND(H327&lt;&gt;0,ISNUMBER(H327)),H327,G327&lt;&gt;0,G327),0)</f>
        <v>0</v>
      </c>
      <c r="K327" s="29" t="str">
        <f t="shared" si="16"/>
        <v/>
      </c>
      <c r="L327" s="45" t="str">
        <f>IF(C327&lt;&gt;"",_xlfn.XLOOKUP(TEXT(C327,"0"),TEXT(CC!$C$3:$C$1000,"0"),CC!$G$3:$G$1000,""),"")</f>
        <v/>
      </c>
    </row>
    <row r="328" spans="7:12" x14ac:dyDescent="0.25">
      <c r="G328" s="58">
        <f>IFERROR(SUMPRODUCT((TEXT(CC!$C$3:$C$1000,"0")=TEXT(C328,"0"))*IFERROR(CC!$E$3:$E$1000+0,0)),0)</f>
      </c>
      <c r="H328" s="44"/>
      <c r="I328" s="23" t="str">
        <f t="shared" si="15"/>
        <v/>
      </c>
      <c r="J328" s="33" cm="1">
        <f t="array" ref="J328">IFERROR(-_xlfn.IFS(OR(H328="y",H328="Y"),F328,AND(H328&lt;&gt;0,ISNUMBER(H328)),H328,G328&lt;&gt;0,G328),0)</f>
        <v>0</v>
      </c>
      <c r="K328" s="29" t="str">
        <f t="shared" si="16"/>
        <v/>
      </c>
      <c r="L328" s="45" t="str">
        <f>IF(C328&lt;&gt;"",_xlfn.XLOOKUP(TEXT(C328,"0"),TEXT(CC!$C$3:$C$1000,"0"),CC!$G$3:$G$1000,""),"")</f>
        <v/>
      </c>
    </row>
    <row r="329" spans="7:12" x14ac:dyDescent="0.25">
      <c r="G329" s="58">
        <f>IFERROR(SUMPRODUCT((TEXT(CC!$C$3:$C$1000,"0")=TEXT(C329,"0"))*IFERROR(CC!$E$3:$E$1000+0,0)),0)</f>
      </c>
      <c r="H329" s="44"/>
      <c r="I329" s="23" t="str">
        <f t="shared" si="15"/>
        <v/>
      </c>
      <c r="J329" s="33" cm="1">
        <f t="array" ref="J329">IFERROR(-_xlfn.IFS(OR(H329="y",H329="Y"),F329,AND(H329&lt;&gt;0,ISNUMBER(H329)),H329,G329&lt;&gt;0,G329),0)</f>
        <v>0</v>
      </c>
      <c r="K329" s="29" t="str">
        <f t="shared" si="16"/>
        <v/>
      </c>
      <c r="L329" s="45" t="str">
        <f>IF(C329&lt;&gt;"",_xlfn.XLOOKUP(TEXT(C329,"0"),TEXT(CC!$C$3:$C$1000,"0"),CC!$G$3:$G$1000,""),"")</f>
        <v/>
      </c>
    </row>
    <row r="330" spans="7:12" x14ac:dyDescent="0.25">
      <c r="G330" s="58">
        <f>IFERROR(SUMPRODUCT((TEXT(CC!$C$3:$C$1000,"0")=TEXT(C330,"0"))*IFERROR(CC!$E$3:$E$1000+0,0)),0)</f>
      </c>
      <c r="H330" s="44"/>
      <c r="I330" s="23" t="str">
        <f t="shared" si="15"/>
        <v/>
      </c>
      <c r="J330" s="33" cm="1">
        <f t="array" ref="J330">IFERROR(-_xlfn.IFS(OR(H330="y",H330="Y"),F330,AND(H330&lt;&gt;0,ISNUMBER(H330)),H330,G330&lt;&gt;0,G330),0)</f>
        <v>0</v>
      </c>
      <c r="K330" s="29" t="str">
        <f t="shared" si="16"/>
        <v/>
      </c>
      <c r="L330" s="45" t="str">
        <f>IF(C330&lt;&gt;"",_xlfn.XLOOKUP(TEXT(C330,"0"),TEXT(CC!$C$3:$C$1000,"0"),CC!$G$3:$G$1000,""),"")</f>
        <v/>
      </c>
    </row>
    <row r="331" spans="7:12" x14ac:dyDescent="0.25">
      <c r="G331" s="58">
        <f>IFERROR(SUMPRODUCT((TEXT(CC!$C$3:$C$1000,"0")=TEXT(C331,"0"))*IFERROR(CC!$E$3:$E$1000+0,0)),0)</f>
      </c>
      <c r="H331" s="44"/>
      <c r="I331" s="23" t="str">
        <f t="shared" si="15"/>
        <v/>
      </c>
      <c r="J331" s="33" cm="1">
        <f t="array" ref="J331">IFERROR(-_xlfn.IFS(OR(H331="y",H331="Y"),F331,AND(H331&lt;&gt;0,ISNUMBER(H331)),H331,G331&lt;&gt;0,G331),0)</f>
        <v>0</v>
      </c>
      <c r="K331" s="29" t="str">
        <f t="shared" si="16"/>
        <v/>
      </c>
      <c r="L331" s="45" t="str">
        <f>IF(C331&lt;&gt;"",_xlfn.XLOOKUP(TEXT(C331,"0"),TEXT(CC!$C$3:$C$1000,"0"),CC!$G$3:$G$1000,""),"")</f>
        <v/>
      </c>
    </row>
    <row r="332" spans="7:12" x14ac:dyDescent="0.25">
      <c r="G332" s="58">
        <f>IFERROR(SUMPRODUCT((TEXT(CC!$C$3:$C$1000,"0")=TEXT(C332,"0"))*IFERROR(CC!$E$3:$E$1000+0,0)),0)</f>
      </c>
      <c r="H332" s="44"/>
      <c r="I332" s="23" t="str">
        <f t="shared" si="15"/>
        <v/>
      </c>
      <c r="J332" s="33" cm="1">
        <f t="array" ref="J332">IFERROR(-_xlfn.IFS(OR(H332="y",H332="Y"),F332,AND(H332&lt;&gt;0,ISNUMBER(H332)),H332,G332&lt;&gt;0,G332),0)</f>
        <v>0</v>
      </c>
      <c r="K332" s="29" t="str">
        <f t="shared" si="16"/>
        <v/>
      </c>
      <c r="L332" s="45" t="str">
        <f>IF(C332&lt;&gt;"",_xlfn.XLOOKUP(TEXT(C332,"0"),TEXT(CC!$C$3:$C$1000,"0"),CC!$G$3:$G$1000,""),"")</f>
        <v/>
      </c>
    </row>
    <row r="333" spans="7:12" x14ac:dyDescent="0.25">
      <c r="G333" s="58">
        <f>IFERROR(SUMPRODUCT((TEXT(CC!$C$3:$C$1000,"0")=TEXT(C333,"0"))*IFERROR(CC!$E$3:$E$1000+0,0)),0)</f>
      </c>
      <c r="H333" s="44"/>
      <c r="I333" s="23" t="str">
        <f t="shared" si="15"/>
        <v/>
      </c>
      <c r="J333" s="33" cm="1">
        <f t="array" ref="J333">IFERROR(-_xlfn.IFS(OR(H333="y",H333="Y"),F333,AND(H333&lt;&gt;0,ISNUMBER(H333)),H333,G333&lt;&gt;0,G333),0)</f>
        <v>0</v>
      </c>
      <c r="K333" s="29" t="str">
        <f t="shared" si="16"/>
        <v/>
      </c>
      <c r="L333" s="45" t="str">
        <f>IF(C333&lt;&gt;"",_xlfn.XLOOKUP(TEXT(C333,"0"),TEXT(CC!$C$3:$C$1000,"0"),CC!$G$3:$G$1000,""),"")</f>
        <v/>
      </c>
    </row>
    <row r="334" spans="7:12" x14ac:dyDescent="0.25">
      <c r="G334" s="58">
        <f>IFERROR(SUMPRODUCT((TEXT(CC!$C$3:$C$1000,"0")=TEXT(C334,"0"))*IFERROR(CC!$E$3:$E$1000+0,0)),0)</f>
      </c>
      <c r="H334" s="44"/>
      <c r="I334" s="23" t="str">
        <f t="shared" si="15"/>
        <v/>
      </c>
      <c r="J334" s="33" cm="1">
        <f t="array" ref="J334">IFERROR(-_xlfn.IFS(OR(H334="y",H334="Y"),F334,AND(H334&lt;&gt;0,ISNUMBER(H334)),H334,G334&lt;&gt;0,G334),0)</f>
        <v>0</v>
      </c>
      <c r="K334" s="29" t="str">
        <f t="shared" si="16"/>
        <v/>
      </c>
      <c r="L334" s="45" t="str">
        <f>IF(C334&lt;&gt;"",_xlfn.XLOOKUP(TEXT(C334,"0"),TEXT(CC!$C$3:$C$1000,"0"),CC!$G$3:$G$1000,""),"")</f>
        <v/>
      </c>
    </row>
    <row r="335" spans="7:12" x14ac:dyDescent="0.25">
      <c r="G335" s="58">
        <f>IFERROR(SUMPRODUCT((TEXT(CC!$C$3:$C$1000,"0")=TEXT(C335,"0"))*IFERROR(CC!$E$3:$E$1000+0,0)),0)</f>
      </c>
      <c r="H335" s="44"/>
      <c r="I335" s="23" t="str">
        <f t="shared" ref="I335:I398" si="17">IF(J335&lt;&gt;0,"531011","")</f>
        <v/>
      </c>
      <c r="J335" s="33" cm="1">
        <f t="array" ref="J335">IFERROR(-_xlfn.IFS(OR(H335="y",H335="Y"),F335,AND(H335&lt;&gt;0,ISNUMBER(H335)),H335,G335&lt;&gt;0,G335),0)</f>
        <v>0</v>
      </c>
      <c r="K335" s="29" t="str">
        <f t="shared" si="16"/>
        <v/>
      </c>
      <c r="L335" s="45" t="str">
        <f>IF(C335&lt;&gt;"",_xlfn.XLOOKUP(TEXT(C335,"0"),TEXT(CC!$C$3:$C$1000,"0"),CC!$G$3:$G$1000,""),"")</f>
        <v/>
      </c>
    </row>
    <row r="336" spans="7:12" x14ac:dyDescent="0.25">
      <c r="G336" s="58">
        <f>IFERROR(SUMPRODUCT((TEXT(CC!$C$3:$C$1000,"0")=TEXT(C336,"0"))*IFERROR(CC!$E$3:$E$1000+0,0)),0)</f>
      </c>
      <c r="H336" s="44"/>
      <c r="I336" s="23" t="str">
        <f t="shared" si="17"/>
        <v/>
      </c>
      <c r="J336" s="33" cm="1">
        <f t="array" ref="J336">IFERROR(-_xlfn.IFS(OR(H336="y",H336="Y"),F336,AND(H336&lt;&gt;0,ISNUMBER(H336)),H336,G336&lt;&gt;0,G336),0)</f>
        <v>0</v>
      </c>
      <c r="K336" s="29" t="str">
        <f t="shared" ref="K336:K399" si="18">IF(J336&lt;&gt;0,C336,"")</f>
        <v/>
      </c>
      <c r="L336" s="45" t="str">
        <f>IF(C336&lt;&gt;"",_xlfn.XLOOKUP(TEXT(C336,"0"),TEXT(CC!$C$3:$C$1000,"0"),CC!$G$3:$G$1000,""),"")</f>
        <v/>
      </c>
    </row>
    <row r="337" spans="7:12" x14ac:dyDescent="0.25">
      <c r="G337" s="58">
        <f>IFERROR(SUMPRODUCT((TEXT(CC!$C$3:$C$1000,"0")=TEXT(C337,"0"))*IFERROR(CC!$E$3:$E$1000+0,0)),0)</f>
      </c>
      <c r="H337" s="44"/>
      <c r="I337" s="23" t="str">
        <f t="shared" si="17"/>
        <v/>
      </c>
      <c r="J337" s="33" cm="1">
        <f t="array" ref="J337">IFERROR(-_xlfn.IFS(OR(H337="y",H337="Y"),F337,AND(H337&lt;&gt;0,ISNUMBER(H337)),H337,G337&lt;&gt;0,G337),0)</f>
        <v>0</v>
      </c>
      <c r="K337" s="29" t="str">
        <f t="shared" si="18"/>
        <v/>
      </c>
      <c r="L337" s="45" t="str">
        <f>IF(C337&lt;&gt;"",_xlfn.XLOOKUP(TEXT(C337,"0"),TEXT(CC!$C$3:$C$1000,"0"),CC!$G$3:$G$1000,""),"")</f>
        <v/>
      </c>
    </row>
    <row r="338" spans="7:12" x14ac:dyDescent="0.25">
      <c r="G338" s="58">
        <f>IFERROR(SUMPRODUCT((TEXT(CC!$C$3:$C$1000,"0")=TEXT(C338,"0"))*IFERROR(CC!$E$3:$E$1000+0,0)),0)</f>
      </c>
      <c r="H338" s="44"/>
      <c r="I338" s="23" t="str">
        <f t="shared" si="17"/>
        <v/>
      </c>
      <c r="J338" s="33" cm="1">
        <f t="array" ref="J338">IFERROR(-_xlfn.IFS(OR(H338="y",H338="Y"),F338,AND(H338&lt;&gt;0,ISNUMBER(H338)),H338,G338&lt;&gt;0,G338),0)</f>
        <v>0</v>
      </c>
      <c r="K338" s="29" t="str">
        <f t="shared" si="18"/>
        <v/>
      </c>
      <c r="L338" s="45" t="str">
        <f>IF(C338&lt;&gt;"",_xlfn.XLOOKUP(TEXT(C338,"0"),TEXT(CC!$C$3:$C$1000,"0"),CC!$G$3:$G$1000,""),"")</f>
        <v/>
      </c>
    </row>
    <row r="339" spans="7:12" x14ac:dyDescent="0.25">
      <c r="G339" s="58">
        <f>IFERROR(SUMPRODUCT((TEXT(CC!$C$3:$C$1000,"0")=TEXT(C339,"0"))*IFERROR(CC!$E$3:$E$1000+0,0)),0)</f>
      </c>
      <c r="H339" s="44"/>
      <c r="I339" s="23" t="str">
        <f t="shared" si="17"/>
        <v/>
      </c>
      <c r="J339" s="33" cm="1">
        <f t="array" ref="J339">IFERROR(-_xlfn.IFS(OR(H339="y",H339="Y"),F339,AND(H339&lt;&gt;0,ISNUMBER(H339)),H339,G339&lt;&gt;0,G339),0)</f>
        <v>0</v>
      </c>
      <c r="K339" s="29" t="str">
        <f t="shared" si="18"/>
        <v/>
      </c>
      <c r="L339" s="45" t="str">
        <f>IF(C339&lt;&gt;"",_xlfn.XLOOKUP(TEXT(C339,"0"),TEXT(CC!$C$3:$C$1000,"0"),CC!$G$3:$G$1000,""),"")</f>
        <v/>
      </c>
    </row>
    <row r="340" spans="7:12" x14ac:dyDescent="0.25">
      <c r="G340" s="58">
        <f>IFERROR(SUMPRODUCT((TEXT(CC!$C$3:$C$1000,"0")=TEXT(C340,"0"))*IFERROR(CC!$E$3:$E$1000+0,0)),0)</f>
      </c>
      <c r="H340" s="44"/>
      <c r="I340" s="23" t="str">
        <f t="shared" si="17"/>
        <v/>
      </c>
      <c r="J340" s="33" cm="1">
        <f t="array" ref="J340">IFERROR(-_xlfn.IFS(OR(H340="y",H340="Y"),F340,AND(H340&lt;&gt;0,ISNUMBER(H340)),H340,G340&lt;&gt;0,G340),0)</f>
        <v>0</v>
      </c>
      <c r="K340" s="29" t="str">
        <f t="shared" si="18"/>
        <v/>
      </c>
      <c r="L340" s="45" t="str">
        <f>IF(C340&lt;&gt;"",_xlfn.XLOOKUP(TEXT(C340,"0"),TEXT(CC!$C$3:$C$1000,"0"),CC!$G$3:$G$1000,""),"")</f>
        <v/>
      </c>
    </row>
    <row r="341" spans="7:12" x14ac:dyDescent="0.25">
      <c r="G341" s="58">
        <f>IFERROR(SUMPRODUCT((TEXT(CC!$C$3:$C$1000,"0")=TEXT(C341,"0"))*IFERROR(CC!$E$3:$E$1000+0,0)),0)</f>
      </c>
      <c r="H341" s="44"/>
      <c r="I341" s="23" t="str">
        <f t="shared" si="17"/>
        <v/>
      </c>
      <c r="J341" s="33" cm="1">
        <f t="array" ref="J341">IFERROR(-_xlfn.IFS(OR(H341="y",H341="Y"),F341,AND(H341&lt;&gt;0,ISNUMBER(H341)),H341,G341&lt;&gt;0,G341),0)</f>
        <v>0</v>
      </c>
      <c r="K341" s="29" t="str">
        <f t="shared" si="18"/>
        <v/>
      </c>
      <c r="L341" s="45" t="str">
        <f>IF(C341&lt;&gt;"",_xlfn.XLOOKUP(TEXT(C341,"0"),TEXT(CC!$C$3:$C$1000,"0"),CC!$G$3:$G$1000,""),"")</f>
        <v/>
      </c>
    </row>
    <row r="342" spans="7:12" x14ac:dyDescent="0.25">
      <c r="G342" s="58">
        <f>IFERROR(SUMPRODUCT((TEXT(CC!$C$3:$C$1000,"0")=TEXT(C342,"0"))*IFERROR(CC!$E$3:$E$1000+0,0)),0)</f>
      </c>
      <c r="H342" s="44"/>
      <c r="I342" s="23" t="str">
        <f t="shared" si="17"/>
        <v/>
      </c>
      <c r="J342" s="33" cm="1">
        <f t="array" ref="J342">IFERROR(-_xlfn.IFS(OR(H342="y",H342="Y"),F342,AND(H342&lt;&gt;0,ISNUMBER(H342)),H342,G342&lt;&gt;0,G342),0)</f>
        <v>0</v>
      </c>
      <c r="K342" s="29" t="str">
        <f t="shared" si="18"/>
        <v/>
      </c>
      <c r="L342" s="45" t="str">
        <f>IF(C342&lt;&gt;"",_xlfn.XLOOKUP(TEXT(C342,"0"),TEXT(CC!$C$3:$C$1000,"0"),CC!$G$3:$G$1000,""),"")</f>
        <v/>
      </c>
    </row>
    <row r="343" spans="7:12" x14ac:dyDescent="0.25">
      <c r="G343" s="58">
        <f>IFERROR(SUMPRODUCT((TEXT(CC!$C$3:$C$1000,"0")=TEXT(C343,"0"))*IFERROR(CC!$E$3:$E$1000+0,0)),0)</f>
      </c>
      <c r="H343" s="44"/>
      <c r="I343" s="23" t="str">
        <f t="shared" si="17"/>
        <v/>
      </c>
      <c r="J343" s="33" cm="1">
        <f t="array" ref="J343">IFERROR(-_xlfn.IFS(OR(H343="y",H343="Y"),F343,AND(H343&lt;&gt;0,ISNUMBER(H343)),H343,G343&lt;&gt;0,G343),0)</f>
        <v>0</v>
      </c>
      <c r="K343" s="29" t="str">
        <f t="shared" si="18"/>
        <v/>
      </c>
      <c r="L343" s="45" t="str">
        <f>IF(C343&lt;&gt;"",_xlfn.XLOOKUP(TEXT(C343,"0"),TEXT(CC!$C$3:$C$1000,"0"),CC!$G$3:$G$1000,""),"")</f>
        <v/>
      </c>
    </row>
    <row r="344" spans="7:12" x14ac:dyDescent="0.25">
      <c r="G344" s="58">
        <f>IFERROR(SUMPRODUCT((TEXT(CC!$C$3:$C$1000,"0")=TEXT(C344,"0"))*IFERROR(CC!$E$3:$E$1000+0,0)),0)</f>
      </c>
      <c r="H344" s="44"/>
      <c r="I344" s="23" t="str">
        <f t="shared" si="17"/>
        <v/>
      </c>
      <c r="J344" s="33" cm="1">
        <f t="array" ref="J344">IFERROR(-_xlfn.IFS(OR(H344="y",H344="Y"),F344,AND(H344&lt;&gt;0,ISNUMBER(H344)),H344,G344&lt;&gt;0,G344),0)</f>
        <v>0</v>
      </c>
      <c r="K344" s="29" t="str">
        <f t="shared" si="18"/>
        <v/>
      </c>
      <c r="L344" s="45" t="str">
        <f>IF(C344&lt;&gt;"",_xlfn.XLOOKUP(TEXT(C344,"0"),TEXT(CC!$C$3:$C$1000,"0"),CC!$G$3:$G$1000,""),"")</f>
        <v/>
      </c>
    </row>
    <row r="345" spans="7:12" x14ac:dyDescent="0.25">
      <c r="G345" s="58">
        <f>IFERROR(SUMPRODUCT((TEXT(CC!$C$3:$C$1000,"0")=TEXT(C345,"0"))*IFERROR(CC!$E$3:$E$1000+0,0)),0)</f>
      </c>
      <c r="H345" s="44"/>
      <c r="I345" s="23" t="str">
        <f t="shared" si="17"/>
        <v/>
      </c>
      <c r="J345" s="33" cm="1">
        <f t="array" ref="J345">IFERROR(-_xlfn.IFS(OR(H345="y",H345="Y"),F345,AND(H345&lt;&gt;0,ISNUMBER(H345)),H345,G345&lt;&gt;0,G345),0)</f>
        <v>0</v>
      </c>
      <c r="K345" s="29" t="str">
        <f t="shared" si="18"/>
        <v/>
      </c>
      <c r="L345" s="45" t="str">
        <f>IF(C345&lt;&gt;"",_xlfn.XLOOKUP(TEXT(C345,"0"),TEXT(CC!$C$3:$C$1000,"0"),CC!$G$3:$G$1000,""),"")</f>
        <v/>
      </c>
    </row>
    <row r="346" spans="7:12" x14ac:dyDescent="0.25">
      <c r="G346" s="58">
        <f>IFERROR(SUMPRODUCT((TEXT(CC!$C$3:$C$1000,"0")=TEXT(C346,"0"))*IFERROR(CC!$E$3:$E$1000+0,0)),0)</f>
      </c>
      <c r="H346" s="44"/>
      <c r="I346" s="23" t="str">
        <f t="shared" si="17"/>
        <v/>
      </c>
      <c r="J346" s="33" cm="1">
        <f t="array" ref="J346">IFERROR(-_xlfn.IFS(OR(H346="y",H346="Y"),F346,AND(H346&lt;&gt;0,ISNUMBER(H346)),H346,G346&lt;&gt;0,G346),0)</f>
        <v>0</v>
      </c>
      <c r="K346" s="29" t="str">
        <f t="shared" si="18"/>
        <v/>
      </c>
      <c r="L346" s="45" t="str">
        <f>IF(C346&lt;&gt;"",_xlfn.XLOOKUP(TEXT(C346,"0"),TEXT(CC!$C$3:$C$1000,"0"),CC!$G$3:$G$1000,""),"")</f>
        <v/>
      </c>
    </row>
    <row r="347" spans="7:12" x14ac:dyDescent="0.25">
      <c r="G347" s="58">
        <f>IFERROR(SUMPRODUCT((TEXT(CC!$C$3:$C$1000,"0")=TEXT(C347,"0"))*IFERROR(CC!$E$3:$E$1000+0,0)),0)</f>
      </c>
      <c r="H347" s="44"/>
      <c r="I347" s="23" t="str">
        <f t="shared" si="17"/>
        <v/>
      </c>
      <c r="J347" s="33" cm="1">
        <f t="array" ref="J347">IFERROR(-_xlfn.IFS(OR(H347="y",H347="Y"),F347,AND(H347&lt;&gt;0,ISNUMBER(H347)),H347,G347&lt;&gt;0,G347),0)</f>
        <v>0</v>
      </c>
      <c r="K347" s="29" t="str">
        <f t="shared" si="18"/>
        <v/>
      </c>
      <c r="L347" s="45" t="str">
        <f>IF(C347&lt;&gt;"",_xlfn.XLOOKUP(TEXT(C347,"0"),TEXT(CC!$C$3:$C$1000,"0"),CC!$G$3:$G$1000,""),"")</f>
        <v/>
      </c>
    </row>
    <row r="348" spans="7:12" x14ac:dyDescent="0.25">
      <c r="G348" s="58">
        <f>IFERROR(SUMPRODUCT((TEXT(CC!$C$3:$C$1000,"0")=TEXT(C348,"0"))*IFERROR(CC!$E$3:$E$1000+0,0)),0)</f>
      </c>
      <c r="H348" s="44"/>
      <c r="I348" s="23" t="str">
        <f t="shared" si="17"/>
        <v/>
      </c>
      <c r="J348" s="33" cm="1">
        <f t="array" ref="J348">IFERROR(-_xlfn.IFS(OR(H348="y",H348="Y"),F348,AND(H348&lt;&gt;0,ISNUMBER(H348)),H348,G348&lt;&gt;0,G348),0)</f>
        <v>0</v>
      </c>
      <c r="K348" s="29" t="str">
        <f t="shared" si="18"/>
        <v/>
      </c>
      <c r="L348" s="45" t="str">
        <f>IF(C348&lt;&gt;"",_xlfn.XLOOKUP(TEXT(C348,"0"),TEXT(CC!$C$3:$C$1000,"0"),CC!$G$3:$G$1000,""),"")</f>
        <v/>
      </c>
    </row>
    <row r="349" spans="7:12" x14ac:dyDescent="0.25">
      <c r="G349" s="58">
        <f>IFERROR(SUMPRODUCT((TEXT(CC!$C$3:$C$1000,"0")=TEXT(C349,"0"))*IFERROR(CC!$E$3:$E$1000+0,0)),0)</f>
      </c>
      <c r="H349" s="44"/>
      <c r="I349" s="23" t="str">
        <f t="shared" si="17"/>
        <v/>
      </c>
      <c r="J349" s="33" cm="1">
        <f t="array" ref="J349">IFERROR(-_xlfn.IFS(OR(H349="y",H349="Y"),F349,AND(H349&lt;&gt;0,ISNUMBER(H349)),H349,G349&lt;&gt;0,G349),0)</f>
        <v>0</v>
      </c>
      <c r="K349" s="29" t="str">
        <f t="shared" si="18"/>
        <v/>
      </c>
      <c r="L349" s="45" t="str">
        <f>IF(C349&lt;&gt;"",_xlfn.XLOOKUP(TEXT(C349,"0"),TEXT(CC!$C$3:$C$1000,"0"),CC!$G$3:$G$1000,""),"")</f>
        <v/>
      </c>
    </row>
    <row r="350" spans="7:12" x14ac:dyDescent="0.25">
      <c r="G350" s="58">
        <f>IFERROR(SUMPRODUCT((TEXT(CC!$C$3:$C$1000,"0")=TEXT(C350,"0"))*IFERROR(CC!$E$3:$E$1000+0,0)),0)</f>
      </c>
      <c r="H350" s="44"/>
      <c r="I350" s="23" t="str">
        <f t="shared" si="17"/>
        <v/>
      </c>
      <c r="J350" s="33" cm="1">
        <f t="array" ref="J350">IFERROR(-_xlfn.IFS(OR(H350="y",H350="Y"),F350,AND(H350&lt;&gt;0,ISNUMBER(H350)),H350,G350&lt;&gt;0,G350),0)</f>
        <v>0</v>
      </c>
      <c r="K350" s="29" t="str">
        <f t="shared" si="18"/>
        <v/>
      </c>
      <c r="L350" s="45" t="str">
        <f>IF(C350&lt;&gt;"",_xlfn.XLOOKUP(TEXT(C350,"0"),TEXT(CC!$C$3:$C$1000,"0"),CC!$G$3:$G$1000,""),"")</f>
        <v/>
      </c>
    </row>
    <row r="351" spans="7:12" x14ac:dyDescent="0.25">
      <c r="G351" s="58">
        <f>IFERROR(SUMPRODUCT((TEXT(CC!$C$3:$C$1000,"0")=TEXT(C351,"0"))*IFERROR(CC!$E$3:$E$1000+0,0)),0)</f>
      </c>
      <c r="H351" s="44"/>
      <c r="I351" s="23" t="str">
        <f t="shared" si="17"/>
        <v/>
      </c>
      <c r="J351" s="33" cm="1">
        <f t="array" ref="J351">IFERROR(-_xlfn.IFS(OR(H351="y",H351="Y"),F351,AND(H351&lt;&gt;0,ISNUMBER(H351)),H351,G351&lt;&gt;0,G351),0)</f>
        <v>0</v>
      </c>
      <c r="K351" s="29" t="str">
        <f t="shared" si="18"/>
        <v/>
      </c>
      <c r="L351" s="45" t="str">
        <f>IF(C351&lt;&gt;"",_xlfn.XLOOKUP(TEXT(C351,"0"),TEXT(CC!$C$3:$C$1000,"0"),CC!$G$3:$G$1000,""),"")</f>
        <v/>
      </c>
    </row>
    <row r="352" spans="7:12" x14ac:dyDescent="0.25">
      <c r="G352" s="58">
        <f>IFERROR(SUMPRODUCT((TEXT(CC!$C$3:$C$1000,"0")=TEXT(C352,"0"))*IFERROR(CC!$E$3:$E$1000+0,0)),0)</f>
      </c>
      <c r="H352" s="44"/>
      <c r="I352" s="23" t="str">
        <f t="shared" si="17"/>
        <v/>
      </c>
      <c r="J352" s="33" cm="1">
        <f t="array" ref="J352">IFERROR(-_xlfn.IFS(OR(H352="y",H352="Y"),F352,AND(H352&lt;&gt;0,ISNUMBER(H352)),H352,G352&lt;&gt;0,G352),0)</f>
        <v>0</v>
      </c>
      <c r="K352" s="29" t="str">
        <f t="shared" si="18"/>
        <v/>
      </c>
      <c r="L352" s="45" t="str">
        <f>IF(C352&lt;&gt;"",_xlfn.XLOOKUP(TEXT(C352,"0"),TEXT(CC!$C$3:$C$1000,"0"),CC!$G$3:$G$1000,""),"")</f>
        <v/>
      </c>
    </row>
    <row r="353" spans="7:12" x14ac:dyDescent="0.25">
      <c r="G353" s="58">
        <f>IFERROR(SUMPRODUCT((TEXT(CC!$C$3:$C$1000,"0")=TEXT(C353,"0"))*IFERROR(CC!$E$3:$E$1000+0,0)),0)</f>
      </c>
      <c r="H353" s="44"/>
      <c r="I353" s="23" t="str">
        <f t="shared" si="17"/>
        <v/>
      </c>
      <c r="J353" s="33" cm="1">
        <f t="array" ref="J353">IFERROR(-_xlfn.IFS(OR(H353="y",H353="Y"),F353,AND(H353&lt;&gt;0,ISNUMBER(H353)),H353,G353&lt;&gt;0,G353),0)</f>
        <v>0</v>
      </c>
      <c r="K353" s="29" t="str">
        <f t="shared" si="18"/>
        <v/>
      </c>
      <c r="L353" s="45" t="str">
        <f>IF(C353&lt;&gt;"",_xlfn.XLOOKUP(TEXT(C353,"0"),TEXT(CC!$C$3:$C$1000,"0"),CC!$G$3:$G$1000,""),"")</f>
        <v/>
      </c>
    </row>
    <row r="354" spans="7:12" x14ac:dyDescent="0.25">
      <c r="G354" s="58">
        <f>IFERROR(SUMPRODUCT((TEXT(CC!$C$3:$C$1000,"0")=TEXT(C354,"0"))*IFERROR(CC!$E$3:$E$1000+0,0)),0)</f>
      </c>
      <c r="H354" s="44"/>
      <c r="I354" s="23" t="str">
        <f t="shared" si="17"/>
        <v/>
      </c>
      <c r="J354" s="33" cm="1">
        <f t="array" ref="J354">IFERROR(-_xlfn.IFS(OR(H354="y",H354="Y"),F354,AND(H354&lt;&gt;0,ISNUMBER(H354)),H354,G354&lt;&gt;0,G354),0)</f>
        <v>0</v>
      </c>
      <c r="K354" s="29" t="str">
        <f t="shared" si="18"/>
        <v/>
      </c>
      <c r="L354" s="45" t="str">
        <f>IF(C354&lt;&gt;"",_xlfn.XLOOKUP(TEXT(C354,"0"),TEXT(CC!$C$3:$C$1000,"0"),CC!$G$3:$G$1000,""),"")</f>
        <v/>
      </c>
    </row>
    <row r="355" spans="7:12" x14ac:dyDescent="0.25">
      <c r="G355" s="58">
        <f>IFERROR(SUMPRODUCT((TEXT(CC!$C$3:$C$1000,"0")=TEXT(C355,"0"))*IFERROR(CC!$E$3:$E$1000+0,0)),0)</f>
      </c>
      <c r="H355" s="44"/>
      <c r="I355" s="23" t="str">
        <f t="shared" si="17"/>
        <v/>
      </c>
      <c r="J355" s="33" cm="1">
        <f t="array" ref="J355">IFERROR(-_xlfn.IFS(OR(H355="y",H355="Y"),F355,AND(H355&lt;&gt;0,ISNUMBER(H355)),H355,G355&lt;&gt;0,G355),0)</f>
        <v>0</v>
      </c>
      <c r="K355" s="29" t="str">
        <f t="shared" si="18"/>
        <v/>
      </c>
      <c r="L355" s="45" t="str">
        <f>IF(C355&lt;&gt;"",_xlfn.XLOOKUP(TEXT(C355,"0"),TEXT(CC!$C$3:$C$1000,"0"),CC!$G$3:$G$1000,""),"")</f>
        <v/>
      </c>
    </row>
    <row r="356" spans="7:12" x14ac:dyDescent="0.25">
      <c r="G356" s="58">
        <f>IFERROR(SUMPRODUCT((TEXT(CC!$C$3:$C$1000,"0")=TEXT(C356,"0"))*IFERROR(CC!$E$3:$E$1000+0,0)),0)</f>
      </c>
      <c r="H356" s="44"/>
      <c r="I356" s="23" t="str">
        <f t="shared" si="17"/>
        <v/>
      </c>
      <c r="J356" s="33" cm="1">
        <f t="array" ref="J356">IFERROR(-_xlfn.IFS(OR(H356="y",H356="Y"),F356,AND(H356&lt;&gt;0,ISNUMBER(H356)),H356,G356&lt;&gt;0,G356),0)</f>
        <v>0</v>
      </c>
      <c r="K356" s="29" t="str">
        <f t="shared" si="18"/>
        <v/>
      </c>
      <c r="L356" s="45" t="str">
        <f>IF(C356&lt;&gt;"",_xlfn.XLOOKUP(TEXT(C356,"0"),TEXT(CC!$C$3:$C$1000,"0"),CC!$G$3:$G$1000,""),"")</f>
        <v/>
      </c>
    </row>
    <row r="357" spans="7:12" x14ac:dyDescent="0.25">
      <c r="G357" s="58">
        <f>IFERROR(SUMPRODUCT((TEXT(CC!$C$3:$C$1000,"0")=TEXT(C357,"0"))*IFERROR(CC!$E$3:$E$1000+0,0)),0)</f>
      </c>
      <c r="H357" s="44"/>
      <c r="I357" s="23" t="str">
        <f t="shared" si="17"/>
        <v/>
      </c>
      <c r="J357" s="33" cm="1">
        <f t="array" ref="J357">IFERROR(-_xlfn.IFS(OR(H357="y",H357="Y"),F357,AND(H357&lt;&gt;0,ISNUMBER(H357)),H357,G357&lt;&gt;0,G357),0)</f>
        <v>0</v>
      </c>
      <c r="K357" s="29" t="str">
        <f t="shared" si="18"/>
        <v/>
      </c>
      <c r="L357" s="45" t="str">
        <f>IF(C357&lt;&gt;"",_xlfn.XLOOKUP(TEXT(C357,"0"),TEXT(CC!$C$3:$C$1000,"0"),CC!$G$3:$G$1000,""),"")</f>
        <v/>
      </c>
    </row>
    <row r="358" spans="7:12" x14ac:dyDescent="0.25">
      <c r="G358" s="58">
        <f>IFERROR(SUMPRODUCT((TEXT(CC!$C$3:$C$1000,"0")=TEXT(C358,"0"))*IFERROR(CC!$E$3:$E$1000+0,0)),0)</f>
      </c>
      <c r="H358" s="44"/>
      <c r="I358" s="23" t="str">
        <f t="shared" si="17"/>
        <v/>
      </c>
      <c r="J358" s="33" cm="1">
        <f t="array" ref="J358">IFERROR(-_xlfn.IFS(OR(H358="y",H358="Y"),F358,AND(H358&lt;&gt;0,ISNUMBER(H358)),H358,G358&lt;&gt;0,G358),0)</f>
        <v>0</v>
      </c>
      <c r="K358" s="29" t="str">
        <f t="shared" si="18"/>
        <v/>
      </c>
      <c r="L358" s="45" t="str">
        <f>IF(C358&lt;&gt;"",_xlfn.XLOOKUP(TEXT(C358,"0"),TEXT(CC!$C$3:$C$1000,"0"),CC!$G$3:$G$1000,""),"")</f>
        <v/>
      </c>
    </row>
    <row r="359" spans="7:12" x14ac:dyDescent="0.25">
      <c r="G359" s="58">
        <f>IFERROR(SUMPRODUCT((TEXT(CC!$C$3:$C$1000,"0")=TEXT(C359,"0"))*IFERROR(CC!$E$3:$E$1000+0,0)),0)</f>
      </c>
      <c r="H359" s="44"/>
      <c r="I359" s="23" t="str">
        <f t="shared" si="17"/>
        <v/>
      </c>
      <c r="J359" s="33" cm="1">
        <f t="array" ref="J359">IFERROR(-_xlfn.IFS(OR(H359="y",H359="Y"),F359,AND(H359&lt;&gt;0,ISNUMBER(H359)),H359,G359&lt;&gt;0,G359),0)</f>
        <v>0</v>
      </c>
      <c r="K359" s="29" t="str">
        <f t="shared" si="18"/>
        <v/>
      </c>
      <c r="L359" s="45" t="str">
        <f>IF(C359&lt;&gt;"",_xlfn.XLOOKUP(TEXT(C359,"0"),TEXT(CC!$C$3:$C$1000,"0"),CC!$G$3:$G$1000,""),"")</f>
        <v/>
      </c>
    </row>
    <row r="360" spans="7:12" x14ac:dyDescent="0.25">
      <c r="G360" s="58">
        <f>IFERROR(SUMPRODUCT((TEXT(CC!$C$3:$C$1000,"0")=TEXT(C360,"0"))*IFERROR(CC!$E$3:$E$1000+0,0)),0)</f>
      </c>
      <c r="H360" s="44"/>
      <c r="I360" s="23" t="str">
        <f t="shared" si="17"/>
        <v/>
      </c>
      <c r="J360" s="33" cm="1">
        <f t="array" ref="J360">IFERROR(-_xlfn.IFS(OR(H360="y",H360="Y"),F360,AND(H360&lt;&gt;0,ISNUMBER(H360)),H360,G360&lt;&gt;0,G360),0)</f>
        <v>0</v>
      </c>
      <c r="K360" s="29" t="str">
        <f t="shared" si="18"/>
        <v/>
      </c>
      <c r="L360" s="45" t="str">
        <f>IF(C360&lt;&gt;"",_xlfn.XLOOKUP(TEXT(C360,"0"),TEXT(CC!$C$3:$C$1000,"0"),CC!$G$3:$G$1000,""),"")</f>
        <v/>
      </c>
    </row>
    <row r="361" spans="7:12" x14ac:dyDescent="0.25">
      <c r="G361" s="58">
        <f>IFERROR(SUMPRODUCT((TEXT(CC!$C$3:$C$1000,"0")=TEXT(C361,"0"))*IFERROR(CC!$E$3:$E$1000+0,0)),0)</f>
      </c>
      <c r="H361" s="44"/>
      <c r="I361" s="23" t="str">
        <f t="shared" si="17"/>
        <v/>
      </c>
      <c r="J361" s="33" cm="1">
        <f t="array" ref="J361">IFERROR(-_xlfn.IFS(OR(H361="y",H361="Y"),F361,AND(H361&lt;&gt;0,ISNUMBER(H361)),H361,G361&lt;&gt;0,G361),0)</f>
        <v>0</v>
      </c>
      <c r="K361" s="29" t="str">
        <f t="shared" si="18"/>
        <v/>
      </c>
      <c r="L361" s="45" t="str">
        <f>IF(C361&lt;&gt;"",_xlfn.XLOOKUP(TEXT(C361,"0"),TEXT(CC!$C$3:$C$1000,"0"),CC!$G$3:$G$1000,""),"")</f>
        <v/>
      </c>
    </row>
    <row r="362" spans="7:12" x14ac:dyDescent="0.25">
      <c r="G362" s="58">
        <f>IFERROR(SUMPRODUCT((TEXT(CC!$C$3:$C$1000,"0")=TEXT(C362,"0"))*IFERROR(CC!$E$3:$E$1000+0,0)),0)</f>
      </c>
      <c r="H362" s="44"/>
      <c r="I362" s="23" t="str">
        <f t="shared" si="17"/>
        <v/>
      </c>
      <c r="J362" s="33" cm="1">
        <f t="array" ref="J362">IFERROR(-_xlfn.IFS(OR(H362="y",H362="Y"),F362,AND(H362&lt;&gt;0,ISNUMBER(H362)),H362,G362&lt;&gt;0,G362),0)</f>
        <v>0</v>
      </c>
      <c r="K362" s="29" t="str">
        <f t="shared" si="18"/>
        <v/>
      </c>
      <c r="L362" s="45" t="str">
        <f>IF(C362&lt;&gt;"",_xlfn.XLOOKUP(TEXT(C362,"0"),TEXT(CC!$C$3:$C$1000,"0"),CC!$G$3:$G$1000,""),"")</f>
        <v/>
      </c>
    </row>
    <row r="363" spans="7:12" x14ac:dyDescent="0.25">
      <c r="G363" s="58">
        <f>IFERROR(SUMPRODUCT((TEXT(CC!$C$3:$C$1000,"0")=TEXT(C363,"0"))*IFERROR(CC!$E$3:$E$1000+0,0)),0)</f>
      </c>
      <c r="H363" s="44"/>
      <c r="I363" s="23" t="str">
        <f t="shared" si="17"/>
        <v/>
      </c>
      <c r="J363" s="33" cm="1">
        <f t="array" ref="J363">IFERROR(-_xlfn.IFS(OR(H363="y",H363="Y"),F363,AND(H363&lt;&gt;0,ISNUMBER(H363)),H363,G363&lt;&gt;0,G363),0)</f>
        <v>0</v>
      </c>
      <c r="K363" s="29" t="str">
        <f t="shared" si="18"/>
        <v/>
      </c>
      <c r="L363" s="45" t="str">
        <f>IF(C363&lt;&gt;"",_xlfn.XLOOKUP(TEXT(C363,"0"),TEXT(CC!$C$3:$C$1000,"0"),CC!$G$3:$G$1000,""),"")</f>
        <v/>
      </c>
    </row>
    <row r="364" spans="7:12" x14ac:dyDescent="0.25">
      <c r="G364" s="58">
        <f>IFERROR(SUMPRODUCT((TEXT(CC!$C$3:$C$1000,"0")=TEXT(C364,"0"))*IFERROR(CC!$E$3:$E$1000+0,0)),0)</f>
      </c>
      <c r="H364" s="44"/>
      <c r="I364" s="23" t="str">
        <f t="shared" si="17"/>
        <v/>
      </c>
      <c r="J364" s="33" cm="1">
        <f t="array" ref="J364">IFERROR(-_xlfn.IFS(OR(H364="y",H364="Y"),F364,AND(H364&lt;&gt;0,ISNUMBER(H364)),H364,G364&lt;&gt;0,G364),0)</f>
        <v>0</v>
      </c>
      <c r="K364" s="29" t="str">
        <f t="shared" si="18"/>
        <v/>
      </c>
      <c r="L364" s="45" t="str">
        <f>IF(C364&lt;&gt;"",_xlfn.XLOOKUP(TEXT(C364,"0"),TEXT(CC!$C$3:$C$1000,"0"),CC!$G$3:$G$1000,""),"")</f>
        <v/>
      </c>
    </row>
    <row r="365" spans="7:12" x14ac:dyDescent="0.25">
      <c r="G365" s="58">
        <f>IFERROR(SUMPRODUCT((TEXT(CC!$C$3:$C$1000,"0")=TEXT(C365,"0"))*IFERROR(CC!$E$3:$E$1000+0,0)),0)</f>
      </c>
      <c r="H365" s="44"/>
      <c r="I365" s="23" t="str">
        <f t="shared" si="17"/>
        <v/>
      </c>
      <c r="J365" s="33" cm="1">
        <f t="array" ref="J365">IFERROR(-_xlfn.IFS(OR(H365="y",H365="Y"),F365,AND(H365&lt;&gt;0,ISNUMBER(H365)),H365,G365&lt;&gt;0,G365),0)</f>
        <v>0</v>
      </c>
      <c r="K365" s="29" t="str">
        <f t="shared" si="18"/>
        <v/>
      </c>
      <c r="L365" s="45" t="str">
        <f>IF(C365&lt;&gt;"",_xlfn.XLOOKUP(TEXT(C365,"0"),TEXT(CC!$C$3:$C$1000,"0"),CC!$G$3:$G$1000,""),"")</f>
        <v/>
      </c>
    </row>
    <row r="366" spans="7:12" x14ac:dyDescent="0.25">
      <c r="G366" s="58">
        <f>IFERROR(SUMPRODUCT((TEXT(CC!$C$3:$C$1000,"0")=TEXT(C366,"0"))*IFERROR(CC!$E$3:$E$1000+0,0)),0)</f>
      </c>
      <c r="H366" s="44"/>
      <c r="I366" s="23" t="str">
        <f t="shared" si="17"/>
        <v/>
      </c>
      <c r="J366" s="33" cm="1">
        <f t="array" ref="J366">IFERROR(-_xlfn.IFS(OR(H366="y",H366="Y"),F366,AND(H366&lt;&gt;0,ISNUMBER(H366)),H366,G366&lt;&gt;0,G366),0)</f>
        <v>0</v>
      </c>
      <c r="K366" s="29" t="str">
        <f t="shared" si="18"/>
        <v/>
      </c>
      <c r="L366" s="45" t="str">
        <f>IF(C366&lt;&gt;"",_xlfn.XLOOKUP(TEXT(C366,"0"),TEXT(CC!$C$3:$C$1000,"0"),CC!$G$3:$G$1000,""),"")</f>
        <v/>
      </c>
    </row>
    <row r="367" spans="7:12" x14ac:dyDescent="0.25">
      <c r="G367" s="58">
        <f>IFERROR(SUMPRODUCT((TEXT(CC!$C$3:$C$1000,"0")=TEXT(C367,"0"))*IFERROR(CC!$E$3:$E$1000+0,0)),0)</f>
      </c>
      <c r="H367" s="44"/>
      <c r="I367" s="23" t="str">
        <f t="shared" si="17"/>
        <v/>
      </c>
      <c r="J367" s="33" cm="1">
        <f t="array" ref="J367">IFERROR(-_xlfn.IFS(OR(H367="y",H367="Y"),F367,AND(H367&lt;&gt;0,ISNUMBER(H367)),H367,G367&lt;&gt;0,G367),0)</f>
        <v>0</v>
      </c>
      <c r="K367" s="29" t="str">
        <f t="shared" si="18"/>
        <v/>
      </c>
      <c r="L367" s="45" t="str">
        <f>IF(C367&lt;&gt;"",_xlfn.XLOOKUP(TEXT(C367,"0"),TEXT(CC!$C$3:$C$1000,"0"),CC!$G$3:$G$1000,""),"")</f>
        <v/>
      </c>
    </row>
    <row r="368" spans="7:12" x14ac:dyDescent="0.25">
      <c r="G368" s="58">
        <f>IFERROR(SUMPRODUCT((TEXT(CC!$C$3:$C$1000,"0")=TEXT(C368,"0"))*IFERROR(CC!$E$3:$E$1000+0,0)),0)</f>
      </c>
      <c r="H368" s="44"/>
      <c r="I368" s="23" t="str">
        <f t="shared" si="17"/>
        <v/>
      </c>
      <c r="J368" s="33" cm="1">
        <f t="array" ref="J368">IFERROR(-_xlfn.IFS(OR(H368="y",H368="Y"),F368,AND(H368&lt;&gt;0,ISNUMBER(H368)),H368,G368&lt;&gt;0,G368),0)</f>
        <v>0</v>
      </c>
      <c r="K368" s="29" t="str">
        <f t="shared" si="18"/>
        <v/>
      </c>
      <c r="L368" s="45" t="str">
        <f>IF(C368&lt;&gt;"",_xlfn.XLOOKUP(TEXT(C368,"0"),TEXT(CC!$C$3:$C$1000,"0"),CC!$G$3:$G$1000,""),"")</f>
        <v/>
      </c>
    </row>
    <row r="369" spans="7:12" x14ac:dyDescent="0.25">
      <c r="G369" s="58">
        <f>IFERROR(SUMPRODUCT((TEXT(CC!$C$3:$C$1000,"0")=TEXT(C369,"0"))*IFERROR(CC!$E$3:$E$1000+0,0)),0)</f>
      </c>
      <c r="H369" s="44"/>
      <c r="I369" s="23" t="str">
        <f t="shared" si="17"/>
        <v/>
      </c>
      <c r="J369" s="33" cm="1">
        <f t="array" ref="J369">IFERROR(-_xlfn.IFS(OR(H369="y",H369="Y"),F369,AND(H369&lt;&gt;0,ISNUMBER(H369)),H369,G369&lt;&gt;0,G369),0)</f>
        <v>0</v>
      </c>
      <c r="K369" s="29" t="str">
        <f t="shared" si="18"/>
        <v/>
      </c>
      <c r="L369" s="45" t="str">
        <f>IF(C369&lt;&gt;"",_xlfn.XLOOKUP(TEXT(C369,"0"),TEXT(CC!$C$3:$C$1000,"0"),CC!$G$3:$G$1000,""),"")</f>
        <v/>
      </c>
    </row>
    <row r="370" spans="7:12" x14ac:dyDescent="0.25">
      <c r="G370" s="58">
        <f>IFERROR(SUMPRODUCT((TEXT(CC!$C$3:$C$1000,"0")=TEXT(C370,"0"))*IFERROR(CC!$E$3:$E$1000+0,0)),0)</f>
      </c>
      <c r="H370" s="44"/>
      <c r="I370" s="23" t="str">
        <f t="shared" si="17"/>
        <v/>
      </c>
      <c r="J370" s="33" cm="1">
        <f t="array" ref="J370">IFERROR(-_xlfn.IFS(OR(H370="y",H370="Y"),F370,AND(H370&lt;&gt;0,ISNUMBER(H370)),H370,G370&lt;&gt;0,G370),0)</f>
        <v>0</v>
      </c>
      <c r="K370" s="29" t="str">
        <f t="shared" si="18"/>
        <v/>
      </c>
      <c r="L370" s="45" t="str">
        <f>IF(C370&lt;&gt;"",_xlfn.XLOOKUP(TEXT(C370,"0"),TEXT(CC!$C$3:$C$1000,"0"),CC!$G$3:$G$1000,""),"")</f>
        <v/>
      </c>
    </row>
    <row r="371" spans="7:12" x14ac:dyDescent="0.25">
      <c r="G371" s="58">
        <f>IFERROR(SUMPRODUCT((TEXT(CC!$C$3:$C$1000,"0")=TEXT(C371,"0"))*IFERROR(CC!$E$3:$E$1000+0,0)),0)</f>
      </c>
      <c r="H371" s="44"/>
      <c r="I371" s="23" t="str">
        <f t="shared" si="17"/>
        <v/>
      </c>
      <c r="J371" s="33" cm="1">
        <f t="array" ref="J371">IFERROR(-_xlfn.IFS(OR(H371="y",H371="Y"),F371,AND(H371&lt;&gt;0,ISNUMBER(H371)),H371,G371&lt;&gt;0,G371),0)</f>
        <v>0</v>
      </c>
      <c r="K371" s="29" t="str">
        <f t="shared" si="18"/>
        <v/>
      </c>
      <c r="L371" s="45" t="str">
        <f>IF(C371&lt;&gt;"",_xlfn.XLOOKUP(TEXT(C371,"0"),TEXT(CC!$C$3:$C$1000,"0"),CC!$G$3:$G$1000,""),"")</f>
        <v/>
      </c>
    </row>
    <row r="372" spans="7:12" x14ac:dyDescent="0.25">
      <c r="G372" s="58">
        <f>IFERROR(SUMPRODUCT((TEXT(CC!$C$3:$C$1000,"0")=TEXT(C372,"0"))*IFERROR(CC!$E$3:$E$1000+0,0)),0)</f>
      </c>
      <c r="H372" s="44"/>
      <c r="I372" s="23" t="str">
        <f t="shared" si="17"/>
        <v/>
      </c>
      <c r="J372" s="33" cm="1">
        <f t="array" ref="J372">IFERROR(-_xlfn.IFS(OR(H372="y",H372="Y"),F372,AND(H372&lt;&gt;0,ISNUMBER(H372)),H372,G372&lt;&gt;0,G372),0)</f>
        <v>0</v>
      </c>
      <c r="K372" s="29" t="str">
        <f t="shared" si="18"/>
        <v/>
      </c>
      <c r="L372" s="45" t="str">
        <f>IF(C372&lt;&gt;"",_xlfn.XLOOKUP(TEXT(C372,"0"),TEXT(CC!$C$3:$C$1000,"0"),CC!$G$3:$G$1000,""),"")</f>
        <v/>
      </c>
    </row>
    <row r="373" spans="7:12" x14ac:dyDescent="0.25">
      <c r="G373" s="58">
        <f>IFERROR(SUMPRODUCT((TEXT(CC!$C$3:$C$1000,"0")=TEXT(C373,"0"))*IFERROR(CC!$E$3:$E$1000+0,0)),0)</f>
      </c>
      <c r="H373" s="44"/>
      <c r="I373" s="23" t="str">
        <f t="shared" si="17"/>
        <v/>
      </c>
      <c r="J373" s="33" cm="1">
        <f t="array" ref="J373">IFERROR(-_xlfn.IFS(OR(H373="y",H373="Y"),F373,AND(H373&lt;&gt;0,ISNUMBER(H373)),H373,G373&lt;&gt;0,G373),0)</f>
        <v>0</v>
      </c>
      <c r="K373" s="29" t="str">
        <f t="shared" si="18"/>
        <v/>
      </c>
      <c r="L373" s="45" t="str">
        <f>IF(C373&lt;&gt;"",_xlfn.XLOOKUP(TEXT(C373,"0"),TEXT(CC!$C$3:$C$1000,"0"),CC!$G$3:$G$1000,""),"")</f>
        <v/>
      </c>
    </row>
    <row r="374" spans="7:12" x14ac:dyDescent="0.25">
      <c r="G374" s="58">
        <f>IFERROR(SUMPRODUCT((TEXT(CC!$C$3:$C$1000,"0")=TEXT(C374,"0"))*IFERROR(CC!$E$3:$E$1000+0,0)),0)</f>
      </c>
      <c r="H374" s="44"/>
      <c r="I374" s="23" t="str">
        <f t="shared" si="17"/>
        <v/>
      </c>
      <c r="J374" s="33" cm="1">
        <f t="array" ref="J374">IFERROR(-_xlfn.IFS(OR(H374="y",H374="Y"),F374,AND(H374&lt;&gt;0,ISNUMBER(H374)),H374,G374&lt;&gt;0,G374),0)</f>
        <v>0</v>
      </c>
      <c r="K374" s="29" t="str">
        <f t="shared" si="18"/>
        <v/>
      </c>
      <c r="L374" s="45" t="str">
        <f>IF(C374&lt;&gt;"",_xlfn.XLOOKUP(TEXT(C374,"0"),TEXT(CC!$C$3:$C$1000,"0"),CC!$G$3:$G$1000,""),"")</f>
        <v/>
      </c>
    </row>
    <row r="375" spans="7:12" x14ac:dyDescent="0.25">
      <c r="G375" s="58">
        <f>IFERROR(SUMPRODUCT((TEXT(CC!$C$3:$C$1000,"0")=TEXT(C375,"0"))*IFERROR(CC!$E$3:$E$1000+0,0)),0)</f>
      </c>
      <c r="H375" s="44"/>
      <c r="I375" s="23" t="str">
        <f t="shared" si="17"/>
        <v/>
      </c>
      <c r="J375" s="33" cm="1">
        <f t="array" ref="J375">IFERROR(-_xlfn.IFS(OR(H375="y",H375="Y"),F375,AND(H375&lt;&gt;0,ISNUMBER(H375)),H375,G375&lt;&gt;0,G375),0)</f>
        <v>0</v>
      </c>
      <c r="K375" s="29" t="str">
        <f t="shared" si="18"/>
        <v/>
      </c>
      <c r="L375" s="45" t="str">
        <f>IF(C375&lt;&gt;"",_xlfn.XLOOKUP(TEXT(C375,"0"),TEXT(CC!$C$3:$C$1000,"0"),CC!$G$3:$G$1000,""),"")</f>
        <v/>
      </c>
    </row>
    <row r="376" spans="7:12" x14ac:dyDescent="0.25">
      <c r="G376" s="58">
        <f>IFERROR(SUMPRODUCT((TEXT(CC!$C$3:$C$1000,"0")=TEXT(C376,"0"))*IFERROR(CC!$E$3:$E$1000+0,0)),0)</f>
      </c>
      <c r="H376" s="44"/>
      <c r="I376" s="23" t="str">
        <f t="shared" si="17"/>
        <v/>
      </c>
      <c r="J376" s="33" cm="1">
        <f t="array" ref="J376">IFERROR(-_xlfn.IFS(OR(H376="y",H376="Y"),F376,AND(H376&lt;&gt;0,ISNUMBER(H376)),H376,G376&lt;&gt;0,G376),0)</f>
        <v>0</v>
      </c>
      <c r="K376" s="29" t="str">
        <f t="shared" si="18"/>
        <v/>
      </c>
      <c r="L376" s="45" t="str">
        <f>IF(C376&lt;&gt;"",_xlfn.XLOOKUP(TEXT(C376,"0"),TEXT(CC!$C$3:$C$1000,"0"),CC!$G$3:$G$1000,""),"")</f>
        <v/>
      </c>
    </row>
    <row r="377" spans="7:12" x14ac:dyDescent="0.25">
      <c r="G377" s="58">
        <f>IFERROR(SUMPRODUCT((TEXT(CC!$C$3:$C$1000,"0")=TEXT(C377,"0"))*IFERROR(CC!$E$3:$E$1000+0,0)),0)</f>
      </c>
      <c r="H377" s="44"/>
      <c r="I377" s="23" t="str">
        <f t="shared" si="17"/>
        <v/>
      </c>
      <c r="J377" s="33" cm="1">
        <f t="array" ref="J377">IFERROR(-_xlfn.IFS(OR(H377="y",H377="Y"),F377,AND(H377&lt;&gt;0,ISNUMBER(H377)),H377,G377&lt;&gt;0,G377),0)</f>
        <v>0</v>
      </c>
      <c r="K377" s="29" t="str">
        <f t="shared" si="18"/>
        <v/>
      </c>
      <c r="L377" s="45" t="str">
        <f>IF(C377&lt;&gt;"",_xlfn.XLOOKUP(TEXT(C377,"0"),TEXT(CC!$C$3:$C$1000,"0"),CC!$G$3:$G$1000,""),"")</f>
        <v/>
      </c>
    </row>
    <row r="378" spans="7:12" x14ac:dyDescent="0.25">
      <c r="G378" s="58">
        <f>IFERROR(SUMPRODUCT((TEXT(CC!$C$3:$C$1000,"0")=TEXT(C378,"0"))*IFERROR(CC!$E$3:$E$1000+0,0)),0)</f>
      </c>
      <c r="H378" s="44"/>
      <c r="I378" s="23" t="str">
        <f t="shared" si="17"/>
        <v/>
      </c>
      <c r="J378" s="33" cm="1">
        <f t="array" ref="J378">IFERROR(-_xlfn.IFS(OR(H378="y",H378="Y"),F378,AND(H378&lt;&gt;0,ISNUMBER(H378)),H378,G378&lt;&gt;0,G378),0)</f>
        <v>0</v>
      </c>
      <c r="K378" s="29" t="str">
        <f t="shared" si="18"/>
        <v/>
      </c>
      <c r="L378" s="45" t="str">
        <f>IF(C378&lt;&gt;"",_xlfn.XLOOKUP(TEXT(C378,"0"),TEXT(CC!$C$3:$C$1000,"0"),CC!$G$3:$G$1000,""),"")</f>
        <v/>
      </c>
    </row>
    <row r="379" spans="7:12" x14ac:dyDescent="0.25">
      <c r="G379" s="58">
        <f>IFERROR(SUMPRODUCT((TEXT(CC!$C$3:$C$1000,"0")=TEXT(C379,"0"))*IFERROR(CC!$E$3:$E$1000+0,0)),0)</f>
      </c>
      <c r="H379" s="44"/>
      <c r="I379" s="23" t="str">
        <f t="shared" si="17"/>
        <v/>
      </c>
      <c r="J379" s="33" cm="1">
        <f t="array" ref="J379">IFERROR(-_xlfn.IFS(OR(H379="y",H379="Y"),F379,AND(H379&lt;&gt;0,ISNUMBER(H379)),H379,G379&lt;&gt;0,G379),0)</f>
        <v>0</v>
      </c>
      <c r="K379" s="29" t="str">
        <f t="shared" si="18"/>
        <v/>
      </c>
      <c r="L379" s="45" t="str">
        <f>IF(C379&lt;&gt;"",_xlfn.XLOOKUP(TEXT(C379,"0"),TEXT(CC!$C$3:$C$1000,"0"),CC!$G$3:$G$1000,""),"")</f>
        <v/>
      </c>
    </row>
    <row r="380" spans="7:12" x14ac:dyDescent="0.25">
      <c r="G380" s="58">
        <f>IFERROR(SUMPRODUCT((TEXT(CC!$C$3:$C$1000,"0")=TEXT(C380,"0"))*IFERROR(CC!$E$3:$E$1000+0,0)),0)</f>
      </c>
      <c r="H380" s="44"/>
      <c r="I380" s="23" t="str">
        <f t="shared" si="17"/>
        <v/>
      </c>
      <c r="J380" s="33" cm="1">
        <f t="array" ref="J380">IFERROR(-_xlfn.IFS(OR(H380="y",H380="Y"),F380,AND(H380&lt;&gt;0,ISNUMBER(H380)),H380,G380&lt;&gt;0,G380),0)</f>
        <v>0</v>
      </c>
      <c r="K380" s="29" t="str">
        <f t="shared" si="18"/>
        <v/>
      </c>
      <c r="L380" s="45" t="str">
        <f>IF(C380&lt;&gt;"",_xlfn.XLOOKUP(TEXT(C380,"0"),TEXT(CC!$C$3:$C$1000,"0"),CC!$G$3:$G$1000,""),"")</f>
        <v/>
      </c>
    </row>
    <row r="381" spans="7:12" x14ac:dyDescent="0.25">
      <c r="G381" s="58">
        <f>IFERROR(SUMPRODUCT((TEXT(CC!$C$3:$C$1000,"0")=TEXT(C381,"0"))*IFERROR(CC!$E$3:$E$1000+0,0)),0)</f>
      </c>
      <c r="H381" s="44"/>
      <c r="I381" s="23" t="str">
        <f t="shared" si="17"/>
        <v/>
      </c>
      <c r="J381" s="33" cm="1">
        <f t="array" ref="J381">IFERROR(-_xlfn.IFS(OR(H381="y",H381="Y"),F381,AND(H381&lt;&gt;0,ISNUMBER(H381)),H381,G381&lt;&gt;0,G381),0)</f>
        <v>0</v>
      </c>
      <c r="K381" s="29" t="str">
        <f t="shared" si="18"/>
        <v/>
      </c>
      <c r="L381" s="45" t="str">
        <f>IF(C381&lt;&gt;"",_xlfn.XLOOKUP(TEXT(C381,"0"),TEXT(CC!$C$3:$C$1000,"0"),CC!$G$3:$G$1000,""),"")</f>
        <v/>
      </c>
    </row>
    <row r="382" spans="7:12" x14ac:dyDescent="0.25">
      <c r="G382" s="58">
        <f>IFERROR(SUMPRODUCT((TEXT(CC!$C$3:$C$1000,"0")=TEXT(C382,"0"))*IFERROR(CC!$E$3:$E$1000+0,0)),0)</f>
      </c>
      <c r="H382" s="44"/>
      <c r="I382" s="23" t="str">
        <f t="shared" si="17"/>
        <v/>
      </c>
      <c r="J382" s="33" cm="1">
        <f t="array" ref="J382">IFERROR(-_xlfn.IFS(OR(H382="y",H382="Y"),F382,AND(H382&lt;&gt;0,ISNUMBER(H382)),H382,G382&lt;&gt;0,G382),0)</f>
        <v>0</v>
      </c>
      <c r="K382" s="29" t="str">
        <f t="shared" si="18"/>
        <v/>
      </c>
      <c r="L382" s="45" t="str">
        <f>IF(C382&lt;&gt;"",_xlfn.XLOOKUP(TEXT(C382,"0"),TEXT(CC!$C$3:$C$1000,"0"),CC!$G$3:$G$1000,""),"")</f>
        <v/>
      </c>
    </row>
    <row r="383" spans="7:12" x14ac:dyDescent="0.25">
      <c r="G383" s="58">
        <f>IFERROR(SUMPRODUCT((TEXT(CC!$C$3:$C$1000,"0")=TEXT(C383,"0"))*IFERROR(CC!$E$3:$E$1000+0,0)),0)</f>
      </c>
      <c r="H383" s="44"/>
      <c r="I383" s="23" t="str">
        <f t="shared" si="17"/>
        <v/>
      </c>
      <c r="J383" s="33" cm="1">
        <f t="array" ref="J383">IFERROR(-_xlfn.IFS(OR(H383="y",H383="Y"),F383,AND(H383&lt;&gt;0,ISNUMBER(H383)),H383,G383&lt;&gt;0,G383),0)</f>
        <v>0</v>
      </c>
      <c r="K383" s="29" t="str">
        <f t="shared" si="18"/>
        <v/>
      </c>
      <c r="L383" s="45" t="str">
        <f>IF(C383&lt;&gt;"",_xlfn.XLOOKUP(TEXT(C383,"0"),TEXT(CC!$C$3:$C$1000,"0"),CC!$G$3:$G$1000,""),"")</f>
        <v/>
      </c>
    </row>
    <row r="384" spans="7:12" x14ac:dyDescent="0.25">
      <c r="G384" s="58">
        <f>IFERROR(SUMPRODUCT((TEXT(CC!$C$3:$C$1000,"0")=TEXT(C384,"0"))*IFERROR(CC!$E$3:$E$1000+0,0)),0)</f>
      </c>
      <c r="H384" s="44"/>
      <c r="I384" s="23" t="str">
        <f t="shared" si="17"/>
        <v/>
      </c>
      <c r="J384" s="33" cm="1">
        <f t="array" ref="J384">IFERROR(-_xlfn.IFS(OR(H384="y",H384="Y"),F384,AND(H384&lt;&gt;0,ISNUMBER(H384)),H384,G384&lt;&gt;0,G384),0)</f>
        <v>0</v>
      </c>
      <c r="K384" s="29" t="str">
        <f t="shared" si="18"/>
        <v/>
      </c>
      <c r="L384" s="45" t="str">
        <f>IF(C384&lt;&gt;"",_xlfn.XLOOKUP(TEXT(C384,"0"),TEXT(CC!$C$3:$C$1000,"0"),CC!$G$3:$G$1000,""),"")</f>
        <v/>
      </c>
    </row>
    <row r="385" spans="7:12" x14ac:dyDescent="0.25">
      <c r="G385" s="58">
        <f>IFERROR(SUMPRODUCT((TEXT(CC!$C$3:$C$1000,"0")=TEXT(C385,"0"))*IFERROR(CC!$E$3:$E$1000+0,0)),0)</f>
      </c>
      <c r="H385" s="44"/>
      <c r="I385" s="23" t="str">
        <f t="shared" si="17"/>
        <v/>
      </c>
      <c r="J385" s="33" cm="1">
        <f t="array" ref="J385">IFERROR(-_xlfn.IFS(OR(H385="y",H385="Y"),F385,AND(H385&lt;&gt;0,ISNUMBER(H385)),H385,G385&lt;&gt;0,G385),0)</f>
        <v>0</v>
      </c>
      <c r="K385" s="29" t="str">
        <f t="shared" si="18"/>
        <v/>
      </c>
      <c r="L385" s="45" t="str">
        <f>IF(C385&lt;&gt;"",_xlfn.XLOOKUP(TEXT(C385,"0"),TEXT(CC!$C$3:$C$1000,"0"),CC!$G$3:$G$1000,""),"")</f>
        <v/>
      </c>
    </row>
    <row r="386" spans="7:12" x14ac:dyDescent="0.25">
      <c r="G386" s="58">
        <f>IFERROR(SUMPRODUCT((TEXT(CC!$C$3:$C$1000,"0")=TEXT(C386,"0"))*IFERROR(CC!$E$3:$E$1000+0,0)),0)</f>
      </c>
      <c r="H386" s="44"/>
      <c r="I386" s="23" t="str">
        <f t="shared" si="17"/>
        <v/>
      </c>
      <c r="J386" s="33" cm="1">
        <f t="array" ref="J386">IFERROR(-_xlfn.IFS(OR(H386="y",H386="Y"),F386,AND(H386&lt;&gt;0,ISNUMBER(H386)),H386,G386&lt;&gt;0,G386),0)</f>
        <v>0</v>
      </c>
      <c r="K386" s="29" t="str">
        <f t="shared" si="18"/>
        <v/>
      </c>
      <c r="L386" s="45" t="str">
        <f>IF(C386&lt;&gt;"",_xlfn.XLOOKUP(TEXT(C386,"0"),TEXT(CC!$C$3:$C$1000,"0"),CC!$G$3:$G$1000,""),"")</f>
        <v/>
      </c>
    </row>
    <row r="387" spans="7:12" x14ac:dyDescent="0.25">
      <c r="G387" s="58">
        <f>IFERROR(SUMPRODUCT((TEXT(CC!$C$3:$C$1000,"0")=TEXT(C387,"0"))*IFERROR(CC!$E$3:$E$1000+0,0)),0)</f>
      </c>
      <c r="H387" s="44"/>
      <c r="I387" s="23" t="str">
        <f t="shared" si="17"/>
        <v/>
      </c>
      <c r="J387" s="33" cm="1">
        <f t="array" ref="J387">IFERROR(-_xlfn.IFS(OR(H387="y",H387="Y"),F387,AND(H387&lt;&gt;0,ISNUMBER(H387)),H387,G387&lt;&gt;0,G387),0)</f>
        <v>0</v>
      </c>
      <c r="K387" s="29" t="str">
        <f t="shared" si="18"/>
        <v/>
      </c>
      <c r="L387" s="45" t="str">
        <f>IF(C387&lt;&gt;"",_xlfn.XLOOKUP(TEXT(C387,"0"),TEXT(CC!$C$3:$C$1000,"0"),CC!$G$3:$G$1000,""),"")</f>
        <v/>
      </c>
    </row>
    <row r="388" spans="7:12" x14ac:dyDescent="0.25">
      <c r="G388" s="58">
        <f>IFERROR(SUMPRODUCT((TEXT(CC!$C$3:$C$1000,"0")=TEXT(C388,"0"))*IFERROR(CC!$E$3:$E$1000+0,0)),0)</f>
      </c>
      <c r="H388" s="44"/>
      <c r="I388" s="23" t="str">
        <f t="shared" si="17"/>
        <v/>
      </c>
      <c r="J388" s="33" cm="1">
        <f t="array" ref="J388">IFERROR(-_xlfn.IFS(OR(H388="y",H388="Y"),F388,AND(H388&lt;&gt;0,ISNUMBER(H388)),H388,G388&lt;&gt;0,G388),0)</f>
        <v>0</v>
      </c>
      <c r="K388" s="29" t="str">
        <f t="shared" si="18"/>
        <v/>
      </c>
      <c r="L388" s="45" t="str">
        <f>IF(C388&lt;&gt;"",_xlfn.XLOOKUP(TEXT(C388,"0"),TEXT(CC!$C$3:$C$1000,"0"),CC!$G$3:$G$1000,""),"")</f>
        <v/>
      </c>
    </row>
    <row r="389" spans="7:12" x14ac:dyDescent="0.25">
      <c r="G389" s="58">
        <f>IFERROR(SUMPRODUCT((TEXT(CC!$C$3:$C$1000,"0")=TEXT(C389,"0"))*IFERROR(CC!$E$3:$E$1000+0,0)),0)</f>
      </c>
      <c r="H389" s="44"/>
      <c r="I389" s="23" t="str">
        <f t="shared" si="17"/>
        <v/>
      </c>
      <c r="J389" s="33" cm="1">
        <f t="array" ref="J389">IFERROR(-_xlfn.IFS(OR(H389="y",H389="Y"),F389,AND(H389&lt;&gt;0,ISNUMBER(H389)),H389,G389&lt;&gt;0,G389),0)</f>
        <v>0</v>
      </c>
      <c r="K389" s="29" t="str">
        <f t="shared" si="18"/>
        <v/>
      </c>
      <c r="L389" s="45" t="str">
        <f>IF(C389&lt;&gt;"",_xlfn.XLOOKUP(TEXT(C389,"0"),TEXT(CC!$C$3:$C$1000,"0"),CC!$G$3:$G$1000,""),"")</f>
        <v/>
      </c>
    </row>
    <row r="390" spans="7:12" x14ac:dyDescent="0.25">
      <c r="G390" s="58">
        <f>IFERROR(SUMPRODUCT((TEXT(CC!$C$3:$C$1000,"0")=TEXT(C390,"0"))*IFERROR(CC!$E$3:$E$1000+0,0)),0)</f>
      </c>
      <c r="H390" s="44"/>
      <c r="I390" s="23" t="str">
        <f t="shared" si="17"/>
        <v/>
      </c>
      <c r="J390" s="33" cm="1">
        <f t="array" ref="J390">IFERROR(-_xlfn.IFS(OR(H390="y",H390="Y"),F390,AND(H390&lt;&gt;0,ISNUMBER(H390)),H390,G390&lt;&gt;0,G390),0)</f>
        <v>0</v>
      </c>
      <c r="K390" s="29" t="str">
        <f t="shared" si="18"/>
        <v/>
      </c>
      <c r="L390" s="45" t="str">
        <f>IF(C390&lt;&gt;"",_xlfn.XLOOKUP(TEXT(C390,"0"),TEXT(CC!$C$3:$C$1000,"0"),CC!$G$3:$G$1000,""),"")</f>
        <v/>
      </c>
    </row>
    <row r="391" spans="7:12" x14ac:dyDescent="0.25">
      <c r="G391" s="58">
        <f>IFERROR(SUMPRODUCT((TEXT(CC!$C$3:$C$1000,"0")=TEXT(C391,"0"))*IFERROR(CC!$E$3:$E$1000+0,0)),0)</f>
      </c>
      <c r="H391" s="44"/>
      <c r="I391" s="23" t="str">
        <f t="shared" si="17"/>
        <v/>
      </c>
      <c r="J391" s="33" cm="1">
        <f t="array" ref="J391">IFERROR(-_xlfn.IFS(OR(H391="y",H391="Y"),F391,AND(H391&lt;&gt;0,ISNUMBER(H391)),H391,G391&lt;&gt;0,G391),0)</f>
        <v>0</v>
      </c>
      <c r="K391" s="29" t="str">
        <f t="shared" si="18"/>
        <v/>
      </c>
      <c r="L391" s="45" t="str">
        <f>IF(C391&lt;&gt;"",_xlfn.XLOOKUP(TEXT(C391,"0"),TEXT(CC!$C$3:$C$1000,"0"),CC!$G$3:$G$1000,""),"")</f>
        <v/>
      </c>
    </row>
    <row r="392" spans="7:12" x14ac:dyDescent="0.25">
      <c r="G392" s="58">
        <f>IFERROR(SUMPRODUCT((TEXT(CC!$C$3:$C$1000,"0")=TEXT(C392,"0"))*IFERROR(CC!$E$3:$E$1000+0,0)),0)</f>
      </c>
      <c r="H392" s="44"/>
      <c r="I392" s="23" t="str">
        <f t="shared" si="17"/>
        <v/>
      </c>
      <c r="J392" s="33" cm="1">
        <f t="array" ref="J392">IFERROR(-_xlfn.IFS(OR(H392="y",H392="Y"),F392,AND(H392&lt;&gt;0,ISNUMBER(H392)),H392,G392&lt;&gt;0,G392),0)</f>
        <v>0</v>
      </c>
      <c r="K392" s="29" t="str">
        <f t="shared" si="18"/>
        <v/>
      </c>
      <c r="L392" s="45" t="str">
        <f>IF(C392&lt;&gt;"",_xlfn.XLOOKUP(TEXT(C392,"0"),TEXT(CC!$C$3:$C$1000,"0"),CC!$G$3:$G$1000,""),"")</f>
        <v/>
      </c>
    </row>
    <row r="393" spans="7:12" x14ac:dyDescent="0.25">
      <c r="G393" s="58">
        <f>IFERROR(SUMPRODUCT((TEXT(CC!$C$3:$C$1000,"0")=TEXT(C393,"0"))*IFERROR(CC!$E$3:$E$1000+0,0)),0)</f>
      </c>
      <c r="H393" s="44"/>
      <c r="I393" s="23" t="str">
        <f t="shared" si="17"/>
        <v/>
      </c>
      <c r="J393" s="33" cm="1">
        <f t="array" ref="J393">IFERROR(-_xlfn.IFS(OR(H393="y",H393="Y"),F393,AND(H393&lt;&gt;0,ISNUMBER(H393)),H393,G393&lt;&gt;0,G393),0)</f>
        <v>0</v>
      </c>
      <c r="K393" s="29" t="str">
        <f t="shared" si="18"/>
        <v/>
      </c>
      <c r="L393" s="45" t="str">
        <f>IF(C393&lt;&gt;"",_xlfn.XLOOKUP(TEXT(C393,"0"),TEXT(CC!$C$3:$C$1000,"0"),CC!$G$3:$G$1000,""),"")</f>
        <v/>
      </c>
    </row>
    <row r="394" spans="7:12" x14ac:dyDescent="0.25">
      <c r="G394" s="58">
        <f>IFERROR(SUMPRODUCT((TEXT(CC!$C$3:$C$1000,"0")=TEXT(C394,"0"))*IFERROR(CC!$E$3:$E$1000+0,0)),0)</f>
      </c>
      <c r="H394" s="44"/>
      <c r="I394" s="23" t="str">
        <f t="shared" si="17"/>
        <v/>
      </c>
      <c r="J394" s="33" cm="1">
        <f t="array" ref="J394">IFERROR(-_xlfn.IFS(OR(H394="y",H394="Y"),F394,AND(H394&lt;&gt;0,ISNUMBER(H394)),H394,G394&lt;&gt;0,G394),0)</f>
        <v>0</v>
      </c>
      <c r="K394" s="29" t="str">
        <f t="shared" si="18"/>
        <v/>
      </c>
      <c r="L394" s="45" t="str">
        <f>IF(C394&lt;&gt;"",_xlfn.XLOOKUP(TEXT(C394,"0"),TEXT(CC!$C$3:$C$1000,"0"),CC!$G$3:$G$1000,""),"")</f>
        <v/>
      </c>
    </row>
    <row r="395" spans="7:12" x14ac:dyDescent="0.25">
      <c r="G395" s="58">
        <f>IFERROR(SUMPRODUCT((TEXT(CC!$C$3:$C$1000,"0")=TEXT(C395,"0"))*IFERROR(CC!$E$3:$E$1000+0,0)),0)</f>
      </c>
      <c r="H395" s="44"/>
      <c r="I395" s="23" t="str">
        <f t="shared" si="17"/>
        <v/>
      </c>
      <c r="J395" s="33" cm="1">
        <f t="array" ref="J395">IFERROR(-_xlfn.IFS(OR(H395="y",H395="Y"),F395,AND(H395&lt;&gt;0,ISNUMBER(H395)),H395,G395&lt;&gt;0,G395),0)</f>
        <v>0</v>
      </c>
      <c r="K395" s="29" t="str">
        <f t="shared" si="18"/>
        <v/>
      </c>
      <c r="L395" s="45" t="str">
        <f>IF(C395&lt;&gt;"",_xlfn.XLOOKUP(TEXT(C395,"0"),TEXT(CC!$C$3:$C$1000,"0"),CC!$G$3:$G$1000,""),"")</f>
        <v/>
      </c>
    </row>
    <row r="396" spans="7:12" x14ac:dyDescent="0.25">
      <c r="G396" s="58">
        <f>IFERROR(SUMPRODUCT((TEXT(CC!$C$3:$C$1000,"0")=TEXT(C396,"0"))*IFERROR(CC!$E$3:$E$1000+0,0)),0)</f>
      </c>
      <c r="H396" s="44"/>
      <c r="I396" s="23" t="str">
        <f t="shared" si="17"/>
        <v/>
      </c>
      <c r="J396" s="33" cm="1">
        <f t="array" ref="J396">IFERROR(-_xlfn.IFS(OR(H396="y",H396="Y"),F396,AND(H396&lt;&gt;0,ISNUMBER(H396)),H396,G396&lt;&gt;0,G396),0)</f>
        <v>0</v>
      </c>
      <c r="K396" s="29" t="str">
        <f t="shared" si="18"/>
        <v/>
      </c>
      <c r="L396" s="45" t="str">
        <f>IF(C396&lt;&gt;"",_xlfn.XLOOKUP(TEXT(C396,"0"),TEXT(CC!$C$3:$C$1000,"0"),CC!$G$3:$G$1000,""),"")</f>
        <v/>
      </c>
    </row>
    <row r="397" spans="7:12" x14ac:dyDescent="0.25">
      <c r="G397" s="58">
        <f>IFERROR(SUMPRODUCT((TEXT(CC!$C$3:$C$1000,"0")=TEXT(C397,"0"))*IFERROR(CC!$E$3:$E$1000+0,0)),0)</f>
      </c>
      <c r="H397" s="44"/>
      <c r="I397" s="23" t="str">
        <f t="shared" si="17"/>
        <v/>
      </c>
      <c r="J397" s="33" cm="1">
        <f t="array" ref="J397">IFERROR(-_xlfn.IFS(OR(H397="y",H397="Y"),F397,AND(H397&lt;&gt;0,ISNUMBER(H397)),H397,G397&lt;&gt;0,G397),0)</f>
        <v>0</v>
      </c>
      <c r="K397" s="29" t="str">
        <f t="shared" si="18"/>
        <v/>
      </c>
      <c r="L397" s="45" t="str">
        <f>IF(C397&lt;&gt;"",_xlfn.XLOOKUP(TEXT(C397,"0"),TEXT(CC!$C$3:$C$1000,"0"),CC!$G$3:$G$1000,""),"")</f>
        <v/>
      </c>
    </row>
    <row r="398" spans="7:12" x14ac:dyDescent="0.25">
      <c r="G398" s="58">
        <f>IFERROR(SUMPRODUCT((TEXT(CC!$C$3:$C$1000,"0")=TEXT(C398,"0"))*IFERROR(CC!$E$3:$E$1000+0,0)),0)</f>
      </c>
      <c r="H398" s="44"/>
      <c r="I398" s="23" t="str">
        <f t="shared" si="17"/>
        <v/>
      </c>
      <c r="J398" s="33" cm="1">
        <f t="array" ref="J398">IFERROR(-_xlfn.IFS(OR(H398="y",H398="Y"),F398,AND(H398&lt;&gt;0,ISNUMBER(H398)),H398,G398&lt;&gt;0,G398),0)</f>
        <v>0</v>
      </c>
      <c r="K398" s="29" t="str">
        <f t="shared" si="18"/>
        <v/>
      </c>
      <c r="L398" s="45" t="str">
        <f>IF(C398&lt;&gt;"",_xlfn.XLOOKUP(TEXT(C398,"0"),TEXT(CC!$C$3:$C$1000,"0"),CC!$G$3:$G$1000,""),"")</f>
        <v/>
      </c>
    </row>
    <row r="399" spans="7:12" x14ac:dyDescent="0.25">
      <c r="G399" s="58">
        <f>IFERROR(SUMPRODUCT((TEXT(CC!$C$3:$C$1000,"0")=TEXT(C399,"0"))*IFERROR(CC!$E$3:$E$1000+0,0)),0)</f>
      </c>
      <c r="H399" s="44"/>
      <c r="I399" s="23" t="str">
        <f t="shared" ref="I399:I462" si="19">IF(J399&lt;&gt;0,"531011","")</f>
        <v/>
      </c>
      <c r="J399" s="33" cm="1">
        <f t="array" ref="J399">IFERROR(-_xlfn.IFS(OR(H399="y",H399="Y"),F399,AND(H399&lt;&gt;0,ISNUMBER(H399)),H399,G399&lt;&gt;0,G399),0)</f>
        <v>0</v>
      </c>
      <c r="K399" s="29" t="str">
        <f t="shared" si="18"/>
        <v/>
      </c>
      <c r="L399" s="45" t="str">
        <f>IF(C399&lt;&gt;"",_xlfn.XLOOKUP(TEXT(C399,"0"),TEXT(CC!$C$3:$C$1000,"0"),CC!$G$3:$G$1000,""),"")</f>
        <v/>
      </c>
    </row>
    <row r="400" spans="7:12" x14ac:dyDescent="0.25">
      <c r="G400" s="58">
        <f>IFERROR(SUMPRODUCT((TEXT(CC!$C$3:$C$1000,"0")=TEXT(C400,"0"))*IFERROR(CC!$E$3:$E$1000+0,0)),0)</f>
      </c>
      <c r="H400" s="44"/>
      <c r="I400" s="23" t="str">
        <f t="shared" si="19"/>
        <v/>
      </c>
      <c r="J400" s="33" cm="1">
        <f t="array" ref="J400">IFERROR(-_xlfn.IFS(OR(H400="y",H400="Y"),F400,AND(H400&lt;&gt;0,ISNUMBER(H400)),H400,G400&lt;&gt;0,G400),0)</f>
        <v>0</v>
      </c>
      <c r="K400" s="29" t="str">
        <f t="shared" ref="K400:K463" si="20">IF(J400&lt;&gt;0,C400,"")</f>
        <v/>
      </c>
      <c r="L400" s="45" t="str">
        <f>IF(C400&lt;&gt;"",_xlfn.XLOOKUP(TEXT(C400,"0"),TEXT(CC!$C$3:$C$1000,"0"),CC!$G$3:$G$1000,""),"")</f>
        <v/>
      </c>
    </row>
    <row r="401" spans="7:12" x14ac:dyDescent="0.25">
      <c r="G401" s="58">
        <f>IFERROR(SUMPRODUCT((TEXT(CC!$C$3:$C$1000,"0")=TEXT(C401,"0"))*IFERROR(CC!$E$3:$E$1000+0,0)),0)</f>
      </c>
      <c r="H401" s="44"/>
      <c r="I401" s="23" t="str">
        <f t="shared" si="19"/>
        <v/>
      </c>
      <c r="J401" s="33" cm="1">
        <f t="array" ref="J401">IFERROR(-_xlfn.IFS(OR(H401="y",H401="Y"),F401,AND(H401&lt;&gt;0,ISNUMBER(H401)),H401,G401&lt;&gt;0,G401),0)</f>
        <v>0</v>
      </c>
      <c r="K401" s="29" t="str">
        <f t="shared" si="20"/>
        <v/>
      </c>
      <c r="L401" s="45" t="str">
        <f>IF(C401&lt;&gt;"",_xlfn.XLOOKUP(TEXT(C401,"0"),TEXT(CC!$C$3:$C$1000,"0"),CC!$G$3:$G$1000,""),"")</f>
        <v/>
      </c>
    </row>
    <row r="402" spans="7:12" x14ac:dyDescent="0.25">
      <c r="G402" s="58">
        <f>IFERROR(SUMPRODUCT((TEXT(CC!$C$3:$C$1000,"0")=TEXT(C402,"0"))*IFERROR(CC!$E$3:$E$1000+0,0)),0)</f>
      </c>
      <c r="H402" s="44"/>
      <c r="I402" s="23" t="str">
        <f t="shared" si="19"/>
        <v/>
      </c>
      <c r="J402" s="33" cm="1">
        <f t="array" ref="J402">IFERROR(-_xlfn.IFS(OR(H402="y",H402="Y"),F402,AND(H402&lt;&gt;0,ISNUMBER(H402)),H402,G402&lt;&gt;0,G402),0)</f>
        <v>0</v>
      </c>
      <c r="K402" s="29" t="str">
        <f t="shared" si="20"/>
        <v/>
      </c>
      <c r="L402" s="45" t="str">
        <f>IF(C402&lt;&gt;"",_xlfn.XLOOKUP(TEXT(C402,"0"),TEXT(CC!$C$3:$C$1000,"0"),CC!$G$3:$G$1000,""),"")</f>
        <v/>
      </c>
    </row>
    <row r="403" spans="7:12" x14ac:dyDescent="0.25">
      <c r="G403" s="58">
        <f>IFERROR(SUMPRODUCT((TEXT(CC!$C$3:$C$1000,"0")=TEXT(C403,"0"))*IFERROR(CC!$E$3:$E$1000+0,0)),0)</f>
      </c>
      <c r="H403" s="44"/>
      <c r="I403" s="23" t="str">
        <f t="shared" si="19"/>
        <v/>
      </c>
      <c r="J403" s="33" cm="1">
        <f t="array" ref="J403">IFERROR(-_xlfn.IFS(OR(H403="y",H403="Y"),F403,AND(H403&lt;&gt;0,ISNUMBER(H403)),H403,G403&lt;&gt;0,G403),0)</f>
        <v>0</v>
      </c>
      <c r="K403" s="29" t="str">
        <f t="shared" si="20"/>
        <v/>
      </c>
      <c r="L403" s="45" t="str">
        <f>IF(C403&lt;&gt;"",_xlfn.XLOOKUP(TEXT(C403,"0"),TEXT(CC!$C$3:$C$1000,"0"),CC!$G$3:$G$1000,""),"")</f>
        <v/>
      </c>
    </row>
    <row r="404" spans="7:12" x14ac:dyDescent="0.25">
      <c r="G404" s="58">
        <f>IFERROR(SUMPRODUCT((TEXT(CC!$C$3:$C$1000,"0")=TEXT(C404,"0"))*IFERROR(CC!$E$3:$E$1000+0,0)),0)</f>
      </c>
      <c r="H404" s="44"/>
      <c r="I404" s="23" t="str">
        <f t="shared" si="19"/>
        <v/>
      </c>
      <c r="J404" s="33" cm="1">
        <f t="array" ref="J404">IFERROR(-_xlfn.IFS(OR(H404="y",H404="Y"),F404,AND(H404&lt;&gt;0,ISNUMBER(H404)),H404,G404&lt;&gt;0,G404),0)</f>
        <v>0</v>
      </c>
      <c r="K404" s="29" t="str">
        <f t="shared" si="20"/>
        <v/>
      </c>
      <c r="L404" s="45" t="str">
        <f>IF(C404&lt;&gt;"",_xlfn.XLOOKUP(TEXT(C404,"0"),TEXT(CC!$C$3:$C$1000,"0"),CC!$G$3:$G$1000,""),"")</f>
        <v/>
      </c>
    </row>
    <row r="405" spans="7:12" x14ac:dyDescent="0.25">
      <c r="G405" s="58">
        <f>IFERROR(SUMPRODUCT((TEXT(CC!$C$3:$C$1000,"0")=TEXT(C405,"0"))*IFERROR(CC!$E$3:$E$1000+0,0)),0)</f>
      </c>
      <c r="H405" s="44"/>
      <c r="I405" s="23" t="str">
        <f t="shared" si="19"/>
        <v/>
      </c>
      <c r="J405" s="33" cm="1">
        <f t="array" ref="J405">IFERROR(-_xlfn.IFS(OR(H405="y",H405="Y"),F405,AND(H405&lt;&gt;0,ISNUMBER(H405)),H405,G405&lt;&gt;0,G405),0)</f>
        <v>0</v>
      </c>
      <c r="K405" s="29" t="str">
        <f t="shared" si="20"/>
        <v/>
      </c>
      <c r="L405" s="45" t="str">
        <f>IF(C405&lt;&gt;"",_xlfn.XLOOKUP(TEXT(C405,"0"),TEXT(CC!$C$3:$C$1000,"0"),CC!$G$3:$G$1000,""),"")</f>
        <v/>
      </c>
    </row>
    <row r="406" spans="7:12" x14ac:dyDescent="0.25">
      <c r="G406" s="58">
        <f>IFERROR(SUMPRODUCT((TEXT(CC!$C$3:$C$1000,"0")=TEXT(C406,"0"))*IFERROR(CC!$E$3:$E$1000+0,0)),0)</f>
      </c>
      <c r="H406" s="44"/>
      <c r="I406" s="23" t="str">
        <f t="shared" si="19"/>
        <v/>
      </c>
      <c r="J406" s="33" cm="1">
        <f t="array" ref="J406">IFERROR(-_xlfn.IFS(OR(H406="y",H406="Y"),F406,AND(H406&lt;&gt;0,ISNUMBER(H406)),H406,G406&lt;&gt;0,G406),0)</f>
        <v>0</v>
      </c>
      <c r="K406" s="29" t="str">
        <f t="shared" si="20"/>
        <v/>
      </c>
      <c r="L406" s="45" t="str">
        <f>IF(C406&lt;&gt;"",_xlfn.XLOOKUP(TEXT(C406,"0"),TEXT(CC!$C$3:$C$1000,"0"),CC!$G$3:$G$1000,""),"")</f>
        <v/>
      </c>
    </row>
    <row r="407" spans="7:12" x14ac:dyDescent="0.25">
      <c r="G407" s="58">
        <f>IFERROR(SUMPRODUCT((TEXT(CC!$C$3:$C$1000,"0")=TEXT(C407,"0"))*IFERROR(CC!$E$3:$E$1000+0,0)),0)</f>
      </c>
      <c r="H407" s="44"/>
      <c r="I407" s="23" t="str">
        <f t="shared" si="19"/>
        <v/>
      </c>
      <c r="J407" s="33" cm="1">
        <f t="array" ref="J407">IFERROR(-_xlfn.IFS(OR(H407="y",H407="Y"),F407,AND(H407&lt;&gt;0,ISNUMBER(H407)),H407,G407&lt;&gt;0,G407),0)</f>
        <v>0</v>
      </c>
      <c r="K407" s="29" t="str">
        <f t="shared" si="20"/>
        <v/>
      </c>
      <c r="L407" s="45" t="str">
        <f>IF(C407&lt;&gt;"",_xlfn.XLOOKUP(TEXT(C407,"0"),TEXT(CC!$C$3:$C$1000,"0"),CC!$G$3:$G$1000,""),"")</f>
        <v/>
      </c>
    </row>
    <row r="408" spans="7:12" x14ac:dyDescent="0.25">
      <c r="G408" s="58">
        <f>IFERROR(SUMPRODUCT((TEXT(CC!$C$3:$C$1000,"0")=TEXT(C408,"0"))*IFERROR(CC!$E$3:$E$1000+0,0)),0)</f>
      </c>
      <c r="H408" s="44"/>
      <c r="I408" s="23" t="str">
        <f t="shared" si="19"/>
        <v/>
      </c>
      <c r="J408" s="33" cm="1">
        <f t="array" ref="J408">IFERROR(-_xlfn.IFS(OR(H408="y",H408="Y"),F408,AND(H408&lt;&gt;0,ISNUMBER(H408)),H408,G408&lt;&gt;0,G408),0)</f>
        <v>0</v>
      </c>
      <c r="K408" s="29" t="str">
        <f t="shared" si="20"/>
        <v/>
      </c>
      <c r="L408" s="45" t="str">
        <f>IF(C408&lt;&gt;"",_xlfn.XLOOKUP(TEXT(C408,"0"),TEXT(CC!$C$3:$C$1000,"0"),CC!$G$3:$G$1000,""),"")</f>
        <v/>
      </c>
    </row>
    <row r="409" spans="7:12" x14ac:dyDescent="0.25">
      <c r="G409" s="58">
        <f>IFERROR(SUMPRODUCT((TEXT(CC!$C$3:$C$1000,"0")=TEXT(C409,"0"))*IFERROR(CC!$E$3:$E$1000+0,0)),0)</f>
      </c>
      <c r="H409" s="44"/>
      <c r="I409" s="23" t="str">
        <f t="shared" si="19"/>
        <v/>
      </c>
      <c r="J409" s="33" cm="1">
        <f t="array" ref="J409">IFERROR(-_xlfn.IFS(OR(H409="y",H409="Y"),F409,AND(H409&lt;&gt;0,ISNUMBER(H409)),H409,G409&lt;&gt;0,G409),0)</f>
        <v>0</v>
      </c>
      <c r="K409" s="29" t="str">
        <f t="shared" si="20"/>
        <v/>
      </c>
      <c r="L409" s="45" t="str">
        <f>IF(C409&lt;&gt;"",_xlfn.XLOOKUP(TEXT(C409,"0"),TEXT(CC!$C$3:$C$1000,"0"),CC!$G$3:$G$1000,""),"")</f>
        <v/>
      </c>
    </row>
    <row r="410" spans="7:12" x14ac:dyDescent="0.25">
      <c r="G410" s="58">
        <f>IFERROR(SUMPRODUCT((TEXT(CC!$C$3:$C$1000,"0")=TEXT(C410,"0"))*IFERROR(CC!$E$3:$E$1000+0,0)),0)</f>
      </c>
      <c r="H410" s="44"/>
      <c r="I410" s="23" t="str">
        <f t="shared" si="19"/>
        <v/>
      </c>
      <c r="J410" s="33" cm="1">
        <f t="array" ref="J410">IFERROR(-_xlfn.IFS(OR(H410="y",H410="Y"),F410,AND(H410&lt;&gt;0,ISNUMBER(H410)),H410,G410&lt;&gt;0,G410),0)</f>
        <v>0</v>
      </c>
      <c r="K410" s="29" t="str">
        <f t="shared" si="20"/>
        <v/>
      </c>
      <c r="L410" s="45" t="str">
        <f>IF(C410&lt;&gt;"",_xlfn.XLOOKUP(TEXT(C410,"0"),TEXT(CC!$C$3:$C$1000,"0"),CC!$G$3:$G$1000,""),"")</f>
        <v/>
      </c>
    </row>
    <row r="411" spans="7:12" x14ac:dyDescent="0.25">
      <c r="G411" s="58">
        <f>IFERROR(SUMPRODUCT((TEXT(CC!$C$3:$C$1000,"0")=TEXT(C411,"0"))*IFERROR(CC!$E$3:$E$1000+0,0)),0)</f>
      </c>
      <c r="H411" s="44"/>
      <c r="I411" s="23" t="str">
        <f t="shared" si="19"/>
        <v/>
      </c>
      <c r="J411" s="33" cm="1">
        <f t="array" ref="J411">IFERROR(-_xlfn.IFS(OR(H411="y",H411="Y"),F411,AND(H411&lt;&gt;0,ISNUMBER(H411)),H411,G411&lt;&gt;0,G411),0)</f>
        <v>0</v>
      </c>
      <c r="K411" s="29" t="str">
        <f t="shared" si="20"/>
        <v/>
      </c>
      <c r="L411" s="45" t="str">
        <f>IF(C411&lt;&gt;"",_xlfn.XLOOKUP(TEXT(C411,"0"),TEXT(CC!$C$3:$C$1000,"0"),CC!$G$3:$G$1000,""),"")</f>
        <v/>
      </c>
    </row>
    <row r="412" spans="7:12" x14ac:dyDescent="0.25">
      <c r="G412" s="58">
        <f>IFERROR(SUMPRODUCT((TEXT(CC!$C$3:$C$1000,"0")=TEXT(C412,"0"))*IFERROR(CC!$E$3:$E$1000+0,0)),0)</f>
      </c>
      <c r="H412" s="44"/>
      <c r="I412" s="23" t="str">
        <f t="shared" si="19"/>
        <v/>
      </c>
      <c r="J412" s="33" cm="1">
        <f t="array" ref="J412">IFERROR(-_xlfn.IFS(OR(H412="y",H412="Y"),F412,AND(H412&lt;&gt;0,ISNUMBER(H412)),H412,G412&lt;&gt;0,G412),0)</f>
        <v>0</v>
      </c>
      <c r="K412" s="29" t="str">
        <f t="shared" si="20"/>
        <v/>
      </c>
      <c r="L412" s="45" t="str">
        <f>IF(C412&lt;&gt;"",_xlfn.XLOOKUP(TEXT(C412,"0"),TEXT(CC!$C$3:$C$1000,"0"),CC!$G$3:$G$1000,""),"")</f>
        <v/>
      </c>
    </row>
    <row r="413" spans="7:12" x14ac:dyDescent="0.25">
      <c r="G413" s="58">
        <f>IFERROR(SUMPRODUCT((TEXT(CC!$C$3:$C$1000,"0")=TEXT(C413,"0"))*IFERROR(CC!$E$3:$E$1000+0,0)),0)</f>
      </c>
      <c r="H413" s="44"/>
      <c r="I413" s="23" t="str">
        <f t="shared" si="19"/>
        <v/>
      </c>
      <c r="J413" s="33" cm="1">
        <f t="array" ref="J413">IFERROR(-_xlfn.IFS(OR(H413="y",H413="Y"),F413,AND(H413&lt;&gt;0,ISNUMBER(H413)),H413,G413&lt;&gt;0,G413),0)</f>
        <v>0</v>
      </c>
      <c r="K413" s="29" t="str">
        <f t="shared" si="20"/>
        <v/>
      </c>
      <c r="L413" s="45" t="str">
        <f>IF(C413&lt;&gt;"",_xlfn.XLOOKUP(TEXT(C413,"0"),TEXT(CC!$C$3:$C$1000,"0"),CC!$G$3:$G$1000,""),"")</f>
        <v/>
      </c>
    </row>
    <row r="414" spans="7:12" x14ac:dyDescent="0.25">
      <c r="G414" s="58">
        <f>IFERROR(SUMPRODUCT((TEXT(CC!$C$3:$C$1000,"0")=TEXT(C414,"0"))*IFERROR(CC!$E$3:$E$1000+0,0)),0)</f>
      </c>
      <c r="H414" s="44"/>
      <c r="I414" s="23" t="str">
        <f t="shared" si="19"/>
        <v/>
      </c>
      <c r="J414" s="33" cm="1">
        <f t="array" ref="J414">IFERROR(-_xlfn.IFS(OR(H414="y",H414="Y"),F414,AND(H414&lt;&gt;0,ISNUMBER(H414)),H414,G414&lt;&gt;0,G414),0)</f>
        <v>0</v>
      </c>
      <c r="K414" s="29" t="str">
        <f t="shared" si="20"/>
        <v/>
      </c>
      <c r="L414" s="45" t="str">
        <f>IF(C414&lt;&gt;"",_xlfn.XLOOKUP(TEXT(C414,"0"),TEXT(CC!$C$3:$C$1000,"0"),CC!$G$3:$G$1000,""),"")</f>
        <v/>
      </c>
    </row>
    <row r="415" spans="7:12" x14ac:dyDescent="0.25">
      <c r="G415" s="58">
        <f>IFERROR(SUMPRODUCT((TEXT(CC!$C$3:$C$1000,"0")=TEXT(C415,"0"))*IFERROR(CC!$E$3:$E$1000+0,0)),0)</f>
      </c>
      <c r="H415" s="44"/>
      <c r="I415" s="23" t="str">
        <f t="shared" si="19"/>
        <v/>
      </c>
      <c r="J415" s="33" cm="1">
        <f t="array" ref="J415">IFERROR(-_xlfn.IFS(OR(H415="y",H415="Y"),F415,AND(H415&lt;&gt;0,ISNUMBER(H415)),H415,G415&lt;&gt;0,G415),0)</f>
        <v>0</v>
      </c>
      <c r="K415" s="29" t="str">
        <f t="shared" si="20"/>
        <v/>
      </c>
      <c r="L415" s="45" t="str">
        <f>IF(C415&lt;&gt;"",_xlfn.XLOOKUP(TEXT(C415,"0"),TEXT(CC!$C$3:$C$1000,"0"),CC!$G$3:$G$1000,""),"")</f>
        <v/>
      </c>
    </row>
    <row r="416" spans="7:12" x14ac:dyDescent="0.25">
      <c r="G416" s="58">
        <f>IFERROR(SUMPRODUCT((TEXT(CC!$C$3:$C$1000,"0")=TEXT(C416,"0"))*IFERROR(CC!$E$3:$E$1000+0,0)),0)</f>
      </c>
      <c r="H416" s="44"/>
      <c r="I416" s="23" t="str">
        <f t="shared" si="19"/>
        <v/>
      </c>
      <c r="J416" s="33" cm="1">
        <f t="array" ref="J416">IFERROR(-_xlfn.IFS(OR(H416="y",H416="Y"),F416,AND(H416&lt;&gt;0,ISNUMBER(H416)),H416,G416&lt;&gt;0,G416),0)</f>
        <v>0</v>
      </c>
      <c r="K416" s="29" t="str">
        <f t="shared" si="20"/>
        <v/>
      </c>
      <c r="L416" s="45" t="str">
        <f>IF(C416&lt;&gt;"",_xlfn.XLOOKUP(TEXT(C416,"0"),TEXT(CC!$C$3:$C$1000,"0"),CC!$G$3:$G$1000,""),"")</f>
        <v/>
      </c>
    </row>
    <row r="417" spans="7:12" x14ac:dyDescent="0.25">
      <c r="G417" s="58">
        <f>IFERROR(SUMPRODUCT((TEXT(CC!$C$3:$C$1000,"0")=TEXT(C417,"0"))*IFERROR(CC!$E$3:$E$1000+0,0)),0)</f>
      </c>
      <c r="H417" s="44"/>
      <c r="I417" s="23" t="str">
        <f t="shared" si="19"/>
        <v/>
      </c>
      <c r="J417" s="33" cm="1">
        <f t="array" ref="J417">IFERROR(-_xlfn.IFS(OR(H417="y",H417="Y"),F417,AND(H417&lt;&gt;0,ISNUMBER(H417)),H417,G417&lt;&gt;0,G417),0)</f>
        <v>0</v>
      </c>
      <c r="K417" s="29" t="str">
        <f t="shared" si="20"/>
        <v/>
      </c>
      <c r="L417" s="45" t="str">
        <f>IF(C417&lt;&gt;"",_xlfn.XLOOKUP(TEXT(C417,"0"),TEXT(CC!$C$3:$C$1000,"0"),CC!$G$3:$G$1000,""),"")</f>
        <v/>
      </c>
    </row>
    <row r="418" spans="7:12" x14ac:dyDescent="0.25">
      <c r="G418" s="58">
        <f>IFERROR(SUMPRODUCT((TEXT(CC!$C$3:$C$1000,"0")=TEXT(C418,"0"))*IFERROR(CC!$E$3:$E$1000+0,0)),0)</f>
      </c>
      <c r="H418" s="44"/>
      <c r="I418" s="23" t="str">
        <f t="shared" si="19"/>
        <v/>
      </c>
      <c r="J418" s="33" cm="1">
        <f t="array" ref="J418">IFERROR(-_xlfn.IFS(OR(H418="y",H418="Y"),F418,AND(H418&lt;&gt;0,ISNUMBER(H418)),H418,G418&lt;&gt;0,G418),0)</f>
        <v>0</v>
      </c>
      <c r="K418" s="29" t="str">
        <f t="shared" si="20"/>
        <v/>
      </c>
      <c r="L418" s="45" t="str">
        <f>IF(C418&lt;&gt;"",_xlfn.XLOOKUP(TEXT(C418,"0"),TEXT(CC!$C$3:$C$1000,"0"),CC!$G$3:$G$1000,""),"")</f>
        <v/>
      </c>
    </row>
    <row r="419" spans="7:12" x14ac:dyDescent="0.25">
      <c r="G419" s="58">
        <f>IFERROR(SUMPRODUCT((TEXT(CC!$C$3:$C$1000,"0")=TEXT(C419,"0"))*IFERROR(CC!$E$3:$E$1000+0,0)),0)</f>
      </c>
      <c r="H419" s="44"/>
      <c r="I419" s="23" t="str">
        <f t="shared" si="19"/>
        <v/>
      </c>
      <c r="J419" s="33" cm="1">
        <f t="array" ref="J419">IFERROR(-_xlfn.IFS(OR(H419="y",H419="Y"),F419,AND(H419&lt;&gt;0,ISNUMBER(H419)),H419,G419&lt;&gt;0,G419),0)</f>
        <v>0</v>
      </c>
      <c r="K419" s="29" t="str">
        <f t="shared" si="20"/>
        <v/>
      </c>
      <c r="L419" s="45" t="str">
        <f>IF(C419&lt;&gt;"",_xlfn.XLOOKUP(TEXT(C419,"0"),TEXT(CC!$C$3:$C$1000,"0"),CC!$G$3:$G$1000,""),"")</f>
        <v/>
      </c>
    </row>
    <row r="420" spans="7:12" x14ac:dyDescent="0.25">
      <c r="G420" s="58">
        <f>IFERROR(SUMPRODUCT((TEXT(CC!$C$3:$C$1000,"0")=TEXT(C420,"0"))*IFERROR(CC!$E$3:$E$1000+0,0)),0)</f>
      </c>
      <c r="H420" s="44"/>
      <c r="I420" s="23" t="str">
        <f t="shared" si="19"/>
        <v/>
      </c>
      <c r="J420" s="33" cm="1">
        <f t="array" ref="J420">IFERROR(-_xlfn.IFS(OR(H420="y",H420="Y"),F420,AND(H420&lt;&gt;0,ISNUMBER(H420)),H420,G420&lt;&gt;0,G420),0)</f>
        <v>0</v>
      </c>
      <c r="K420" s="29" t="str">
        <f t="shared" si="20"/>
        <v/>
      </c>
      <c r="L420" s="45" t="str">
        <f>IF(C420&lt;&gt;"",_xlfn.XLOOKUP(TEXT(C420,"0"),TEXT(CC!$C$3:$C$1000,"0"),CC!$G$3:$G$1000,""),"")</f>
        <v/>
      </c>
    </row>
    <row r="421" spans="7:12" x14ac:dyDescent="0.25">
      <c r="G421" s="58">
        <f>IFERROR(SUMPRODUCT((TEXT(CC!$C$3:$C$1000,"0")=TEXT(C421,"0"))*IFERROR(CC!$E$3:$E$1000+0,0)),0)</f>
      </c>
      <c r="H421" s="44"/>
      <c r="I421" s="23" t="str">
        <f t="shared" si="19"/>
        <v/>
      </c>
      <c r="J421" s="33" cm="1">
        <f t="array" ref="J421">IFERROR(-_xlfn.IFS(OR(H421="y",H421="Y"),F421,AND(H421&lt;&gt;0,ISNUMBER(H421)),H421,G421&lt;&gt;0,G421),0)</f>
        <v>0</v>
      </c>
      <c r="K421" s="29" t="str">
        <f t="shared" si="20"/>
        <v/>
      </c>
      <c r="L421" s="45" t="str">
        <f>IF(C421&lt;&gt;"",_xlfn.XLOOKUP(TEXT(C421,"0"),TEXT(CC!$C$3:$C$1000,"0"),CC!$G$3:$G$1000,""),"")</f>
        <v/>
      </c>
    </row>
    <row r="422" spans="7:12" x14ac:dyDescent="0.25">
      <c r="G422" s="58">
        <f>IFERROR(SUMPRODUCT((TEXT(CC!$C$3:$C$1000,"0")=TEXT(C422,"0"))*IFERROR(CC!$E$3:$E$1000+0,0)),0)</f>
      </c>
      <c r="H422" s="44"/>
      <c r="I422" s="23" t="str">
        <f t="shared" si="19"/>
        <v/>
      </c>
      <c r="J422" s="33" cm="1">
        <f t="array" ref="J422">IFERROR(-_xlfn.IFS(OR(H422="y",H422="Y"),F422,AND(H422&lt;&gt;0,ISNUMBER(H422)),H422,G422&lt;&gt;0,G422),0)</f>
        <v>0</v>
      </c>
      <c r="K422" s="29" t="str">
        <f t="shared" si="20"/>
        <v/>
      </c>
      <c r="L422" s="45" t="str">
        <f>IF(C422&lt;&gt;"",_xlfn.XLOOKUP(TEXT(C422,"0"),TEXT(CC!$C$3:$C$1000,"0"),CC!$G$3:$G$1000,""),"")</f>
        <v/>
      </c>
    </row>
    <row r="423" spans="7:12" x14ac:dyDescent="0.25">
      <c r="G423" s="58">
        <f>IFERROR(SUMPRODUCT((TEXT(CC!$C$3:$C$1000,"0")=TEXT(C423,"0"))*IFERROR(CC!$E$3:$E$1000+0,0)),0)</f>
      </c>
      <c r="H423" s="44"/>
      <c r="I423" s="23" t="str">
        <f t="shared" si="19"/>
        <v/>
      </c>
      <c r="J423" s="33" cm="1">
        <f t="array" ref="J423">IFERROR(-_xlfn.IFS(OR(H423="y",H423="Y"),F423,AND(H423&lt;&gt;0,ISNUMBER(H423)),H423,G423&lt;&gt;0,G423),0)</f>
        <v>0</v>
      </c>
      <c r="K423" s="29" t="str">
        <f t="shared" si="20"/>
        <v/>
      </c>
      <c r="L423" s="45" t="str">
        <f>IF(C423&lt;&gt;"",_xlfn.XLOOKUP(TEXT(C423,"0"),TEXT(CC!$C$3:$C$1000,"0"),CC!$G$3:$G$1000,""),"")</f>
        <v/>
      </c>
    </row>
    <row r="424" spans="7:12" x14ac:dyDescent="0.25">
      <c r="G424" s="58">
        <f>IFERROR(SUMPRODUCT((TEXT(CC!$C$3:$C$1000,"0")=TEXT(C424,"0"))*IFERROR(CC!$E$3:$E$1000+0,0)),0)</f>
      </c>
      <c r="H424" s="44"/>
      <c r="I424" s="23" t="str">
        <f t="shared" si="19"/>
        <v/>
      </c>
      <c r="J424" s="33" cm="1">
        <f t="array" ref="J424">IFERROR(-_xlfn.IFS(OR(H424="y",H424="Y"),F424,AND(H424&lt;&gt;0,ISNUMBER(H424)),H424,G424&lt;&gt;0,G424),0)</f>
        <v>0</v>
      </c>
      <c r="K424" s="29" t="str">
        <f t="shared" si="20"/>
        <v/>
      </c>
      <c r="L424" s="45" t="str">
        <f>IF(C424&lt;&gt;"",_xlfn.XLOOKUP(TEXT(C424,"0"),TEXT(CC!$C$3:$C$1000,"0"),CC!$G$3:$G$1000,""),"")</f>
        <v/>
      </c>
    </row>
    <row r="425" spans="7:12" x14ac:dyDescent="0.25">
      <c r="G425" s="58">
        <f>IFERROR(SUMPRODUCT((TEXT(CC!$C$3:$C$1000,"0")=TEXT(C425,"0"))*IFERROR(CC!$E$3:$E$1000+0,0)),0)</f>
      </c>
      <c r="H425" s="44"/>
      <c r="I425" s="23" t="str">
        <f t="shared" si="19"/>
        <v/>
      </c>
      <c r="J425" s="33" cm="1">
        <f t="array" ref="J425">IFERROR(-_xlfn.IFS(OR(H425="y",H425="Y"),F425,AND(H425&lt;&gt;0,ISNUMBER(H425)),H425,G425&lt;&gt;0,G425),0)</f>
        <v>0</v>
      </c>
      <c r="K425" s="29" t="str">
        <f t="shared" si="20"/>
        <v/>
      </c>
      <c r="L425" s="45" t="str">
        <f>IF(C425&lt;&gt;"",_xlfn.XLOOKUP(TEXT(C425,"0"),TEXT(CC!$C$3:$C$1000,"0"),CC!$G$3:$G$1000,""),"")</f>
        <v/>
      </c>
    </row>
    <row r="426" spans="7:12" x14ac:dyDescent="0.25">
      <c r="G426" s="58">
        <f>IFERROR(SUMPRODUCT((TEXT(CC!$C$3:$C$1000,"0")=TEXT(C426,"0"))*IFERROR(CC!$E$3:$E$1000+0,0)),0)</f>
      </c>
      <c r="H426" s="44"/>
      <c r="I426" s="23" t="str">
        <f t="shared" si="19"/>
        <v/>
      </c>
      <c r="J426" s="33" cm="1">
        <f t="array" ref="J426">IFERROR(-_xlfn.IFS(OR(H426="y",H426="Y"),F426,AND(H426&lt;&gt;0,ISNUMBER(H426)),H426,G426&lt;&gt;0,G426),0)</f>
        <v>0</v>
      </c>
      <c r="K426" s="29" t="str">
        <f t="shared" si="20"/>
        <v/>
      </c>
      <c r="L426" s="45" t="str">
        <f>IF(C426&lt;&gt;"",_xlfn.XLOOKUP(TEXT(C426,"0"),TEXT(CC!$C$3:$C$1000,"0"),CC!$G$3:$G$1000,""),"")</f>
        <v/>
      </c>
    </row>
    <row r="427" spans="7:12" x14ac:dyDescent="0.25">
      <c r="G427" s="58">
        <f>IFERROR(SUMPRODUCT((TEXT(CC!$C$3:$C$1000,"0")=TEXT(C427,"0"))*IFERROR(CC!$E$3:$E$1000+0,0)),0)</f>
      </c>
      <c r="H427" s="44"/>
      <c r="I427" s="23" t="str">
        <f t="shared" si="19"/>
        <v/>
      </c>
      <c r="J427" s="33" cm="1">
        <f t="array" ref="J427">IFERROR(-_xlfn.IFS(OR(H427="y",H427="Y"),F427,AND(H427&lt;&gt;0,ISNUMBER(H427)),H427,G427&lt;&gt;0,G427),0)</f>
        <v>0</v>
      </c>
      <c r="K427" s="29" t="str">
        <f t="shared" si="20"/>
        <v/>
      </c>
      <c r="L427" s="45" t="str">
        <f>IF(C427&lt;&gt;"",_xlfn.XLOOKUP(TEXT(C427,"0"),TEXT(CC!$C$3:$C$1000,"0"),CC!$G$3:$G$1000,""),"")</f>
        <v/>
      </c>
    </row>
    <row r="428" spans="7:12" x14ac:dyDescent="0.25">
      <c r="G428" s="58">
        <f>IFERROR(SUMPRODUCT((TEXT(CC!$C$3:$C$1000,"0")=TEXT(C428,"0"))*IFERROR(CC!$E$3:$E$1000+0,0)),0)</f>
      </c>
      <c r="H428" s="44"/>
      <c r="I428" s="23" t="str">
        <f t="shared" si="19"/>
        <v/>
      </c>
      <c r="J428" s="33" cm="1">
        <f t="array" ref="J428">IFERROR(-_xlfn.IFS(OR(H428="y",H428="Y"),F428,AND(H428&lt;&gt;0,ISNUMBER(H428)),H428,G428&lt;&gt;0,G428),0)</f>
        <v>0</v>
      </c>
      <c r="K428" s="29" t="str">
        <f t="shared" si="20"/>
        <v/>
      </c>
      <c r="L428" s="45" t="str">
        <f>IF(C428&lt;&gt;"",_xlfn.XLOOKUP(TEXT(C428,"0"),TEXT(CC!$C$3:$C$1000,"0"),CC!$G$3:$G$1000,""),"")</f>
        <v/>
      </c>
    </row>
    <row r="429" spans="7:12" x14ac:dyDescent="0.25">
      <c r="G429" s="58">
        <f>IFERROR(SUMPRODUCT((TEXT(CC!$C$3:$C$1000,"0")=TEXT(C429,"0"))*IFERROR(CC!$E$3:$E$1000+0,0)),0)</f>
      </c>
      <c r="H429" s="44"/>
      <c r="I429" s="23" t="str">
        <f t="shared" si="19"/>
        <v/>
      </c>
      <c r="J429" s="33" cm="1">
        <f t="array" ref="J429">IFERROR(-_xlfn.IFS(OR(H429="y",H429="Y"),F429,AND(H429&lt;&gt;0,ISNUMBER(H429)),H429,G429&lt;&gt;0,G429),0)</f>
        <v>0</v>
      </c>
      <c r="K429" s="29" t="str">
        <f t="shared" si="20"/>
        <v/>
      </c>
      <c r="L429" s="45" t="str">
        <f>IF(C429&lt;&gt;"",_xlfn.XLOOKUP(TEXT(C429,"0"),TEXT(CC!$C$3:$C$1000,"0"),CC!$G$3:$G$1000,""),"")</f>
        <v/>
      </c>
    </row>
    <row r="430" spans="7:12" x14ac:dyDescent="0.25">
      <c r="G430" s="58">
        <f>IFERROR(SUMPRODUCT((TEXT(CC!$C$3:$C$1000,"0")=TEXT(C430,"0"))*IFERROR(CC!$E$3:$E$1000+0,0)),0)</f>
      </c>
      <c r="H430" s="44"/>
      <c r="I430" s="23" t="str">
        <f t="shared" si="19"/>
        <v/>
      </c>
      <c r="J430" s="33" cm="1">
        <f t="array" ref="J430">IFERROR(-_xlfn.IFS(OR(H430="y",H430="Y"),F430,AND(H430&lt;&gt;0,ISNUMBER(H430)),H430,G430&lt;&gt;0,G430),0)</f>
        <v>0</v>
      </c>
      <c r="K430" s="29" t="str">
        <f t="shared" si="20"/>
        <v/>
      </c>
      <c r="L430" s="45" t="str">
        <f>IF(C430&lt;&gt;"",_xlfn.XLOOKUP(TEXT(C430,"0"),TEXT(CC!$C$3:$C$1000,"0"),CC!$G$3:$G$1000,""),"")</f>
        <v/>
      </c>
    </row>
    <row r="431" spans="7:12" x14ac:dyDescent="0.25">
      <c r="G431" s="58">
        <f>IFERROR(SUMPRODUCT((TEXT(CC!$C$3:$C$1000,"0")=TEXT(C431,"0"))*IFERROR(CC!$E$3:$E$1000+0,0)),0)</f>
      </c>
      <c r="H431" s="44"/>
      <c r="I431" s="23" t="str">
        <f t="shared" si="19"/>
        <v/>
      </c>
      <c r="J431" s="33" cm="1">
        <f t="array" ref="J431">IFERROR(-_xlfn.IFS(OR(H431="y",H431="Y"),F431,AND(H431&lt;&gt;0,ISNUMBER(H431)),H431,G431&lt;&gt;0,G431),0)</f>
        <v>0</v>
      </c>
      <c r="K431" s="29" t="str">
        <f t="shared" si="20"/>
        <v/>
      </c>
      <c r="L431" s="45" t="str">
        <f>IF(C431&lt;&gt;"",_xlfn.XLOOKUP(TEXT(C431,"0"),TEXT(CC!$C$3:$C$1000,"0"),CC!$G$3:$G$1000,""),"")</f>
        <v/>
      </c>
    </row>
    <row r="432" spans="7:12" x14ac:dyDescent="0.25">
      <c r="G432" s="58">
        <f>IFERROR(SUMPRODUCT((TEXT(CC!$C$3:$C$1000,"0")=TEXT(C432,"0"))*IFERROR(CC!$E$3:$E$1000+0,0)),0)</f>
      </c>
      <c r="H432" s="44"/>
      <c r="I432" s="23" t="str">
        <f t="shared" si="19"/>
        <v/>
      </c>
      <c r="J432" s="33" cm="1">
        <f t="array" ref="J432">IFERROR(-_xlfn.IFS(OR(H432="y",H432="Y"),F432,AND(H432&lt;&gt;0,ISNUMBER(H432)),H432,G432&lt;&gt;0,G432),0)</f>
        <v>0</v>
      </c>
      <c r="K432" s="29" t="str">
        <f t="shared" si="20"/>
        <v/>
      </c>
      <c r="L432" s="45" t="str">
        <f>IF(C432&lt;&gt;"",_xlfn.XLOOKUP(TEXT(C432,"0"),TEXT(CC!$C$3:$C$1000,"0"),CC!$G$3:$G$1000,""),"")</f>
        <v/>
      </c>
    </row>
    <row r="433" spans="7:12" x14ac:dyDescent="0.25">
      <c r="G433" s="58">
        <f>IFERROR(SUMPRODUCT((TEXT(CC!$C$3:$C$1000,"0")=TEXT(C433,"0"))*IFERROR(CC!$E$3:$E$1000+0,0)),0)</f>
      </c>
      <c r="H433" s="44"/>
      <c r="I433" s="23" t="str">
        <f t="shared" si="19"/>
        <v/>
      </c>
      <c r="J433" s="33" cm="1">
        <f t="array" ref="J433">IFERROR(-_xlfn.IFS(OR(H433="y",H433="Y"),F433,AND(H433&lt;&gt;0,ISNUMBER(H433)),H433,G433&lt;&gt;0,G433),0)</f>
        <v>0</v>
      </c>
      <c r="K433" s="29" t="str">
        <f t="shared" si="20"/>
        <v/>
      </c>
      <c r="L433" s="45" t="str">
        <f>IF(C433&lt;&gt;"",_xlfn.XLOOKUP(TEXT(C433,"0"),TEXT(CC!$C$3:$C$1000,"0"),CC!$G$3:$G$1000,""),"")</f>
        <v/>
      </c>
    </row>
    <row r="434" spans="7:12" x14ac:dyDescent="0.25">
      <c r="G434" s="58">
        <f>IFERROR(SUMPRODUCT((TEXT(CC!$C$3:$C$1000,"0")=TEXT(C434,"0"))*IFERROR(CC!$E$3:$E$1000+0,0)),0)</f>
      </c>
      <c r="H434" s="44"/>
      <c r="I434" s="23" t="str">
        <f t="shared" si="19"/>
        <v/>
      </c>
      <c r="J434" s="33" cm="1">
        <f t="array" ref="J434">IFERROR(-_xlfn.IFS(OR(H434="y",H434="Y"),F434,AND(H434&lt;&gt;0,ISNUMBER(H434)),H434,G434&lt;&gt;0,G434),0)</f>
        <v>0</v>
      </c>
      <c r="K434" s="29" t="str">
        <f t="shared" si="20"/>
        <v/>
      </c>
      <c r="L434" s="45" t="str">
        <f>IF(C434&lt;&gt;"",_xlfn.XLOOKUP(TEXT(C434,"0"),TEXT(CC!$C$3:$C$1000,"0"),CC!$G$3:$G$1000,""),"")</f>
        <v/>
      </c>
    </row>
    <row r="435" spans="7:12" x14ac:dyDescent="0.25">
      <c r="G435" s="58">
        <f>IFERROR(SUMPRODUCT((TEXT(CC!$C$3:$C$1000,"0")=TEXT(C435,"0"))*IFERROR(CC!$E$3:$E$1000+0,0)),0)</f>
      </c>
      <c r="H435" s="44"/>
      <c r="I435" s="23" t="str">
        <f t="shared" si="19"/>
        <v/>
      </c>
      <c r="J435" s="33" cm="1">
        <f t="array" ref="J435">IFERROR(-_xlfn.IFS(OR(H435="y",H435="Y"),F435,AND(H435&lt;&gt;0,ISNUMBER(H435)),H435,G435&lt;&gt;0,G435),0)</f>
        <v>0</v>
      </c>
      <c r="K435" s="29" t="str">
        <f t="shared" si="20"/>
        <v/>
      </c>
      <c r="L435" s="45" t="str">
        <f>IF(C435&lt;&gt;"",_xlfn.XLOOKUP(TEXT(C435,"0"),TEXT(CC!$C$3:$C$1000,"0"),CC!$G$3:$G$1000,""),"")</f>
        <v/>
      </c>
    </row>
    <row r="436" spans="7:12" x14ac:dyDescent="0.25">
      <c r="G436" s="58">
        <f>IFERROR(SUMPRODUCT((TEXT(CC!$C$3:$C$1000,"0")=TEXT(C436,"0"))*IFERROR(CC!$E$3:$E$1000+0,0)),0)</f>
      </c>
      <c r="H436" s="44"/>
      <c r="I436" s="23" t="str">
        <f t="shared" si="19"/>
        <v/>
      </c>
      <c r="J436" s="33" cm="1">
        <f t="array" ref="J436">IFERROR(-_xlfn.IFS(OR(H436="y",H436="Y"),F436,AND(H436&lt;&gt;0,ISNUMBER(H436)),H436,G436&lt;&gt;0,G436),0)</f>
        <v>0</v>
      </c>
      <c r="K436" s="29" t="str">
        <f t="shared" si="20"/>
        <v/>
      </c>
      <c r="L436" s="45" t="str">
        <f>IF(C436&lt;&gt;"",_xlfn.XLOOKUP(TEXT(C436,"0"),TEXT(CC!$C$3:$C$1000,"0"),CC!$G$3:$G$1000,""),"")</f>
        <v/>
      </c>
    </row>
    <row r="437" spans="7:12" x14ac:dyDescent="0.25">
      <c r="G437" s="58">
        <f>IFERROR(SUMPRODUCT((TEXT(CC!$C$3:$C$1000,"0")=TEXT(C437,"0"))*IFERROR(CC!$E$3:$E$1000+0,0)),0)</f>
      </c>
      <c r="H437" s="44"/>
      <c r="I437" s="23" t="str">
        <f t="shared" si="19"/>
        <v/>
      </c>
      <c r="J437" s="33" cm="1">
        <f t="array" ref="J437">IFERROR(-_xlfn.IFS(OR(H437="y",H437="Y"),F437,AND(H437&lt;&gt;0,ISNUMBER(H437)),H437,G437&lt;&gt;0,G437),0)</f>
        <v>0</v>
      </c>
      <c r="K437" s="29" t="str">
        <f t="shared" si="20"/>
        <v/>
      </c>
      <c r="L437" s="45" t="str">
        <f>IF(C437&lt;&gt;"",_xlfn.XLOOKUP(TEXT(C437,"0"),TEXT(CC!$C$3:$C$1000,"0"),CC!$G$3:$G$1000,""),"")</f>
        <v/>
      </c>
    </row>
    <row r="438" spans="7:12" x14ac:dyDescent="0.25">
      <c r="G438" s="58">
        <f>IFERROR(SUMPRODUCT((TEXT(CC!$C$3:$C$1000,"0")=TEXT(C438,"0"))*IFERROR(CC!$E$3:$E$1000+0,0)),0)</f>
      </c>
      <c r="H438" s="44"/>
      <c r="I438" s="23" t="str">
        <f t="shared" si="19"/>
        <v/>
      </c>
      <c r="J438" s="33" cm="1">
        <f t="array" ref="J438">IFERROR(-_xlfn.IFS(OR(H438="y",H438="Y"),F438,AND(H438&lt;&gt;0,ISNUMBER(H438)),H438,G438&lt;&gt;0,G438),0)</f>
        <v>0</v>
      </c>
      <c r="K438" s="29" t="str">
        <f t="shared" si="20"/>
        <v/>
      </c>
      <c r="L438" s="45" t="str">
        <f>IF(C438&lt;&gt;"",_xlfn.XLOOKUP(TEXT(C438,"0"),TEXT(CC!$C$3:$C$1000,"0"),CC!$G$3:$G$1000,""),"")</f>
        <v/>
      </c>
    </row>
    <row r="439" spans="7:12" x14ac:dyDescent="0.25">
      <c r="G439" s="58">
        <f>IFERROR(SUMPRODUCT((TEXT(CC!$C$3:$C$1000,"0")=TEXT(C439,"0"))*IFERROR(CC!$E$3:$E$1000+0,0)),0)</f>
      </c>
      <c r="H439" s="44"/>
      <c r="I439" s="23" t="str">
        <f t="shared" si="19"/>
        <v/>
      </c>
      <c r="J439" s="33" cm="1">
        <f t="array" ref="J439">IFERROR(-_xlfn.IFS(OR(H439="y",H439="Y"),F439,AND(H439&lt;&gt;0,ISNUMBER(H439)),H439,G439&lt;&gt;0,G439),0)</f>
        <v>0</v>
      </c>
      <c r="K439" s="29" t="str">
        <f t="shared" si="20"/>
        <v/>
      </c>
      <c r="L439" s="45" t="str">
        <f>IF(C439&lt;&gt;"",_xlfn.XLOOKUP(TEXT(C439,"0"),TEXT(CC!$C$3:$C$1000,"0"),CC!$G$3:$G$1000,""),"")</f>
        <v/>
      </c>
    </row>
    <row r="440" spans="7:12" x14ac:dyDescent="0.25">
      <c r="G440" s="58">
        <f>IFERROR(SUMPRODUCT((TEXT(CC!$C$3:$C$1000,"0")=TEXT(C440,"0"))*IFERROR(CC!$E$3:$E$1000+0,0)),0)</f>
      </c>
      <c r="H440" s="44"/>
      <c r="I440" s="23" t="str">
        <f t="shared" si="19"/>
        <v/>
      </c>
      <c r="J440" s="33" cm="1">
        <f t="array" ref="J440">IFERROR(-_xlfn.IFS(OR(H440="y",H440="Y"),F440,AND(H440&lt;&gt;0,ISNUMBER(H440)),H440,G440&lt;&gt;0,G440),0)</f>
        <v>0</v>
      </c>
      <c r="K440" s="29" t="str">
        <f t="shared" si="20"/>
        <v/>
      </c>
      <c r="L440" s="45" t="str">
        <f>IF(C440&lt;&gt;"",_xlfn.XLOOKUP(TEXT(C440,"0"),TEXT(CC!$C$3:$C$1000,"0"),CC!$G$3:$G$1000,""),"")</f>
        <v/>
      </c>
    </row>
    <row r="441" spans="7:12" x14ac:dyDescent="0.25">
      <c r="G441" s="58">
        <f>IFERROR(SUMPRODUCT((TEXT(CC!$C$3:$C$1000,"0")=TEXT(C441,"0"))*IFERROR(CC!$E$3:$E$1000+0,0)),0)</f>
      </c>
      <c r="H441" s="44"/>
      <c r="I441" s="23" t="str">
        <f t="shared" si="19"/>
        <v/>
      </c>
      <c r="J441" s="33" cm="1">
        <f t="array" ref="J441">IFERROR(-_xlfn.IFS(OR(H441="y",H441="Y"),F441,AND(H441&lt;&gt;0,ISNUMBER(H441)),H441,G441&lt;&gt;0,G441),0)</f>
        <v>0</v>
      </c>
      <c r="K441" s="29" t="str">
        <f t="shared" si="20"/>
        <v/>
      </c>
      <c r="L441" s="45" t="str">
        <f>IF(C441&lt;&gt;"",_xlfn.XLOOKUP(TEXT(C441,"0"),TEXT(CC!$C$3:$C$1000,"0"),CC!$G$3:$G$1000,""),"")</f>
        <v/>
      </c>
    </row>
    <row r="442" spans="7:12" x14ac:dyDescent="0.25">
      <c r="G442" s="58">
        <f>IFERROR(SUMPRODUCT((TEXT(CC!$C$3:$C$1000,"0")=TEXT(C442,"0"))*IFERROR(CC!$E$3:$E$1000+0,0)),0)</f>
      </c>
      <c r="H442" s="44"/>
      <c r="I442" s="23" t="str">
        <f t="shared" si="19"/>
        <v/>
      </c>
      <c r="J442" s="33" cm="1">
        <f t="array" ref="J442">IFERROR(-_xlfn.IFS(OR(H442="y",H442="Y"),F442,AND(H442&lt;&gt;0,ISNUMBER(H442)),H442,G442&lt;&gt;0,G442),0)</f>
        <v>0</v>
      </c>
      <c r="K442" s="29" t="str">
        <f t="shared" si="20"/>
        <v/>
      </c>
      <c r="L442" s="45" t="str">
        <f>IF(C442&lt;&gt;"",_xlfn.XLOOKUP(TEXT(C442,"0"),TEXT(CC!$C$3:$C$1000,"0"),CC!$G$3:$G$1000,""),"")</f>
        <v/>
      </c>
    </row>
    <row r="443" spans="7:12" x14ac:dyDescent="0.25">
      <c r="G443" s="58">
        <f>IFERROR(SUMPRODUCT((TEXT(CC!$C$3:$C$1000,"0")=TEXT(C443,"0"))*IFERROR(CC!$E$3:$E$1000+0,0)),0)</f>
      </c>
      <c r="H443" s="44"/>
      <c r="I443" s="23" t="str">
        <f t="shared" si="19"/>
        <v/>
      </c>
      <c r="J443" s="33" cm="1">
        <f t="array" ref="J443">IFERROR(-_xlfn.IFS(OR(H443="y",H443="Y"),F443,AND(H443&lt;&gt;0,ISNUMBER(H443)),H443,G443&lt;&gt;0,G443),0)</f>
        <v>0</v>
      </c>
      <c r="K443" s="29" t="str">
        <f t="shared" si="20"/>
        <v/>
      </c>
      <c r="L443" s="45" t="str">
        <f>IF(C443&lt;&gt;"",_xlfn.XLOOKUP(TEXT(C443,"0"),TEXT(CC!$C$3:$C$1000,"0"),CC!$G$3:$G$1000,""),"")</f>
        <v/>
      </c>
    </row>
    <row r="444" spans="7:12" x14ac:dyDescent="0.25">
      <c r="G444" s="58">
        <f>IFERROR(SUMPRODUCT((TEXT(CC!$C$3:$C$1000,"0")=TEXT(C444,"0"))*IFERROR(CC!$E$3:$E$1000+0,0)),0)</f>
      </c>
      <c r="H444" s="44"/>
      <c r="I444" s="23" t="str">
        <f t="shared" si="19"/>
        <v/>
      </c>
      <c r="J444" s="33" cm="1">
        <f t="array" ref="J444">IFERROR(-_xlfn.IFS(OR(H444="y",H444="Y"),F444,AND(H444&lt;&gt;0,ISNUMBER(H444)),H444,G444&lt;&gt;0,G444),0)</f>
        <v>0</v>
      </c>
      <c r="K444" s="29" t="str">
        <f t="shared" si="20"/>
        <v/>
      </c>
      <c r="L444" s="45" t="str">
        <f>IF(C444&lt;&gt;"",_xlfn.XLOOKUP(TEXT(C444,"0"),TEXT(CC!$C$3:$C$1000,"0"),CC!$G$3:$G$1000,""),"")</f>
        <v/>
      </c>
    </row>
    <row r="445" spans="7:12" x14ac:dyDescent="0.25">
      <c r="G445" s="58">
        <f>IFERROR(SUMPRODUCT((TEXT(CC!$C$3:$C$1000,"0")=TEXT(C445,"0"))*IFERROR(CC!$E$3:$E$1000+0,0)),0)</f>
      </c>
      <c r="H445" s="44"/>
      <c r="I445" s="23" t="str">
        <f t="shared" si="19"/>
        <v/>
      </c>
      <c r="J445" s="33" cm="1">
        <f t="array" ref="J445">IFERROR(-_xlfn.IFS(OR(H445="y",H445="Y"),F445,AND(H445&lt;&gt;0,ISNUMBER(H445)),H445,G445&lt;&gt;0,G445),0)</f>
        <v>0</v>
      </c>
      <c r="K445" s="29" t="str">
        <f t="shared" si="20"/>
        <v/>
      </c>
      <c r="L445" s="45" t="str">
        <f>IF(C445&lt;&gt;"",_xlfn.XLOOKUP(TEXT(C445,"0"),TEXT(CC!$C$3:$C$1000,"0"),CC!$G$3:$G$1000,""),"")</f>
        <v/>
      </c>
    </row>
    <row r="446" spans="7:12" x14ac:dyDescent="0.25">
      <c r="G446" s="58">
        <f>IFERROR(SUMPRODUCT((TEXT(CC!$C$3:$C$1000,"0")=TEXT(C446,"0"))*IFERROR(CC!$E$3:$E$1000+0,0)),0)</f>
      </c>
      <c r="H446" s="44"/>
      <c r="I446" s="23" t="str">
        <f t="shared" si="19"/>
        <v/>
      </c>
      <c r="J446" s="33" cm="1">
        <f t="array" ref="J446">IFERROR(-_xlfn.IFS(OR(H446="y",H446="Y"),F446,AND(H446&lt;&gt;0,ISNUMBER(H446)),H446,G446&lt;&gt;0,G446),0)</f>
        <v>0</v>
      </c>
      <c r="K446" s="29" t="str">
        <f t="shared" si="20"/>
        <v/>
      </c>
      <c r="L446" s="45" t="str">
        <f>IF(C446&lt;&gt;"",_xlfn.XLOOKUP(TEXT(C446,"0"),TEXT(CC!$C$3:$C$1000,"0"),CC!$G$3:$G$1000,""),"")</f>
        <v/>
      </c>
    </row>
    <row r="447" spans="7:12" x14ac:dyDescent="0.25">
      <c r="G447" s="58">
        <f>IFERROR(SUMPRODUCT((TEXT(CC!$C$3:$C$1000,"0")=TEXT(C447,"0"))*IFERROR(CC!$E$3:$E$1000+0,0)),0)</f>
      </c>
      <c r="H447" s="44"/>
      <c r="I447" s="23" t="str">
        <f t="shared" si="19"/>
        <v/>
      </c>
      <c r="J447" s="33" cm="1">
        <f t="array" ref="J447">IFERROR(-_xlfn.IFS(OR(H447="y",H447="Y"),F447,AND(H447&lt;&gt;0,ISNUMBER(H447)),H447,G447&lt;&gt;0,G447),0)</f>
        <v>0</v>
      </c>
      <c r="K447" s="29" t="str">
        <f t="shared" si="20"/>
        <v/>
      </c>
      <c r="L447" s="45" t="str">
        <f>IF(C447&lt;&gt;"",_xlfn.XLOOKUP(TEXT(C447,"0"),TEXT(CC!$C$3:$C$1000,"0"),CC!$G$3:$G$1000,""),"")</f>
        <v/>
      </c>
    </row>
    <row r="448" spans="7:12" x14ac:dyDescent="0.25">
      <c r="G448" s="58">
        <f>IFERROR(SUMPRODUCT((TEXT(CC!$C$3:$C$1000,"0")=TEXT(C448,"0"))*IFERROR(CC!$E$3:$E$1000+0,0)),0)</f>
      </c>
      <c r="H448" s="44"/>
      <c r="I448" s="23" t="str">
        <f t="shared" si="19"/>
        <v/>
      </c>
      <c r="J448" s="33" cm="1">
        <f t="array" ref="J448">IFERROR(-_xlfn.IFS(OR(H448="y",H448="Y"),F448,AND(H448&lt;&gt;0,ISNUMBER(H448)),H448,G448&lt;&gt;0,G448),0)</f>
        <v>0</v>
      </c>
      <c r="K448" s="29" t="str">
        <f t="shared" si="20"/>
        <v/>
      </c>
      <c r="L448" s="45" t="str">
        <f>IF(C448&lt;&gt;"",_xlfn.XLOOKUP(TEXT(C448,"0"),TEXT(CC!$C$3:$C$1000,"0"),CC!$G$3:$G$1000,""),"")</f>
        <v/>
      </c>
    </row>
    <row r="449" spans="7:12" x14ac:dyDescent="0.25">
      <c r="G449" s="58">
        <f>IFERROR(SUMPRODUCT((TEXT(CC!$C$3:$C$1000,"0")=TEXT(C449,"0"))*IFERROR(CC!$E$3:$E$1000+0,0)),0)</f>
      </c>
      <c r="H449" s="44"/>
      <c r="I449" s="23" t="str">
        <f t="shared" si="19"/>
        <v/>
      </c>
      <c r="J449" s="33" cm="1">
        <f t="array" ref="J449">IFERROR(-_xlfn.IFS(OR(H449="y",H449="Y"),F449,AND(H449&lt;&gt;0,ISNUMBER(H449)),H449,G449&lt;&gt;0,G449),0)</f>
        <v>0</v>
      </c>
      <c r="K449" s="29" t="str">
        <f t="shared" si="20"/>
        <v/>
      </c>
      <c r="L449" s="45" t="str">
        <f>IF(C449&lt;&gt;"",_xlfn.XLOOKUP(TEXT(C449,"0"),TEXT(CC!$C$3:$C$1000,"0"),CC!$G$3:$G$1000,""),"")</f>
        <v/>
      </c>
    </row>
    <row r="450" spans="7:12" x14ac:dyDescent="0.25">
      <c r="G450" s="58">
        <f>IFERROR(SUMPRODUCT((TEXT(CC!$C$3:$C$1000,"0")=TEXT(C450,"0"))*IFERROR(CC!$E$3:$E$1000+0,0)),0)</f>
      </c>
      <c r="H450" s="44"/>
      <c r="I450" s="23" t="str">
        <f t="shared" si="19"/>
        <v/>
      </c>
      <c r="J450" s="33" cm="1">
        <f t="array" ref="J450">IFERROR(-_xlfn.IFS(OR(H450="y",H450="Y"),F450,AND(H450&lt;&gt;0,ISNUMBER(H450)),H450,G450&lt;&gt;0,G450),0)</f>
        <v>0</v>
      </c>
      <c r="K450" s="29" t="str">
        <f t="shared" si="20"/>
        <v/>
      </c>
      <c r="L450" s="45" t="str">
        <f>IF(C450&lt;&gt;"",_xlfn.XLOOKUP(TEXT(C450,"0"),TEXT(CC!$C$3:$C$1000,"0"),CC!$G$3:$G$1000,""),"")</f>
        <v/>
      </c>
    </row>
    <row r="451" spans="7:12" x14ac:dyDescent="0.25">
      <c r="G451" s="58">
        <f>IFERROR(SUMPRODUCT((TEXT(CC!$C$3:$C$1000,"0")=TEXT(C451,"0"))*IFERROR(CC!$E$3:$E$1000+0,0)),0)</f>
      </c>
      <c r="H451" s="44"/>
      <c r="I451" s="23" t="str">
        <f t="shared" si="19"/>
        <v/>
      </c>
      <c r="J451" s="33" cm="1">
        <f t="array" ref="J451">IFERROR(-_xlfn.IFS(OR(H451="y",H451="Y"),F451,AND(H451&lt;&gt;0,ISNUMBER(H451)),H451,G451&lt;&gt;0,G451),0)</f>
        <v>0</v>
      </c>
      <c r="K451" s="29" t="str">
        <f t="shared" si="20"/>
        <v/>
      </c>
      <c r="L451" s="45" t="str">
        <f>IF(C451&lt;&gt;"",_xlfn.XLOOKUP(TEXT(C451,"0"),TEXT(CC!$C$3:$C$1000,"0"),CC!$G$3:$G$1000,""),"")</f>
        <v/>
      </c>
    </row>
    <row r="452" spans="7:12" x14ac:dyDescent="0.25">
      <c r="G452" s="58">
        <f>IFERROR(SUMPRODUCT((TEXT(CC!$C$3:$C$1000,"0")=TEXT(C452,"0"))*IFERROR(CC!$E$3:$E$1000+0,0)),0)</f>
      </c>
      <c r="H452" s="44"/>
      <c r="I452" s="23" t="str">
        <f t="shared" si="19"/>
        <v/>
      </c>
      <c r="J452" s="33" cm="1">
        <f t="array" ref="J452">IFERROR(-_xlfn.IFS(OR(H452="y",H452="Y"),F452,AND(H452&lt;&gt;0,ISNUMBER(H452)),H452,G452&lt;&gt;0,G452),0)</f>
        <v>0</v>
      </c>
      <c r="K452" s="29" t="str">
        <f t="shared" si="20"/>
        <v/>
      </c>
      <c r="L452" s="45" t="str">
        <f>IF(C452&lt;&gt;"",_xlfn.XLOOKUP(TEXT(C452,"0"),TEXT(CC!$C$3:$C$1000,"0"),CC!$G$3:$G$1000,""),"")</f>
        <v/>
      </c>
    </row>
    <row r="453" spans="7:12" x14ac:dyDescent="0.25">
      <c r="G453" s="58">
        <f>IFERROR(SUMPRODUCT((TEXT(CC!$C$3:$C$1000,"0")=TEXT(C453,"0"))*IFERROR(CC!$E$3:$E$1000+0,0)),0)</f>
      </c>
      <c r="H453" s="44"/>
      <c r="I453" s="23" t="str">
        <f t="shared" si="19"/>
        <v/>
      </c>
      <c r="J453" s="33" cm="1">
        <f t="array" ref="J453">IFERROR(-_xlfn.IFS(OR(H453="y",H453="Y"),F453,AND(H453&lt;&gt;0,ISNUMBER(H453)),H453,G453&lt;&gt;0,G453),0)</f>
        <v>0</v>
      </c>
      <c r="K453" s="29" t="str">
        <f t="shared" si="20"/>
        <v/>
      </c>
      <c r="L453" s="45" t="str">
        <f>IF(C453&lt;&gt;"",_xlfn.XLOOKUP(TEXT(C453,"0"),TEXT(CC!$C$3:$C$1000,"0"),CC!$G$3:$G$1000,""),"")</f>
        <v/>
      </c>
    </row>
    <row r="454" spans="7:12" x14ac:dyDescent="0.25">
      <c r="G454" s="58">
        <f>IFERROR(SUMPRODUCT((TEXT(CC!$C$3:$C$1000,"0")=TEXT(C454,"0"))*IFERROR(CC!$E$3:$E$1000+0,0)),0)</f>
      </c>
      <c r="H454" s="44"/>
      <c r="I454" s="23" t="str">
        <f t="shared" si="19"/>
        <v/>
      </c>
      <c r="J454" s="33" cm="1">
        <f t="array" ref="J454">IFERROR(-_xlfn.IFS(OR(H454="y",H454="Y"),F454,AND(H454&lt;&gt;0,ISNUMBER(H454)),H454,G454&lt;&gt;0,G454),0)</f>
        <v>0</v>
      </c>
      <c r="K454" s="29" t="str">
        <f t="shared" si="20"/>
        <v/>
      </c>
      <c r="L454" s="45" t="str">
        <f>IF(C454&lt;&gt;"",_xlfn.XLOOKUP(TEXT(C454,"0"),TEXT(CC!$C$3:$C$1000,"0"),CC!$G$3:$G$1000,""),"")</f>
        <v/>
      </c>
    </row>
    <row r="455" spans="7:12" x14ac:dyDescent="0.25">
      <c r="G455" s="58">
        <f>IFERROR(SUMPRODUCT((TEXT(CC!$C$3:$C$1000,"0")=TEXT(C455,"0"))*IFERROR(CC!$E$3:$E$1000+0,0)),0)</f>
      </c>
      <c r="H455" s="44"/>
      <c r="I455" s="23" t="str">
        <f t="shared" si="19"/>
        <v/>
      </c>
      <c r="J455" s="33" cm="1">
        <f t="array" ref="J455">IFERROR(-_xlfn.IFS(OR(H455="y",H455="Y"),F455,AND(H455&lt;&gt;0,ISNUMBER(H455)),H455,G455&lt;&gt;0,G455),0)</f>
        <v>0</v>
      </c>
      <c r="K455" s="29" t="str">
        <f t="shared" si="20"/>
        <v/>
      </c>
      <c r="L455" s="45" t="str">
        <f>IF(C455&lt;&gt;"",_xlfn.XLOOKUP(TEXT(C455,"0"),TEXT(CC!$C$3:$C$1000,"0"),CC!$G$3:$G$1000,""),"")</f>
        <v/>
      </c>
    </row>
    <row r="456" spans="7:12" x14ac:dyDescent="0.25">
      <c r="G456" s="58">
        <f>IFERROR(SUMPRODUCT((TEXT(CC!$C$3:$C$1000,"0")=TEXT(C456,"0"))*IFERROR(CC!$E$3:$E$1000+0,0)),0)</f>
      </c>
      <c r="H456" s="44"/>
      <c r="I456" s="23" t="str">
        <f t="shared" si="19"/>
        <v/>
      </c>
      <c r="J456" s="33" cm="1">
        <f t="array" ref="J456">IFERROR(-_xlfn.IFS(OR(H456="y",H456="Y"),F456,AND(H456&lt;&gt;0,ISNUMBER(H456)),H456,G456&lt;&gt;0,G456),0)</f>
        <v>0</v>
      </c>
      <c r="K456" s="29" t="str">
        <f t="shared" si="20"/>
        <v/>
      </c>
      <c r="L456" s="45" t="str">
        <f>IF(C456&lt;&gt;"",_xlfn.XLOOKUP(TEXT(C456,"0"),TEXT(CC!$C$3:$C$1000,"0"),CC!$G$3:$G$1000,""),"")</f>
        <v/>
      </c>
    </row>
    <row r="457" spans="7:12" x14ac:dyDescent="0.25">
      <c r="G457" s="58">
        <f>IFERROR(SUMPRODUCT((TEXT(CC!$C$3:$C$1000,"0")=TEXT(C457,"0"))*IFERROR(CC!$E$3:$E$1000+0,0)),0)</f>
      </c>
      <c r="H457" s="44"/>
      <c r="I457" s="23" t="str">
        <f t="shared" si="19"/>
        <v/>
      </c>
      <c r="J457" s="33" cm="1">
        <f t="array" ref="J457">IFERROR(-_xlfn.IFS(OR(H457="y",H457="Y"),F457,AND(H457&lt;&gt;0,ISNUMBER(H457)),H457,G457&lt;&gt;0,G457),0)</f>
        <v>0</v>
      </c>
      <c r="K457" s="29" t="str">
        <f t="shared" si="20"/>
        <v/>
      </c>
      <c r="L457" s="45" t="str">
        <f>IF(C457&lt;&gt;"",_xlfn.XLOOKUP(TEXT(C457,"0"),TEXT(CC!$C$3:$C$1000,"0"),CC!$G$3:$G$1000,""),"")</f>
        <v/>
      </c>
    </row>
    <row r="458" spans="7:12" x14ac:dyDescent="0.25">
      <c r="G458" s="58">
        <f>IFERROR(SUMPRODUCT((TEXT(CC!$C$3:$C$1000,"0")=TEXT(C458,"0"))*IFERROR(CC!$E$3:$E$1000+0,0)),0)</f>
      </c>
      <c r="H458" s="44"/>
      <c r="I458" s="23" t="str">
        <f t="shared" si="19"/>
        <v/>
      </c>
      <c r="J458" s="33" cm="1">
        <f t="array" ref="J458">IFERROR(-_xlfn.IFS(OR(H458="y",H458="Y"),F458,AND(H458&lt;&gt;0,ISNUMBER(H458)),H458,G458&lt;&gt;0,G458),0)</f>
        <v>0</v>
      </c>
      <c r="K458" s="29" t="str">
        <f t="shared" si="20"/>
        <v/>
      </c>
      <c r="L458" s="45" t="str">
        <f>IF(C458&lt;&gt;"",_xlfn.XLOOKUP(TEXT(C458,"0"),TEXT(CC!$C$3:$C$1000,"0"),CC!$G$3:$G$1000,""),"")</f>
        <v/>
      </c>
    </row>
    <row r="459" spans="7:12" x14ac:dyDescent="0.25">
      <c r="G459" s="58">
        <f>IFERROR(SUMPRODUCT((TEXT(CC!$C$3:$C$1000,"0")=TEXT(C459,"0"))*IFERROR(CC!$E$3:$E$1000+0,0)),0)</f>
      </c>
      <c r="H459" s="44"/>
      <c r="I459" s="23" t="str">
        <f t="shared" si="19"/>
        <v/>
      </c>
      <c r="J459" s="33" cm="1">
        <f t="array" ref="J459">IFERROR(-_xlfn.IFS(OR(H459="y",H459="Y"),F459,AND(H459&lt;&gt;0,ISNUMBER(H459)),H459,G459&lt;&gt;0,G459),0)</f>
        <v>0</v>
      </c>
      <c r="K459" s="29" t="str">
        <f t="shared" si="20"/>
        <v/>
      </c>
      <c r="L459" s="45" t="str">
        <f>IF(C459&lt;&gt;"",_xlfn.XLOOKUP(TEXT(C459,"0"),TEXT(CC!$C$3:$C$1000,"0"),CC!$G$3:$G$1000,""),"")</f>
        <v/>
      </c>
    </row>
    <row r="460" spans="7:12" x14ac:dyDescent="0.25">
      <c r="G460" s="58">
        <f>IFERROR(SUMPRODUCT((TEXT(CC!$C$3:$C$1000,"0")=TEXT(C460,"0"))*IFERROR(CC!$E$3:$E$1000+0,0)),0)</f>
      </c>
      <c r="H460" s="44"/>
      <c r="I460" s="23" t="str">
        <f t="shared" si="19"/>
        <v/>
      </c>
      <c r="J460" s="33" cm="1">
        <f t="array" ref="J460">IFERROR(-_xlfn.IFS(OR(H460="y",H460="Y"),F460,AND(H460&lt;&gt;0,ISNUMBER(H460)),H460,G460&lt;&gt;0,G460),0)</f>
        <v>0</v>
      </c>
      <c r="K460" s="29" t="str">
        <f t="shared" si="20"/>
        <v/>
      </c>
      <c r="L460" s="45" t="str">
        <f>IF(C460&lt;&gt;"",_xlfn.XLOOKUP(TEXT(C460,"0"),TEXT(CC!$C$3:$C$1000,"0"),CC!$G$3:$G$1000,""),"")</f>
        <v/>
      </c>
    </row>
    <row r="461" spans="7:12" x14ac:dyDescent="0.25">
      <c r="G461" s="58">
        <f>IFERROR(SUMPRODUCT((TEXT(CC!$C$3:$C$1000,"0")=TEXT(C461,"0"))*IFERROR(CC!$E$3:$E$1000+0,0)),0)</f>
      </c>
      <c r="H461" s="44"/>
      <c r="I461" s="23" t="str">
        <f t="shared" si="19"/>
        <v/>
      </c>
      <c r="J461" s="33" cm="1">
        <f t="array" ref="J461">IFERROR(-_xlfn.IFS(OR(H461="y",H461="Y"),F461,AND(H461&lt;&gt;0,ISNUMBER(H461)),H461,G461&lt;&gt;0,G461),0)</f>
        <v>0</v>
      </c>
      <c r="K461" s="29" t="str">
        <f t="shared" si="20"/>
        <v/>
      </c>
      <c r="L461" s="45" t="str">
        <f>IF(C461&lt;&gt;"",_xlfn.XLOOKUP(TEXT(C461,"0"),TEXT(CC!$C$3:$C$1000,"0"),CC!$G$3:$G$1000,""),"")</f>
        <v/>
      </c>
    </row>
    <row r="462" spans="7:12" x14ac:dyDescent="0.25">
      <c r="G462" s="58">
        <f>IFERROR(SUMPRODUCT((TEXT(CC!$C$3:$C$1000,"0")=TEXT(C462,"0"))*IFERROR(CC!$E$3:$E$1000+0,0)),0)</f>
      </c>
      <c r="H462" s="44"/>
      <c r="I462" s="23" t="str">
        <f t="shared" si="19"/>
        <v/>
      </c>
      <c r="J462" s="33" cm="1">
        <f t="array" ref="J462">IFERROR(-_xlfn.IFS(OR(H462="y",H462="Y"),F462,AND(H462&lt;&gt;0,ISNUMBER(H462)),H462,G462&lt;&gt;0,G462),0)</f>
        <v>0</v>
      </c>
      <c r="K462" s="29" t="str">
        <f t="shared" si="20"/>
        <v/>
      </c>
      <c r="L462" s="45" t="str">
        <f>IF(C462&lt;&gt;"",_xlfn.XLOOKUP(TEXT(C462,"0"),TEXT(CC!$C$3:$C$1000,"0"),CC!$G$3:$G$1000,""),"")</f>
        <v/>
      </c>
    </row>
    <row r="463" spans="7:12" x14ac:dyDescent="0.25">
      <c r="G463" s="58">
        <f>IFERROR(SUMPRODUCT((TEXT(CC!$C$3:$C$1000,"0")=TEXT(C463,"0"))*IFERROR(CC!$E$3:$E$1000+0,0)),0)</f>
      </c>
      <c r="H463" s="44"/>
      <c r="I463" s="23" t="str">
        <f t="shared" ref="I463:I493" si="21">IF(J463&lt;&gt;0,"531011","")</f>
        <v/>
      </c>
      <c r="J463" s="33" cm="1">
        <f t="array" ref="J463">IFERROR(-_xlfn.IFS(OR(H463="y",H463="Y"),F463,AND(H463&lt;&gt;0,ISNUMBER(H463)),H463,G463&lt;&gt;0,G463),0)</f>
        <v>0</v>
      </c>
      <c r="K463" s="29" t="str">
        <f t="shared" si="20"/>
        <v/>
      </c>
      <c r="L463" s="45" t="str">
        <f>IF(C463&lt;&gt;"",_xlfn.XLOOKUP(TEXT(C463,"0"),TEXT(CC!$C$3:$C$1000,"0"),CC!$G$3:$G$1000,""),"")</f>
        <v/>
      </c>
    </row>
    <row r="464" spans="7:12" x14ac:dyDescent="0.25">
      <c r="G464" s="58">
        <f>IFERROR(SUMPRODUCT((TEXT(CC!$C$3:$C$1000,"0")=TEXT(C464,"0"))*IFERROR(CC!$E$3:$E$1000+0,0)),0)</f>
      </c>
      <c r="H464" s="44"/>
      <c r="I464" s="23" t="str">
        <f t="shared" si="21"/>
        <v/>
      </c>
      <c r="J464" s="33" cm="1">
        <f t="array" ref="J464">IFERROR(-_xlfn.IFS(OR(H464="y",H464="Y"),F464,AND(H464&lt;&gt;0,ISNUMBER(H464)),H464,G464&lt;&gt;0,G464),0)</f>
        <v>0</v>
      </c>
      <c r="K464" s="29" t="str">
        <f t="shared" ref="K464:K493" si="22">IF(J464&lt;&gt;0,C464,"")</f>
        <v/>
      </c>
      <c r="L464" s="45" t="str">
        <f>IF(C464&lt;&gt;"",_xlfn.XLOOKUP(TEXT(C464,"0"),TEXT(CC!$C$3:$C$1000,"0"),CC!$G$3:$G$1000,""),"")</f>
        <v/>
      </c>
    </row>
    <row r="465" spans="7:12" x14ac:dyDescent="0.25">
      <c r="G465" s="58">
        <f>IFERROR(SUMPRODUCT((TEXT(CC!$C$3:$C$1000,"0")=TEXT(C465,"0"))*IFERROR(CC!$E$3:$E$1000+0,0)),0)</f>
      </c>
      <c r="H465" s="44"/>
      <c r="I465" s="23" t="str">
        <f t="shared" si="21"/>
        <v/>
      </c>
      <c r="J465" s="33" cm="1">
        <f t="array" ref="J465">IFERROR(-_xlfn.IFS(OR(H465="y",H465="Y"),F465,AND(H465&lt;&gt;0,ISNUMBER(H465)),H465,G465&lt;&gt;0,G465),0)</f>
        <v>0</v>
      </c>
      <c r="K465" s="29" t="str">
        <f t="shared" si="22"/>
        <v/>
      </c>
      <c r="L465" s="45" t="str">
        <f>IF(C465&lt;&gt;"",_xlfn.XLOOKUP(TEXT(C465,"0"),TEXT(CC!$C$3:$C$1000,"0"),CC!$G$3:$G$1000,""),"")</f>
        <v/>
      </c>
    </row>
    <row r="466" spans="7:12" x14ac:dyDescent="0.25">
      <c r="G466" s="58">
        <f>IFERROR(SUMPRODUCT((TEXT(CC!$C$3:$C$1000,"0")=TEXT(C466,"0"))*IFERROR(CC!$E$3:$E$1000+0,0)),0)</f>
      </c>
      <c r="H466" s="44"/>
      <c r="I466" s="23" t="str">
        <f t="shared" si="21"/>
        <v/>
      </c>
      <c r="J466" s="33" cm="1">
        <f t="array" ref="J466">IFERROR(-_xlfn.IFS(OR(H466="y",H466="Y"),F466,AND(H466&lt;&gt;0,ISNUMBER(H466)),H466,G466&lt;&gt;0,G466),0)</f>
        <v>0</v>
      </c>
      <c r="K466" s="29" t="str">
        <f t="shared" si="22"/>
        <v/>
      </c>
      <c r="L466" s="45" t="str">
        <f>IF(C466&lt;&gt;"",_xlfn.XLOOKUP(TEXT(C466,"0"),TEXT(CC!$C$3:$C$1000,"0"),CC!$G$3:$G$1000,""),"")</f>
        <v/>
      </c>
    </row>
    <row r="467" spans="7:12" x14ac:dyDescent="0.25">
      <c r="G467" s="58">
        <f>IFERROR(SUMPRODUCT((TEXT(CC!$C$3:$C$1000,"0")=TEXT(C467,"0"))*IFERROR(CC!$E$3:$E$1000+0,0)),0)</f>
      </c>
      <c r="H467" s="44"/>
      <c r="I467" s="23" t="str">
        <f t="shared" si="21"/>
        <v/>
      </c>
      <c r="J467" s="33" cm="1">
        <f t="array" ref="J467">IFERROR(-_xlfn.IFS(OR(H467="y",H467="Y"),F467,AND(H467&lt;&gt;0,ISNUMBER(H467)),H467,G467&lt;&gt;0,G467),0)</f>
        <v>0</v>
      </c>
      <c r="K467" s="29" t="str">
        <f t="shared" si="22"/>
        <v/>
      </c>
      <c r="L467" s="45" t="str">
        <f>IF(C467&lt;&gt;"",_xlfn.XLOOKUP(TEXT(C467,"0"),TEXT(CC!$C$3:$C$1000,"0"),CC!$G$3:$G$1000,""),"")</f>
        <v/>
      </c>
    </row>
    <row r="468" spans="7:12" x14ac:dyDescent="0.25">
      <c r="G468" s="58">
        <f>IFERROR(SUMPRODUCT((TEXT(CC!$C$3:$C$1000,"0")=TEXT(C468,"0"))*IFERROR(CC!$E$3:$E$1000+0,0)),0)</f>
      </c>
      <c r="H468" s="44"/>
      <c r="I468" s="23" t="str">
        <f t="shared" si="21"/>
        <v/>
      </c>
      <c r="J468" s="33" cm="1">
        <f t="array" ref="J468">IFERROR(-_xlfn.IFS(OR(H468="y",H468="Y"),F468,AND(H468&lt;&gt;0,ISNUMBER(H468)),H468,G468&lt;&gt;0,G468),0)</f>
        <v>0</v>
      </c>
      <c r="K468" s="29" t="str">
        <f t="shared" si="22"/>
        <v/>
      </c>
      <c r="L468" s="45" t="str">
        <f>IF(C468&lt;&gt;"",_xlfn.XLOOKUP(TEXT(C468,"0"),TEXT(CC!$C$3:$C$1000,"0"),CC!$G$3:$G$1000,""),"")</f>
        <v/>
      </c>
    </row>
    <row r="469" spans="7:12" x14ac:dyDescent="0.25">
      <c r="G469" s="58">
        <f>IFERROR(SUMPRODUCT((TEXT(CC!$C$3:$C$1000,"0")=TEXT(C469,"0"))*IFERROR(CC!$E$3:$E$1000+0,0)),0)</f>
      </c>
      <c r="H469" s="44"/>
      <c r="I469" s="23" t="str">
        <f t="shared" si="21"/>
        <v/>
      </c>
      <c r="J469" s="33" cm="1">
        <f t="array" ref="J469">IFERROR(-_xlfn.IFS(OR(H469="y",H469="Y"),F469,AND(H469&lt;&gt;0,ISNUMBER(H469)),H469,G469&lt;&gt;0,G469),0)</f>
        <v>0</v>
      </c>
      <c r="K469" s="29" t="str">
        <f t="shared" si="22"/>
        <v/>
      </c>
      <c r="L469" s="45" t="str">
        <f>IF(C469&lt;&gt;"",_xlfn.XLOOKUP(TEXT(C469,"0"),TEXT(CC!$C$3:$C$1000,"0"),CC!$G$3:$G$1000,""),"")</f>
        <v/>
      </c>
    </row>
    <row r="470" spans="7:12" x14ac:dyDescent="0.25">
      <c r="G470" s="58">
        <f>IFERROR(SUMPRODUCT((TEXT(CC!$C$3:$C$1000,"0")=TEXT(C470,"0"))*IFERROR(CC!$E$3:$E$1000+0,0)),0)</f>
      </c>
      <c r="H470" s="44"/>
      <c r="I470" s="23" t="str">
        <f t="shared" si="21"/>
        <v/>
      </c>
      <c r="J470" s="33" cm="1">
        <f t="array" ref="J470">IFERROR(-_xlfn.IFS(OR(H470="y",H470="Y"),F470,AND(H470&lt;&gt;0,ISNUMBER(H470)),H470,G470&lt;&gt;0,G470),0)</f>
        <v>0</v>
      </c>
      <c r="K470" s="29" t="str">
        <f t="shared" si="22"/>
        <v/>
      </c>
      <c r="L470" s="45" t="str">
        <f>IF(C470&lt;&gt;"",_xlfn.XLOOKUP(TEXT(C470,"0"),TEXT(CC!$C$3:$C$1000,"0"),CC!$G$3:$G$1000,""),"")</f>
        <v/>
      </c>
    </row>
    <row r="471" spans="7:12" x14ac:dyDescent="0.25">
      <c r="G471" s="58">
        <f>IFERROR(SUMPRODUCT((TEXT(CC!$C$3:$C$1000,"0")=TEXT(C471,"0"))*IFERROR(CC!$E$3:$E$1000+0,0)),0)</f>
      </c>
      <c r="H471" s="44"/>
      <c r="I471" s="23" t="str">
        <f t="shared" si="21"/>
        <v/>
      </c>
      <c r="J471" s="33" cm="1">
        <f t="array" ref="J471">IFERROR(-_xlfn.IFS(OR(H471="y",H471="Y"),F471,AND(H471&lt;&gt;0,ISNUMBER(H471)),H471,G471&lt;&gt;0,G471),0)</f>
        <v>0</v>
      </c>
      <c r="K471" s="29" t="str">
        <f t="shared" si="22"/>
        <v/>
      </c>
      <c r="L471" s="45" t="str">
        <f>IF(C471&lt;&gt;"",_xlfn.XLOOKUP(TEXT(C471,"0"),TEXT(CC!$C$3:$C$1000,"0"),CC!$G$3:$G$1000,""),"")</f>
        <v/>
      </c>
    </row>
    <row r="472" spans="7:12" x14ac:dyDescent="0.25">
      <c r="G472" s="58">
        <f>IFERROR(SUMPRODUCT((TEXT(CC!$C$3:$C$1000,"0")=TEXT(C472,"0"))*IFERROR(CC!$E$3:$E$1000+0,0)),0)</f>
      </c>
      <c r="H472" s="44"/>
      <c r="I472" s="23" t="str">
        <f t="shared" si="21"/>
        <v/>
      </c>
      <c r="J472" s="33" cm="1">
        <f t="array" ref="J472">IFERROR(-_xlfn.IFS(OR(H472="y",H472="Y"),F472,AND(H472&lt;&gt;0,ISNUMBER(H472)),H472,G472&lt;&gt;0,G472),0)</f>
        <v>0</v>
      </c>
      <c r="K472" s="29" t="str">
        <f t="shared" si="22"/>
        <v/>
      </c>
      <c r="L472" s="45" t="str">
        <f>IF(C472&lt;&gt;"",_xlfn.XLOOKUP(TEXT(C472,"0"),TEXT(CC!$C$3:$C$1000,"0"),CC!$G$3:$G$1000,""),"")</f>
        <v/>
      </c>
    </row>
    <row r="473" spans="7:12" x14ac:dyDescent="0.25">
      <c r="G473" s="58">
        <f>IFERROR(SUMPRODUCT((TEXT(CC!$C$3:$C$1000,"0")=TEXT(C473,"0"))*IFERROR(CC!$E$3:$E$1000+0,0)),0)</f>
      </c>
      <c r="H473" s="44"/>
      <c r="I473" s="23" t="str">
        <f t="shared" si="21"/>
        <v/>
      </c>
      <c r="J473" s="33" cm="1">
        <f t="array" ref="J473">IFERROR(-_xlfn.IFS(OR(H473="y",H473="Y"),F473,AND(H473&lt;&gt;0,ISNUMBER(H473)),H473,G473&lt;&gt;0,G473),0)</f>
        <v>0</v>
      </c>
      <c r="K473" s="29" t="str">
        <f t="shared" si="22"/>
        <v/>
      </c>
      <c r="L473" s="45" t="str">
        <f>IF(C473&lt;&gt;"",_xlfn.XLOOKUP(TEXT(C473,"0"),TEXT(CC!$C$3:$C$1000,"0"),CC!$G$3:$G$1000,""),"")</f>
        <v/>
      </c>
    </row>
    <row r="474" spans="7:12" x14ac:dyDescent="0.25">
      <c r="G474" s="58">
        <f>IFERROR(SUMPRODUCT((TEXT(CC!$C$3:$C$1000,"0")=TEXT(C474,"0"))*IFERROR(CC!$E$3:$E$1000+0,0)),0)</f>
      </c>
      <c r="H474" s="44"/>
      <c r="I474" s="23" t="str">
        <f t="shared" si="21"/>
        <v/>
      </c>
      <c r="J474" s="33" cm="1">
        <f t="array" ref="J474">IFERROR(-_xlfn.IFS(OR(H474="y",H474="Y"),F474,AND(H474&lt;&gt;0,ISNUMBER(H474)),H474,G474&lt;&gt;0,G474),0)</f>
        <v>0</v>
      </c>
      <c r="K474" s="29" t="str">
        <f t="shared" si="22"/>
        <v/>
      </c>
      <c r="L474" s="45" t="str">
        <f>IF(C474&lt;&gt;"",_xlfn.XLOOKUP(TEXT(C474,"0"),TEXT(CC!$C$3:$C$1000,"0"),CC!$G$3:$G$1000,""),"")</f>
        <v/>
      </c>
    </row>
    <row r="475" spans="7:12" x14ac:dyDescent="0.25">
      <c r="G475" s="58">
        <f>IFERROR(SUMPRODUCT((TEXT(CC!$C$3:$C$1000,"0")=TEXT(C475,"0"))*IFERROR(CC!$E$3:$E$1000+0,0)),0)</f>
      </c>
      <c r="H475" s="44"/>
      <c r="I475" s="23" t="str">
        <f t="shared" si="21"/>
        <v/>
      </c>
      <c r="J475" s="33" cm="1">
        <f t="array" ref="J475">IFERROR(-_xlfn.IFS(OR(H475="y",H475="Y"),F475,AND(H475&lt;&gt;0,ISNUMBER(H475)),H475,G475&lt;&gt;0,G475),0)</f>
        <v>0</v>
      </c>
      <c r="K475" s="29" t="str">
        <f t="shared" si="22"/>
        <v/>
      </c>
      <c r="L475" s="45" t="str">
        <f>IF(C475&lt;&gt;"",_xlfn.XLOOKUP(TEXT(C475,"0"),TEXT(CC!$C$3:$C$1000,"0"),CC!$G$3:$G$1000,""),"")</f>
        <v/>
      </c>
    </row>
    <row r="476" spans="7:12" x14ac:dyDescent="0.25">
      <c r="G476" s="58">
        <f>IFERROR(SUMPRODUCT((TEXT(CC!$C$3:$C$1000,"0")=TEXT(C476,"0"))*IFERROR(CC!$E$3:$E$1000+0,0)),0)</f>
      </c>
      <c r="H476" s="44"/>
      <c r="I476" s="23" t="str">
        <f t="shared" si="21"/>
        <v/>
      </c>
      <c r="J476" s="33" cm="1">
        <f t="array" ref="J476">IFERROR(-_xlfn.IFS(OR(H476="y",H476="Y"),F476,AND(H476&lt;&gt;0,ISNUMBER(H476)),H476,G476&lt;&gt;0,G476),0)</f>
        <v>0</v>
      </c>
      <c r="K476" s="29" t="str">
        <f t="shared" si="22"/>
        <v/>
      </c>
      <c r="L476" s="45" t="str">
        <f>IF(C476&lt;&gt;"",_xlfn.XLOOKUP(TEXT(C476,"0"),TEXT(CC!$C$3:$C$1000,"0"),CC!$G$3:$G$1000,""),"")</f>
        <v/>
      </c>
    </row>
    <row r="477" spans="7:12" x14ac:dyDescent="0.25">
      <c r="G477" s="58">
        <f>IFERROR(SUMPRODUCT((TEXT(CC!$C$3:$C$1000,"0")=TEXT(C477,"0"))*IFERROR(CC!$E$3:$E$1000+0,0)),0)</f>
      </c>
      <c r="H477" s="44"/>
      <c r="I477" s="23" t="str">
        <f t="shared" si="21"/>
        <v/>
      </c>
      <c r="J477" s="33" cm="1">
        <f t="array" ref="J477">IFERROR(-_xlfn.IFS(OR(H477="y",H477="Y"),F477,AND(H477&lt;&gt;0,ISNUMBER(H477)),H477,G477&lt;&gt;0,G477),0)</f>
        <v>0</v>
      </c>
      <c r="K477" s="29" t="str">
        <f t="shared" si="22"/>
        <v/>
      </c>
      <c r="L477" s="45" t="str">
        <f>IF(C477&lt;&gt;"",_xlfn.XLOOKUP(TEXT(C477,"0"),TEXT(CC!$C$3:$C$1000,"0"),CC!$G$3:$G$1000,""),"")</f>
        <v/>
      </c>
    </row>
    <row r="478" spans="7:12" x14ac:dyDescent="0.25">
      <c r="G478" s="58">
        <f>IFERROR(SUMPRODUCT((TEXT(CC!$C$3:$C$1000,"0")=TEXT(C478,"0"))*IFERROR(CC!$E$3:$E$1000+0,0)),0)</f>
      </c>
      <c r="H478" s="44"/>
      <c r="I478" s="23" t="str">
        <f t="shared" si="21"/>
        <v/>
      </c>
      <c r="J478" s="33" cm="1">
        <f t="array" ref="J478">IFERROR(-_xlfn.IFS(OR(H478="y",H478="Y"),F478,AND(H478&lt;&gt;0,ISNUMBER(H478)),H478,G478&lt;&gt;0,G478),0)</f>
        <v>0</v>
      </c>
      <c r="K478" s="29" t="str">
        <f t="shared" si="22"/>
        <v/>
      </c>
      <c r="L478" s="45" t="str">
        <f>IF(C478&lt;&gt;"",_xlfn.XLOOKUP(TEXT(C478,"0"),TEXT(CC!$C$3:$C$1000,"0"),CC!$G$3:$G$1000,""),"")</f>
        <v/>
      </c>
    </row>
    <row r="479" spans="7:12" x14ac:dyDescent="0.25">
      <c r="G479" s="58">
        <f>IFERROR(SUMPRODUCT((TEXT(CC!$C$3:$C$1000,"0")=TEXT(C479,"0"))*IFERROR(CC!$E$3:$E$1000+0,0)),0)</f>
      </c>
      <c r="H479" s="44"/>
      <c r="I479" s="23" t="str">
        <f t="shared" si="21"/>
        <v/>
      </c>
      <c r="J479" s="33" cm="1">
        <f t="array" ref="J479">IFERROR(-_xlfn.IFS(OR(H479="y",H479="Y"),F479,AND(H479&lt;&gt;0,ISNUMBER(H479)),H479,G479&lt;&gt;0,G479),0)</f>
        <v>0</v>
      </c>
      <c r="K479" s="29" t="str">
        <f t="shared" si="22"/>
        <v/>
      </c>
      <c r="L479" s="45" t="str">
        <f>IF(C479&lt;&gt;"",_xlfn.XLOOKUP(TEXT(C479,"0"),TEXT(CC!$C$3:$C$1000,"0"),CC!$G$3:$G$1000,""),"")</f>
        <v/>
      </c>
    </row>
    <row r="480" spans="7:12" x14ac:dyDescent="0.25">
      <c r="G480" s="58">
        <f>IFERROR(SUMPRODUCT((TEXT(CC!$C$3:$C$1000,"0")=TEXT(C480,"0"))*IFERROR(CC!$E$3:$E$1000+0,0)),0)</f>
      </c>
      <c r="H480" s="44"/>
      <c r="I480" s="23" t="str">
        <f t="shared" si="21"/>
        <v/>
      </c>
      <c r="J480" s="33" cm="1">
        <f t="array" ref="J480">IFERROR(-_xlfn.IFS(OR(H480="y",H480="Y"),F480,AND(H480&lt;&gt;0,ISNUMBER(H480)),H480,G480&lt;&gt;0,G480),0)</f>
        <v>0</v>
      </c>
      <c r="K480" s="29" t="str">
        <f t="shared" si="22"/>
        <v/>
      </c>
      <c r="L480" s="45" t="str">
        <f>IF(C480&lt;&gt;"",_xlfn.XLOOKUP(TEXT(C480,"0"),TEXT(CC!$C$3:$C$1000,"0"),CC!$G$3:$G$1000,""),"")</f>
        <v/>
      </c>
    </row>
    <row r="481" spans="7:12" x14ac:dyDescent="0.25">
      <c r="G481" s="58">
        <f>IFERROR(SUMPRODUCT((TEXT(CC!$C$3:$C$1000,"0")=TEXT(C481,"0"))*IFERROR(CC!$E$3:$E$1000+0,0)),0)</f>
      </c>
      <c r="H481" s="44"/>
      <c r="I481" s="23" t="str">
        <f t="shared" si="21"/>
        <v/>
      </c>
      <c r="J481" s="33" cm="1">
        <f t="array" ref="J481">IFERROR(-_xlfn.IFS(OR(H481="y",H481="Y"),F481,AND(H481&lt;&gt;0,ISNUMBER(H481)),H481,G481&lt;&gt;0,G481),0)</f>
        <v>0</v>
      </c>
      <c r="K481" s="29" t="str">
        <f t="shared" si="22"/>
        <v/>
      </c>
      <c r="L481" s="45" t="str">
        <f>IF(C481&lt;&gt;"",_xlfn.XLOOKUP(TEXT(C481,"0"),TEXT(CC!$C$3:$C$1000,"0"),CC!$G$3:$G$1000,""),"")</f>
        <v/>
      </c>
    </row>
    <row r="482" spans="7:12" x14ac:dyDescent="0.25">
      <c r="G482" s="58">
        <f>IFERROR(SUMPRODUCT((TEXT(CC!$C$3:$C$1000,"0")=TEXT(C482,"0"))*IFERROR(CC!$E$3:$E$1000+0,0)),0)</f>
      </c>
      <c r="H482" s="44"/>
      <c r="I482" s="23" t="str">
        <f t="shared" si="21"/>
        <v/>
      </c>
      <c r="J482" s="33" cm="1">
        <f t="array" ref="J482">IFERROR(-_xlfn.IFS(OR(H482="y",H482="Y"),F482,AND(H482&lt;&gt;0,ISNUMBER(H482)),H482,G482&lt;&gt;0,G482),0)</f>
        <v>0</v>
      </c>
      <c r="K482" s="29" t="str">
        <f t="shared" si="22"/>
        <v/>
      </c>
      <c r="L482" s="45" t="str">
        <f>IF(C482&lt;&gt;"",_xlfn.XLOOKUP(TEXT(C482,"0"),TEXT(CC!$C$3:$C$1000,"0"),CC!$G$3:$G$1000,""),"")</f>
        <v/>
      </c>
    </row>
    <row r="483" spans="7:12" x14ac:dyDescent="0.25">
      <c r="G483" s="58">
        <f>IFERROR(SUMPRODUCT((TEXT(CC!$C$3:$C$1000,"0")=TEXT(C483,"0"))*IFERROR(CC!$E$3:$E$1000+0,0)),0)</f>
      </c>
      <c r="H483" s="44"/>
      <c r="I483" s="23" t="str">
        <f t="shared" si="21"/>
        <v/>
      </c>
      <c r="J483" s="33" cm="1">
        <f t="array" ref="J483">IFERROR(-_xlfn.IFS(OR(H483="y",H483="Y"),F483,AND(H483&lt;&gt;0,ISNUMBER(H483)),H483,G483&lt;&gt;0,G483),0)</f>
        <v>0</v>
      </c>
      <c r="K483" s="29" t="str">
        <f t="shared" si="22"/>
        <v/>
      </c>
      <c r="L483" s="45" t="str">
        <f>IF(C483&lt;&gt;"",_xlfn.XLOOKUP(TEXT(C483,"0"),TEXT(CC!$C$3:$C$1000,"0"),CC!$G$3:$G$1000,""),"")</f>
        <v/>
      </c>
    </row>
    <row r="484" spans="7:12" x14ac:dyDescent="0.25">
      <c r="G484" s="58">
        <f>IFERROR(SUMPRODUCT((TEXT(CC!$C$3:$C$1000,"0")=TEXT(C484,"0"))*IFERROR(CC!$E$3:$E$1000+0,0)),0)</f>
      </c>
      <c r="H484" s="44"/>
      <c r="I484" s="23" t="str">
        <f t="shared" si="21"/>
        <v/>
      </c>
      <c r="J484" s="33" cm="1">
        <f t="array" ref="J484">IFERROR(-_xlfn.IFS(OR(H484="y",H484="Y"),F484,AND(H484&lt;&gt;0,ISNUMBER(H484)),H484,G484&lt;&gt;0,G484),0)</f>
        <v>0</v>
      </c>
      <c r="K484" s="29" t="str">
        <f t="shared" si="22"/>
        <v/>
      </c>
      <c r="L484" s="45" t="str">
        <f>IF(C484&lt;&gt;"",_xlfn.XLOOKUP(TEXT(C484,"0"),TEXT(CC!$C$3:$C$1000,"0"),CC!$G$3:$G$1000,""),"")</f>
        <v/>
      </c>
    </row>
    <row r="485" spans="7:12" x14ac:dyDescent="0.25">
      <c r="G485" s="58">
        <f>IFERROR(SUMPRODUCT((TEXT(CC!$C$3:$C$1000,"0")=TEXT(C485,"0"))*IFERROR(CC!$E$3:$E$1000+0,0)),0)</f>
      </c>
      <c r="H485" s="44"/>
      <c r="I485" s="23" t="str">
        <f t="shared" si="21"/>
        <v/>
      </c>
      <c r="J485" s="33" cm="1">
        <f t="array" ref="J485">IFERROR(-_xlfn.IFS(OR(H485="y",H485="Y"),F485,AND(H485&lt;&gt;0,ISNUMBER(H485)),H485,G485&lt;&gt;0,G485),0)</f>
        <v>0</v>
      </c>
      <c r="K485" s="29" t="str">
        <f t="shared" si="22"/>
        <v/>
      </c>
      <c r="L485" s="45" t="str">
        <f>IF(C485&lt;&gt;"",_xlfn.XLOOKUP(TEXT(C485,"0"),TEXT(CC!$C$3:$C$1000,"0"),CC!$G$3:$G$1000,""),"")</f>
        <v/>
      </c>
    </row>
    <row r="486" spans="7:12" x14ac:dyDescent="0.25">
      <c r="G486" s="58">
        <f>IFERROR(SUMPRODUCT((TEXT(CC!$C$3:$C$1000,"0")=TEXT(C486,"0"))*IFERROR(CC!$E$3:$E$1000+0,0)),0)</f>
      </c>
      <c r="H486" s="44"/>
      <c r="I486" s="23" t="str">
        <f t="shared" si="21"/>
        <v/>
      </c>
      <c r="J486" s="33" cm="1">
        <f t="array" ref="J486">IFERROR(-_xlfn.IFS(OR(H486="y",H486="Y"),F486,AND(H486&lt;&gt;0,ISNUMBER(H486)),H486,G486&lt;&gt;0,G486),0)</f>
        <v>0</v>
      </c>
      <c r="K486" s="29" t="str">
        <f t="shared" si="22"/>
        <v/>
      </c>
      <c r="L486" s="45" t="str">
        <f>IF(C486&lt;&gt;"",_xlfn.XLOOKUP(TEXT(C486,"0"),TEXT(CC!$C$3:$C$1000,"0"),CC!$G$3:$G$1000,""),"")</f>
        <v/>
      </c>
    </row>
    <row r="487" spans="7:12" x14ac:dyDescent="0.25">
      <c r="G487" s="58">
        <f>IFERROR(SUMPRODUCT((TEXT(CC!$C$3:$C$1000,"0")=TEXT(C487,"0"))*IFERROR(CC!$E$3:$E$1000+0,0)),0)</f>
      </c>
      <c r="H487" s="44"/>
      <c r="I487" s="23" t="str">
        <f t="shared" si="21"/>
        <v/>
      </c>
      <c r="J487" s="33" cm="1">
        <f t="array" ref="J487">IFERROR(-_xlfn.IFS(OR(H487="y",H487="Y"),F487,AND(H487&lt;&gt;0,ISNUMBER(H487)),H487,G487&lt;&gt;0,G487),0)</f>
        <v>0</v>
      </c>
      <c r="K487" s="29" t="str">
        <f t="shared" si="22"/>
        <v/>
      </c>
      <c r="L487" s="45" t="str">
        <f>IF(C487&lt;&gt;"",_xlfn.XLOOKUP(TEXT(C487,"0"),TEXT(CC!$C$3:$C$1000,"0"),CC!$G$3:$G$1000,""),"")</f>
        <v/>
      </c>
    </row>
    <row r="488" spans="7:12" x14ac:dyDescent="0.25">
      <c r="G488" s="58">
        <f>IFERROR(SUMPRODUCT((TEXT(CC!$C$3:$C$1000,"0")=TEXT(C488,"0"))*IFERROR(CC!$E$3:$E$1000+0,0)),0)</f>
      </c>
      <c r="H488" s="44"/>
      <c r="I488" s="23" t="str">
        <f t="shared" si="21"/>
        <v/>
      </c>
      <c r="J488" s="33" cm="1">
        <f t="array" ref="J488">IFERROR(-_xlfn.IFS(OR(H488="y",H488="Y"),F488,AND(H488&lt;&gt;0,ISNUMBER(H488)),H488,G488&lt;&gt;0,G488),0)</f>
        <v>0</v>
      </c>
      <c r="K488" s="29" t="str">
        <f t="shared" si="22"/>
        <v/>
      </c>
      <c r="L488" s="45" t="str">
        <f>IF(C488&lt;&gt;"",_xlfn.XLOOKUP(TEXT(C488,"0"),TEXT(CC!$C$3:$C$1000,"0"),CC!$G$3:$G$1000,""),"")</f>
        <v/>
      </c>
    </row>
    <row r="489" spans="7:12" x14ac:dyDescent="0.25">
      <c r="G489" s="58">
        <f>IFERROR(SUMPRODUCT((TEXT(CC!$C$3:$C$1000,"0")=TEXT(C489,"0"))*IFERROR(CC!$E$3:$E$1000+0,0)),0)</f>
      </c>
      <c r="H489" s="44"/>
      <c r="I489" s="23" t="str">
        <f t="shared" si="21"/>
        <v/>
      </c>
      <c r="J489" s="33" cm="1">
        <f t="array" ref="J489">IFERROR(-_xlfn.IFS(OR(H489="y",H489="Y"),F489,AND(H489&lt;&gt;0,ISNUMBER(H489)),H489,G489&lt;&gt;0,G489),0)</f>
        <v>0</v>
      </c>
      <c r="K489" s="29" t="str">
        <f t="shared" si="22"/>
        <v/>
      </c>
      <c r="L489" s="45" t="str">
        <f>IF(C489&lt;&gt;"",_xlfn.XLOOKUP(TEXT(C489,"0"),TEXT(CC!$C$3:$C$1000,"0"),CC!$G$3:$G$1000,""),"")</f>
        <v/>
      </c>
    </row>
    <row r="490" spans="7:12" x14ac:dyDescent="0.25">
      <c r="G490" s="58">
        <f>IFERROR(SUMPRODUCT((TEXT(CC!$C$3:$C$1000,"0")=TEXT(C490,"0"))*IFERROR(CC!$E$3:$E$1000+0,0)),0)</f>
      </c>
      <c r="H490" s="44"/>
      <c r="I490" s="23" t="str">
        <f t="shared" si="21"/>
        <v/>
      </c>
      <c r="J490" s="33" cm="1">
        <f t="array" ref="J490">IFERROR(-_xlfn.IFS(OR(H490="y",H490="Y"),F490,AND(H490&lt;&gt;0,ISNUMBER(H490)),H490,G490&lt;&gt;0,G490),0)</f>
        <v>0</v>
      </c>
      <c r="K490" s="29" t="str">
        <f t="shared" si="22"/>
        <v/>
      </c>
      <c r="L490" s="45" t="str">
        <f>IF(C490&lt;&gt;"",_xlfn.XLOOKUP(TEXT(C490,"0"),TEXT(CC!$C$3:$C$1000,"0"),CC!$G$3:$G$1000,""),"")</f>
        <v/>
      </c>
    </row>
    <row r="491" spans="7:12" x14ac:dyDescent="0.25">
      <c r="G491" s="58">
        <f>IFERROR(SUMPRODUCT((TEXT(CC!$C$3:$C$1000,"0")=TEXT(C491,"0"))*IFERROR(CC!$E$3:$E$1000+0,0)),0)</f>
      </c>
      <c r="H491" s="44"/>
      <c r="I491" s="23" t="str">
        <f t="shared" si="21"/>
        <v/>
      </c>
      <c r="J491" s="33" cm="1">
        <f t="array" ref="J491">IFERROR(-_xlfn.IFS(OR(H491="y",H491="Y"),F491,AND(H491&lt;&gt;0,ISNUMBER(H491)),H491,G491&lt;&gt;0,G491),0)</f>
        <v>0</v>
      </c>
      <c r="K491" s="29" t="str">
        <f t="shared" si="22"/>
        <v/>
      </c>
      <c r="L491" s="45" t="str">
        <f>IF(C491&lt;&gt;"",_xlfn.XLOOKUP(TEXT(C491,"0"),TEXT(CC!$C$3:$C$1000,"0"),CC!$G$3:$G$1000,""),"")</f>
        <v/>
      </c>
    </row>
    <row r="492" spans="7:12" x14ac:dyDescent="0.25">
      <c r="G492" s="58">
        <f>IFERROR(SUMPRODUCT((TEXT(CC!$C$3:$C$1000,"0")=TEXT(C492,"0"))*IFERROR(CC!$E$3:$E$1000+0,0)),0)</f>
      </c>
      <c r="H492" s="44"/>
      <c r="I492" s="23" t="str">
        <f t="shared" si="21"/>
        <v/>
      </c>
      <c r="J492" s="33" cm="1">
        <f t="array" ref="J492">IFERROR(-_xlfn.IFS(OR(H492="y",H492="Y"),F492,AND(H492&lt;&gt;0,ISNUMBER(H492)),H492,G492&lt;&gt;0,G492),0)</f>
        <v>0</v>
      </c>
      <c r="K492" s="29" t="str">
        <f t="shared" si="22"/>
        <v/>
      </c>
      <c r="L492" s="45" t="str">
        <f>IF(C492&lt;&gt;"",_xlfn.XLOOKUP(TEXT(C492,"0"),TEXT(CC!$C$3:$C$1000,"0"),CC!$G$3:$G$1000,""),"")</f>
        <v/>
      </c>
    </row>
    <row r="493" spans="7:12" x14ac:dyDescent="0.25">
      <c r="G493" s="58">
        <f>IFERROR(SUMPRODUCT((TEXT(CC!$C$3:$C$1000,"0")=TEXT(C493,"0"))*IFERROR(CC!$E$3:$E$1000+0,0)),0)</f>
      </c>
      <c r="H493" s="44"/>
      <c r="I493" s="23" t="str">
        <f t="shared" si="21"/>
        <v/>
      </c>
      <c r="J493" s="33" cm="1">
        <f t="array" ref="J493">IFERROR(-_xlfn.IFS(OR(H493="y",H493="Y"),F493,AND(H493&lt;&gt;0,ISNUMBER(H493)),H493,G493&lt;&gt;0,G493),0)</f>
        <v>0</v>
      </c>
      <c r="K493" s="29" t="str">
        <f t="shared" si="22"/>
        <v/>
      </c>
      <c r="L493" s="45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2">
    <mergeCell ref="N2:T2"/>
    <mergeCell ref="N12:T12"/>
  </mergeCells>
  <conditionalFormatting sqref="L8">
    <cfRule type="cellIs" dxfId="21" priority="2" operator="equal">
      <formula>0</formula>
    </cfRule>
    <cfRule type="cellIs" dxfId="20" priority="3" operator="notEqual">
      <formula>0</formula>
    </cfRule>
  </conditionalFormatting>
  <conditionalFormatting sqref="G14:G493">
    <cfRule type="expression" dxfId="19" priority="1">
      <formula>AND(G14&lt;&gt;_xlfn.NUMBERVALUE(F14),G14&lt;&gt;0)</formula>
    </cfRule>
  </conditionalFormatting>
  <dataValidations count="2">
    <dataValidation type="list" allowBlank="1" showInputMessage="1" showErrorMessage="1" sqref="N4:N10" xr:uid="{5A55A2F2-CECF-48A2-86FA-68D33D4BC8F0}">
      <formula1>"CASH,CREDIT,CHECK,PARTS POLICY,SERVICE POLICY"</formula1>
    </dataValidation>
    <dataValidation type="list" allowBlank="1" showInputMessage="1" showErrorMessage="1" sqref="P14:P75" xr:uid="{29F12E93-BD18-4AD4-9BD2-C57529DB6929}">
      <formula1>"EXT WARRANTY,GM WARRANTY,TOY WARRANTY,PNC"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workbookViewId="0">
      <selection activeCell="A1" sqref="A1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32.85546875" bestFit="1" customWidth="1"/>
    <col min="4" max="4" width="16" bestFit="1" customWidth="1"/>
    <col min="5" max="5" width="23.7109375" bestFit="1" customWidth="1"/>
    <col min="6" max="6" width="10.5703125" bestFit="1" customWidth="1"/>
    <col min="7" max="7" width="17" bestFit="1" customWidth="1"/>
    <col min="8" max="8" width="32.5703125" bestFit="1" customWidth="1"/>
    <col min="9" max="9" width="15.28515625" bestFit="1" customWidth="1"/>
    <col min="10" max="10" width="22.85546875" bestFit="1" customWidth="1"/>
    <col min="11" max="11" width="11.7109375" bestFit="1" customWidth="1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3928"/>
  <sheetViews>
    <sheetView topLeftCell="A9" workbookViewId="0">
      <selection activeCell="E32" sqref="E32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84" t="s">
        <v>13</v>
      </c>
      <c r="B3" s="84"/>
      <c r="C3" s="85" t="str">
        <f>"DD"&amp;TEXT('Schedule&amp;Rec'!L3,"mmddyy")</f>
        <v>DD032426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84"/>
      <c r="B4" s="84"/>
      <c r="C4" s="86"/>
      <c r="D4" s="4"/>
      <c r="E4" s="4"/>
      <c r="F4" s="4"/>
      <c r="G4" s="5"/>
      <c r="H4" s="4"/>
      <c r="I4" s="4"/>
      <c r="J4" s="4"/>
      <c r="K4" s="4"/>
      <c r="L4" s="4"/>
      <c r="M4" s="6" t="s">
        <v>14</v>
      </c>
      <c r="N4" s="4"/>
    </row>
    <row r="5" spans="1:14" ht="15.75" thickBot="1" x14ac:dyDescent="0.3">
      <c r="A5" s="84"/>
      <c r="B5" s="84"/>
      <c r="C5" s="87"/>
      <c r="D5" s="4"/>
      <c r="E5" s="4"/>
      <c r="F5" s="4"/>
      <c r="G5" s="5"/>
      <c r="H5" s="4"/>
      <c r="I5" s="4"/>
      <c r="J5" s="4"/>
      <c r="K5" s="4"/>
      <c r="L5" s="4"/>
      <c r="M5" s="7">
        <f>SUM(G10:G5000)</f>
        <v>1.2269083526916802E-9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15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16</v>
      </c>
      <c r="D9" s="15"/>
      <c r="E9" s="15" t="s">
        <v>17</v>
      </c>
      <c r="F9" s="15" t="s">
        <v>18</v>
      </c>
      <c r="G9" s="16" t="s">
        <v>19</v>
      </c>
      <c r="H9" s="15" t="s">
        <v>2</v>
      </c>
      <c r="I9" s="15" t="s">
        <v>20</v>
      </c>
      <c r="J9" s="15" t="s">
        <v>21</v>
      </c>
      <c r="K9" s="15" t="s">
        <v>22</v>
      </c>
      <c r="L9" s="15"/>
      <c r="M9" s="15" t="s">
        <v>23</v>
      </c>
      <c r="N9" s="14"/>
    </row>
    <row r="10" spans="1:14" x14ac:dyDescent="0.25">
      <c r="A10" s="4"/>
      <c r="B10" s="14"/>
      <c r="C10" s="17" t="str">
        <f t="shared" ref="C10:C41" si="0">IF(E10="","",(E10&amp;"."&amp;F10&amp;"."&amp;G10*100&amp;"."&amp;H10&amp;"."&amp;I10&amp;"."&amp;J10&amp;"."&amp;K10))</f>
        <v>28.801011.-72588.1..CLEAR SCHEDULE.</v>
      </c>
      <c r="D10" s="14"/>
      <c r="E10">
        <v>28</v>
      </c>
      <c r="F10">
        <v>801011</v>
      </c>
      <c r="G10" s="1">
        <v>-725.88</v>
      </c>
      <c r="H10" t="s">
        <v>408</v>
      </c>
      <c r="J10" s="18" t="s">
        <v>4327</v>
      </c>
      <c r="K10" s="18"/>
      <c r="L10" s="14"/>
      <c r="N10" s="14"/>
    </row>
    <row r="11" spans="1:14" x14ac:dyDescent="0.25">
      <c r="A11" s="4"/>
      <c r="B11" s="14"/>
      <c r="C11" s="17" t="str">
        <f t="shared" si="0"/>
        <v>28.801011.16841977.02FEB26..CLEAR SCHEDULE.</v>
      </c>
      <c r="D11" s="14"/>
      <c r="E11">
        <v>28</v>
      </c>
      <c r="F11">
        <v>801011</v>
      </c>
      <c r="G11" s="2">
        <v>168419.77</v>
      </c>
      <c r="H11" t="s">
        <v>409</v>
      </c>
      <c r="J11" s="18" t="s">
        <v>4327</v>
      </c>
      <c r="K11" s="18"/>
      <c r="L11" s="14"/>
      <c r="N11" s="14"/>
    </row>
    <row r="12" spans="1:14" x14ac:dyDescent="0.25">
      <c r="A12" s="4"/>
      <c r="B12" s="14"/>
      <c r="C12" s="17" t="str">
        <f t="shared" si="0"/>
        <v>28.801011.1595272.03FEB26..CLEAR SCHEDULE.</v>
      </c>
      <c r="D12" s="14"/>
      <c r="E12">
        <v>28</v>
      </c>
      <c r="F12">
        <v>801011</v>
      </c>
      <c r="G12" s="1">
        <v>15952.72</v>
      </c>
      <c r="H12" t="s">
        <v>410</v>
      </c>
      <c r="J12" s="18" t="s">
        <v>4327</v>
      </c>
      <c r="K12" s="18"/>
      <c r="L12" s="14"/>
      <c r="N12" s="14"/>
    </row>
    <row r="13" spans="1:14" x14ac:dyDescent="0.25">
      <c r="A13" s="4"/>
      <c r="B13" s="14"/>
      <c r="C13" s="17" t="str">
        <f t="shared" si="0"/>
        <v>28.801011.-900000.167..CLEAR SCHEDULE.</v>
      </c>
      <c r="D13" s="14"/>
      <c r="E13">
        <v>28</v>
      </c>
      <c r="F13">
        <v>801011</v>
      </c>
      <c r="G13" s="2">
        <v>-9000</v>
      </c>
      <c r="H13" t="s">
        <v>411</v>
      </c>
      <c r="J13" s="18" t="s">
        <v>4327</v>
      </c>
      <c r="K13" s="18"/>
      <c r="L13" s="14"/>
      <c r="N13" s="14"/>
    </row>
    <row r="14" spans="1:14" x14ac:dyDescent="0.25">
      <c r="A14" s="4"/>
      <c r="B14" s="14"/>
      <c r="C14" s="17" t="str">
        <f t="shared" si="0"/>
        <v>28.801011.-18600.277..CLEAR SCHEDULE.</v>
      </c>
      <c r="D14" s="14"/>
      <c r="E14">
        <v>28</v>
      </c>
      <c r="F14">
        <v>801011</v>
      </c>
      <c r="G14" s="1">
        <v>-186</v>
      </c>
      <c r="H14" t="s">
        <v>412</v>
      </c>
      <c r="J14" s="18" t="s">
        <v>4327</v>
      </c>
      <c r="K14" s="18"/>
      <c r="L14" s="14"/>
      <c r="N14" s="14"/>
    </row>
    <row r="15" spans="1:14" x14ac:dyDescent="0.25">
      <c r="A15" s="4"/>
      <c r="B15" s="14"/>
      <c r="C15" s="17" t="str">
        <f t="shared" si="0"/>
        <v>28.801011.-1527.502..CLEAR SCHEDULE.</v>
      </c>
      <c r="D15" s="14"/>
      <c r="E15">
        <v>28</v>
      </c>
      <c r="F15">
        <v>801011</v>
      </c>
      <c r="G15" s="2">
        <v>-15.27</v>
      </c>
      <c r="H15" t="s">
        <v>413</v>
      </c>
      <c r="J15" s="18" t="s">
        <v>4327</v>
      </c>
      <c r="K15" s="18"/>
      <c r="L15" s="14"/>
      <c r="N15" s="14"/>
    </row>
    <row r="16" spans="1:14" x14ac:dyDescent="0.25">
      <c r="A16" s="4"/>
      <c r="B16" s="14"/>
      <c r="C16" s="17" t="str">
        <f t="shared" si="0"/>
        <v>28.801011.-801.511..CLEAR SCHEDULE.</v>
      </c>
      <c r="D16" s="14"/>
      <c r="E16">
        <v>28</v>
      </c>
      <c r="F16">
        <v>801011</v>
      </c>
      <c r="G16" s="1">
        <v>-8.01</v>
      </c>
      <c r="H16" t="s">
        <v>414</v>
      </c>
      <c r="J16" s="18" t="s">
        <v>4327</v>
      </c>
      <c r="K16" s="18"/>
      <c r="L16" s="14"/>
      <c r="N16" s="14"/>
    </row>
    <row r="17" spans="1:14" x14ac:dyDescent="0.25">
      <c r="A17" s="4"/>
      <c r="B17" s="14"/>
      <c r="C17" s="17" t="str">
        <f t="shared" si="0"/>
        <v>28.801011.-801.530..CLEAR SCHEDULE.</v>
      </c>
      <c r="D17" s="14"/>
      <c r="E17">
        <v>28</v>
      </c>
      <c r="F17">
        <v>801011</v>
      </c>
      <c r="G17" s="2">
        <v>-8.01</v>
      </c>
      <c r="H17" t="s">
        <v>415</v>
      </c>
      <c r="J17" s="18" t="s">
        <v>4327</v>
      </c>
      <c r="K17" s="18"/>
      <c r="L17" s="14"/>
      <c r="N17" s="14"/>
    </row>
    <row r="18" spans="1:14" x14ac:dyDescent="0.25">
      <c r="A18" s="4"/>
      <c r="B18" s="14"/>
      <c r="C18" s="17" t="str">
        <f t="shared" si="0"/>
        <v>28.801011.-6721.547..CLEAR SCHEDULE.</v>
      </c>
      <c r="D18" s="14"/>
      <c r="E18">
        <v>28</v>
      </c>
      <c r="F18">
        <v>801011</v>
      </c>
      <c r="G18" s="1">
        <v>-67.209999999999994</v>
      </c>
      <c r="H18" t="s">
        <v>416</v>
      </c>
      <c r="J18" s="18" t="s">
        <v>4327</v>
      </c>
      <c r="K18" s="18"/>
      <c r="L18" s="14"/>
      <c r="N18" s="14"/>
    </row>
    <row r="19" spans="1:14" x14ac:dyDescent="0.25">
      <c r="A19" s="4"/>
      <c r="B19" s="14"/>
      <c r="C19" s="17" t="str">
        <f t="shared" si="0"/>
        <v>28.801011.-3814.563..CLEAR SCHEDULE.</v>
      </c>
      <c r="D19" s="14"/>
      <c r="E19">
        <v>28</v>
      </c>
      <c r="F19">
        <v>801011</v>
      </c>
      <c r="G19" s="2">
        <v>-38.14</v>
      </c>
      <c r="H19" t="s">
        <v>417</v>
      </c>
      <c r="J19" s="18" t="s">
        <v>4327</v>
      </c>
      <c r="K19" s="18"/>
      <c r="L19" s="14"/>
      <c r="N19" s="14"/>
    </row>
    <row r="20" spans="1:14" x14ac:dyDescent="0.25">
      <c r="A20" s="4"/>
      <c r="B20" s="14"/>
      <c r="C20" s="17" t="str">
        <f t="shared" si="0"/>
        <v>28.801011.-21591.581..CLEAR SCHEDULE.</v>
      </c>
      <c r="D20" s="14"/>
      <c r="E20">
        <v>28</v>
      </c>
      <c r="F20">
        <v>801011</v>
      </c>
      <c r="G20" s="1">
        <v>-215.91</v>
      </c>
      <c r="H20" t="s">
        <v>418</v>
      </c>
      <c r="J20" s="18" t="s">
        <v>4327</v>
      </c>
      <c r="K20" s="18"/>
      <c r="L20" s="14"/>
      <c r="N20" s="14"/>
    </row>
    <row r="21" spans="1:14" x14ac:dyDescent="0.25">
      <c r="A21" s="4"/>
      <c r="B21" s="14"/>
      <c r="C21" s="17" t="str">
        <f t="shared" si="0"/>
        <v>28.801011.21591.583..CLEAR SCHEDULE.</v>
      </c>
      <c r="D21" s="14"/>
      <c r="E21">
        <v>28</v>
      </c>
      <c r="F21">
        <v>801011</v>
      </c>
      <c r="G21" s="2">
        <v>215.91</v>
      </c>
      <c r="H21" t="s">
        <v>419</v>
      </c>
      <c r="J21" s="18" t="s">
        <v>4327</v>
      </c>
      <c r="K21" s="18"/>
      <c r="L21" s="14"/>
      <c r="N21" s="14"/>
    </row>
    <row r="22" spans="1:14" x14ac:dyDescent="0.25">
      <c r="A22" s="4"/>
      <c r="B22" s="14"/>
      <c r="C22" s="17" t="str">
        <f t="shared" si="0"/>
        <v>28.801011.7641.601..CLEAR SCHEDULE.</v>
      </c>
      <c r="D22" s="14"/>
      <c r="E22">
        <v>28</v>
      </c>
      <c r="F22">
        <v>801011</v>
      </c>
      <c r="G22" s="1">
        <v>76.41</v>
      </c>
      <c r="H22" t="s">
        <v>420</v>
      </c>
      <c r="J22" s="18" t="s">
        <v>4327</v>
      </c>
      <c r="K22" s="18"/>
      <c r="L22" s="14"/>
      <c r="N22" s="14"/>
    </row>
    <row r="23" spans="1:14" x14ac:dyDescent="0.25">
      <c r="A23" s="4"/>
      <c r="B23" s="14"/>
      <c r="C23" s="17" t="str">
        <f t="shared" si="0"/>
        <v>28.801011.4000.618..CLEAR SCHEDULE.</v>
      </c>
      <c r="D23" s="14"/>
      <c r="E23">
        <v>28</v>
      </c>
      <c r="F23">
        <v>801011</v>
      </c>
      <c r="G23" s="2">
        <v>40</v>
      </c>
      <c r="H23" t="s">
        <v>421</v>
      </c>
      <c r="J23" s="18" t="s">
        <v>4327</v>
      </c>
      <c r="K23" s="18"/>
      <c r="L23" s="14"/>
      <c r="N23" s="14"/>
    </row>
    <row r="24" spans="1:14" x14ac:dyDescent="0.25">
      <c r="A24" s="4"/>
      <c r="B24" s="14"/>
      <c r="C24" s="17" t="str">
        <f t="shared" si="0"/>
        <v>28.801011.-13609.626..CLEAR SCHEDULE.</v>
      </c>
      <c r="D24" s="14"/>
      <c r="E24">
        <v>28</v>
      </c>
      <c r="F24">
        <v>801011</v>
      </c>
      <c r="G24" s="1">
        <v>-136.09</v>
      </c>
      <c r="H24" t="s">
        <v>422</v>
      </c>
      <c r="J24" s="18" t="s">
        <v>4327</v>
      </c>
      <c r="K24" s="18"/>
      <c r="L24" s="14"/>
      <c r="N24" s="14"/>
    </row>
    <row r="25" spans="1:14" x14ac:dyDescent="0.25">
      <c r="A25" s="4"/>
      <c r="B25" s="14"/>
      <c r="C25" s="17" t="str">
        <f t="shared" si="0"/>
        <v>28.801011.-2137.628..CLEAR SCHEDULE.</v>
      </c>
      <c r="D25" s="14"/>
      <c r="E25">
        <v>28</v>
      </c>
      <c r="F25">
        <v>801011</v>
      </c>
      <c r="G25" s="2">
        <v>-21.37</v>
      </c>
      <c r="H25" t="s">
        <v>423</v>
      </c>
      <c r="J25" s="18" t="s">
        <v>4327</v>
      </c>
      <c r="K25" s="18"/>
      <c r="L25" s="14"/>
      <c r="N25" s="14"/>
    </row>
    <row r="26" spans="1:14" x14ac:dyDescent="0.25">
      <c r="A26" s="4"/>
      <c r="B26" s="14"/>
      <c r="C26" s="17" t="str">
        <f t="shared" si="0"/>
        <v>28.801011.2465.634..CLEAR SCHEDULE.</v>
      </c>
      <c r="D26" s="14"/>
      <c r="E26">
        <v>28</v>
      </c>
      <c r="F26">
        <v>801011</v>
      </c>
      <c r="G26" s="1">
        <v>24.65</v>
      </c>
      <c r="H26" t="s">
        <v>424</v>
      </c>
      <c r="J26" s="18" t="s">
        <v>4327</v>
      </c>
      <c r="K26" s="18"/>
      <c r="L26" s="14"/>
      <c r="N26" s="14"/>
    </row>
    <row r="27" spans="1:14" x14ac:dyDescent="0.25">
      <c r="A27" s="4"/>
      <c r="B27" s="14"/>
      <c r="C27" s="17" t="str">
        <f t="shared" si="0"/>
        <v>28.801011.-8111.637..CLEAR SCHEDULE.</v>
      </c>
      <c r="D27" s="14"/>
      <c r="E27">
        <v>28</v>
      </c>
      <c r="F27">
        <v>801011</v>
      </c>
      <c r="G27" s="2">
        <v>-81.11</v>
      </c>
      <c r="H27" t="s">
        <v>425</v>
      </c>
      <c r="J27" s="18" t="s">
        <v>4327</v>
      </c>
      <c r="K27" s="18"/>
      <c r="L27" s="14"/>
      <c r="N27" s="14"/>
    </row>
    <row r="28" spans="1:14" x14ac:dyDescent="0.25">
      <c r="A28" s="4"/>
      <c r="B28" s="14"/>
      <c r="C28" s="17" t="str">
        <f t="shared" si="0"/>
        <v>28.801011.-8875.644..CLEAR SCHEDULE.</v>
      </c>
      <c r="D28" s="14"/>
      <c r="E28">
        <v>28</v>
      </c>
      <c r="F28">
        <v>801011</v>
      </c>
      <c r="G28" s="1">
        <v>-88.75</v>
      </c>
      <c r="H28" t="s">
        <v>426</v>
      </c>
      <c r="J28" s="18" t="s">
        <v>4327</v>
      </c>
      <c r="K28" s="18"/>
      <c r="L28" s="14"/>
      <c r="N28" s="14"/>
    </row>
    <row r="29" spans="1:14" x14ac:dyDescent="0.25">
      <c r="A29" s="4"/>
      <c r="B29" s="14"/>
      <c r="C29" s="17" t="str">
        <f t="shared" si="0"/>
        <v>28.801011.-2988.645..CLEAR SCHEDULE.</v>
      </c>
      <c r="D29" s="14"/>
      <c r="E29">
        <v>28</v>
      </c>
      <c r="F29">
        <v>801011</v>
      </c>
      <c r="G29" s="2">
        <v>-29.88</v>
      </c>
      <c r="H29" t="s">
        <v>427</v>
      </c>
      <c r="J29" s="18" t="s">
        <v>4327</v>
      </c>
      <c r="K29" s="18"/>
      <c r="L29" s="14"/>
      <c r="N29" s="14"/>
    </row>
    <row r="30" spans="1:14" x14ac:dyDescent="0.25">
      <c r="A30" s="4"/>
      <c r="B30" s="14"/>
      <c r="C30" s="17" t="str">
        <f t="shared" si="0"/>
        <v>28.801011.-3349.646..CLEAR SCHEDULE.</v>
      </c>
      <c r="D30" s="14"/>
      <c r="E30">
        <v>28</v>
      </c>
      <c r="F30">
        <v>801011</v>
      </c>
      <c r="G30" s="1">
        <v>-33.49</v>
      </c>
      <c r="H30" t="s">
        <v>428</v>
      </c>
      <c r="J30" s="18" t="s">
        <v>4327</v>
      </c>
      <c r="K30" s="18"/>
      <c r="L30" s="14"/>
      <c r="N30" s="14"/>
    </row>
    <row r="31" spans="1:14" x14ac:dyDescent="0.25">
      <c r="A31" s="4"/>
      <c r="B31" s="14"/>
      <c r="C31" s="17" t="str">
        <f t="shared" si="0"/>
        <v>28.801011.-2582.647..CLEAR SCHEDULE.</v>
      </c>
      <c r="D31" s="14"/>
      <c r="E31">
        <v>28</v>
      </c>
      <c r="F31">
        <v>801011</v>
      </c>
      <c r="G31" s="2">
        <v>-25.82</v>
      </c>
      <c r="H31" t="s">
        <v>429</v>
      </c>
      <c r="J31" s="18" t="s">
        <v>4327</v>
      </c>
      <c r="K31" s="18"/>
      <c r="L31" s="14"/>
      <c r="N31" s="14"/>
    </row>
    <row r="32" spans="1:14" x14ac:dyDescent="0.25">
      <c r="A32" s="4"/>
      <c r="B32" s="14"/>
      <c r="C32" s="17" t="str">
        <f t="shared" si="0"/>
        <v>28.801011.-801.649..CLEAR SCHEDULE.</v>
      </c>
      <c r="D32" s="14"/>
      <c r="E32">
        <v>28</v>
      </c>
      <c r="F32">
        <v>801011</v>
      </c>
      <c r="G32" s="1">
        <v>-8.01</v>
      </c>
      <c r="H32" t="s">
        <v>430</v>
      </c>
      <c r="J32" s="18" t="s">
        <v>4327</v>
      </c>
      <c r="K32" s="18"/>
      <c r="L32" s="14"/>
      <c r="N32" s="14"/>
    </row>
    <row r="33" spans="1:14" x14ac:dyDescent="0.25">
      <c r="A33" s="4"/>
      <c r="B33" s="14"/>
      <c r="C33" s="17" t="str">
        <f t="shared" si="0"/>
        <v>28.801011.-3349.650..CLEAR SCHEDULE.</v>
      </c>
      <c r="D33" s="14"/>
      <c r="E33">
        <v>28</v>
      </c>
      <c r="F33">
        <v>801011</v>
      </c>
      <c r="G33" s="2">
        <v>-33.49</v>
      </c>
      <c r="H33" t="s">
        <v>431</v>
      </c>
      <c r="J33" s="18" t="s">
        <v>4327</v>
      </c>
      <c r="K33" s="18"/>
      <c r="L33" s="14"/>
      <c r="N33" s="14"/>
    </row>
    <row r="34" spans="1:14" x14ac:dyDescent="0.25">
      <c r="A34" s="4"/>
      <c r="B34" s="14"/>
      <c r="C34" s="17" t="str">
        <f t="shared" si="0"/>
        <v>28.801011.-4800.651..CLEAR SCHEDULE.</v>
      </c>
      <c r="D34" s="14"/>
      <c r="E34">
        <v>28</v>
      </c>
      <c r="F34">
        <v>801011</v>
      </c>
      <c r="G34" s="1">
        <v>-48</v>
      </c>
      <c r="H34" t="s">
        <v>432</v>
      </c>
      <c r="J34" s="18" t="s">
        <v>4327</v>
      </c>
      <c r="K34" s="18"/>
      <c r="L34" s="14"/>
      <c r="N34" s="14"/>
    </row>
    <row r="35" spans="1:14" x14ac:dyDescent="0.25">
      <c r="A35" s="4"/>
      <c r="B35" s="14"/>
      <c r="C35" s="17" t="str">
        <f t="shared" si="0"/>
        <v>28.801011.-1693.653..CLEAR SCHEDULE.</v>
      </c>
      <c r="D35" s="14"/>
      <c r="E35">
        <v>28</v>
      </c>
      <c r="F35">
        <v>801011</v>
      </c>
      <c r="G35" s="2">
        <v>-16.93</v>
      </c>
      <c r="H35" t="s">
        <v>433</v>
      </c>
      <c r="J35" s="18" t="s">
        <v>4327</v>
      </c>
      <c r="K35" s="18"/>
      <c r="L35" s="14"/>
      <c r="N35" s="14"/>
    </row>
    <row r="36" spans="1:14" x14ac:dyDescent="0.25">
      <c r="A36" s="4"/>
      <c r="B36" s="14"/>
      <c r="C36" s="17" t="str">
        <f t="shared" si="0"/>
        <v>28.801011.-2551.654..CLEAR SCHEDULE.</v>
      </c>
      <c r="D36" s="14"/>
      <c r="E36">
        <v>28</v>
      </c>
      <c r="F36">
        <v>801011</v>
      </c>
      <c r="G36" s="1">
        <v>-25.51</v>
      </c>
      <c r="H36" t="s">
        <v>434</v>
      </c>
      <c r="J36" s="18" t="s">
        <v>4327</v>
      </c>
      <c r="K36" s="18"/>
      <c r="L36" s="14"/>
      <c r="N36" s="14"/>
    </row>
    <row r="37" spans="1:14" x14ac:dyDescent="0.25">
      <c r="A37" s="4"/>
      <c r="B37" s="14"/>
      <c r="C37" s="17" t="str">
        <f t="shared" si="0"/>
        <v>28.801011.-1601.655..CLEAR SCHEDULE.</v>
      </c>
      <c r="D37" s="14"/>
      <c r="E37">
        <v>28</v>
      </c>
      <c r="F37">
        <v>801011</v>
      </c>
      <c r="G37" s="2">
        <v>-16.010000000000002</v>
      </c>
      <c r="H37" t="s">
        <v>435</v>
      </c>
      <c r="J37" s="18" t="s">
        <v>4327</v>
      </c>
      <c r="K37" s="18"/>
      <c r="L37" s="14"/>
      <c r="N37" s="14"/>
    </row>
    <row r="38" spans="1:14" x14ac:dyDescent="0.25">
      <c r="A38" s="4"/>
      <c r="B38" s="14"/>
      <c r="C38" s="17" t="str">
        <f t="shared" si="0"/>
        <v>28.801011.-5338.658..CLEAR SCHEDULE.</v>
      </c>
      <c r="D38" s="14"/>
      <c r="E38">
        <v>28</v>
      </c>
      <c r="F38">
        <v>801011</v>
      </c>
      <c r="G38" s="1">
        <v>-53.38</v>
      </c>
      <c r="H38" t="s">
        <v>436</v>
      </c>
      <c r="J38" s="18" t="s">
        <v>4327</v>
      </c>
      <c r="K38" s="18"/>
      <c r="L38" s="14"/>
      <c r="N38" s="14"/>
    </row>
    <row r="39" spans="1:14" x14ac:dyDescent="0.25">
      <c r="A39" s="4"/>
      <c r="B39" s="14"/>
      <c r="C39" s="17" t="str">
        <f t="shared" si="0"/>
        <v>28.801011.-17825.659..CLEAR SCHEDULE.</v>
      </c>
      <c r="D39" s="14"/>
      <c r="E39">
        <v>28</v>
      </c>
      <c r="F39">
        <v>801011</v>
      </c>
      <c r="G39" s="2">
        <v>-178.25</v>
      </c>
      <c r="H39" t="s">
        <v>437</v>
      </c>
      <c r="J39" s="18" t="s">
        <v>4327</v>
      </c>
      <c r="K39" s="18"/>
      <c r="L39" s="14"/>
      <c r="N39" s="14"/>
    </row>
    <row r="40" spans="1:14" x14ac:dyDescent="0.25">
      <c r="A40" s="4"/>
      <c r="B40" s="14"/>
      <c r="C40" s="17" t="str">
        <f t="shared" si="0"/>
        <v>28.801011.-19072.660..CLEAR SCHEDULE.</v>
      </c>
      <c r="D40" s="14"/>
      <c r="E40">
        <v>28</v>
      </c>
      <c r="F40">
        <v>801011</v>
      </c>
      <c r="G40" s="1">
        <v>-190.72</v>
      </c>
      <c r="H40" t="s">
        <v>438</v>
      </c>
      <c r="J40" s="18" t="s">
        <v>4327</v>
      </c>
      <c r="K40" s="18"/>
      <c r="L40" s="14"/>
      <c r="N40" s="14"/>
    </row>
    <row r="41" spans="1:14" x14ac:dyDescent="0.25">
      <c r="A41" s="4"/>
      <c r="B41" s="14"/>
      <c r="C41" s="17" t="str">
        <f t="shared" si="0"/>
        <v>28.801011.-6405.661..CLEAR SCHEDULE.</v>
      </c>
      <c r="D41" s="14"/>
      <c r="E41">
        <v>28</v>
      </c>
      <c r="F41">
        <v>801011</v>
      </c>
      <c r="G41" s="2">
        <v>-64.05</v>
      </c>
      <c r="H41" t="s">
        <v>439</v>
      </c>
      <c r="J41" s="18" t="s">
        <v>4327</v>
      </c>
      <c r="K41" s="18"/>
      <c r="L41" s="14"/>
      <c r="N41" s="14"/>
    </row>
    <row r="42" spans="1:14" x14ac:dyDescent="0.25">
      <c r="A42" s="4"/>
      <c r="B42" s="14"/>
      <c r="C42" s="17" t="str">
        <f t="shared" ref="C42:C76" si="1">IF(E42="","",(E42&amp;"."&amp;F42&amp;"."&amp;G42*100&amp;"."&amp;H42&amp;"."&amp;I42&amp;"."&amp;J42&amp;"."&amp;K42))</f>
        <v>28.801011.-41276.662..CLEAR SCHEDULE.</v>
      </c>
      <c r="D42" s="14"/>
      <c r="E42">
        <v>28</v>
      </c>
      <c r="F42">
        <v>801011</v>
      </c>
      <c r="G42" s="1">
        <v>-412.76</v>
      </c>
      <c r="H42" t="s">
        <v>440</v>
      </c>
      <c r="J42" s="18" t="s">
        <v>4327</v>
      </c>
      <c r="K42" s="18"/>
      <c r="L42" s="14"/>
      <c r="N42" s="14"/>
    </row>
    <row r="43" spans="1:14" x14ac:dyDescent="0.25">
      <c r="A43" s="4"/>
      <c r="B43" s="14"/>
      <c r="C43" s="17" t="str">
        <f t="shared" si="1"/>
        <v>28.801011.-1773.663..CLEAR SCHEDULE.</v>
      </c>
      <c r="D43" s="14"/>
      <c r="E43">
        <v>28</v>
      </c>
      <c r="F43">
        <v>801011</v>
      </c>
      <c r="G43" s="2">
        <v>-17.73</v>
      </c>
      <c r="H43" t="s">
        <v>441</v>
      </c>
      <c r="J43" s="18" t="s">
        <v>4327</v>
      </c>
      <c r="K43" s="18"/>
      <c r="L43" s="14"/>
      <c r="N43" s="14"/>
    </row>
    <row r="44" spans="1:14" x14ac:dyDescent="0.25">
      <c r="A44" s="4"/>
      <c r="B44" s="14"/>
      <c r="C44" s="17" t="str">
        <f t="shared" si="1"/>
        <v>28.801011.-801.664..CLEAR SCHEDULE.</v>
      </c>
      <c r="D44" s="14"/>
      <c r="E44">
        <v>28</v>
      </c>
      <c r="F44">
        <v>801011</v>
      </c>
      <c r="G44" s="1">
        <v>-8.01</v>
      </c>
      <c r="H44" t="s">
        <v>442</v>
      </c>
      <c r="J44" s="18" t="s">
        <v>4327</v>
      </c>
      <c r="K44" s="18"/>
      <c r="L44" s="14"/>
      <c r="N44" s="14"/>
    </row>
    <row r="45" spans="1:14" x14ac:dyDescent="0.25">
      <c r="A45" s="4"/>
      <c r="B45" s="14"/>
      <c r="C45" s="17" t="str">
        <f t="shared" si="1"/>
        <v>28.801011.-7184.665..CLEAR SCHEDULE.</v>
      </c>
      <c r="D45" s="14"/>
      <c r="E45">
        <v>28</v>
      </c>
      <c r="F45">
        <v>801011</v>
      </c>
      <c r="G45" s="2">
        <v>-71.84</v>
      </c>
      <c r="H45" t="s">
        <v>443</v>
      </c>
      <c r="J45" s="18" t="s">
        <v>4327</v>
      </c>
      <c r="K45" s="18"/>
      <c r="L45" s="14"/>
      <c r="N45" s="14"/>
    </row>
    <row r="46" spans="1:14" x14ac:dyDescent="0.25">
      <c r="A46" s="4"/>
      <c r="B46" s="14"/>
      <c r="C46" s="17" t="str">
        <f t="shared" si="1"/>
        <v>28.801011.-26308.666..CLEAR SCHEDULE.</v>
      </c>
      <c r="D46" s="14"/>
      <c r="E46">
        <v>28</v>
      </c>
      <c r="F46">
        <v>801011</v>
      </c>
      <c r="G46" s="1">
        <v>-263.08</v>
      </c>
      <c r="H46" t="s">
        <v>444</v>
      </c>
      <c r="J46" s="18" t="s">
        <v>4327</v>
      </c>
      <c r="K46" s="18"/>
      <c r="L46" s="14"/>
      <c r="N46" s="14"/>
    </row>
    <row r="47" spans="1:14" x14ac:dyDescent="0.25">
      <c r="A47" s="4"/>
      <c r="B47" s="14"/>
      <c r="C47" s="17" t="str">
        <f t="shared" si="1"/>
        <v>28.801011.-4354.669..CLEAR SCHEDULE.</v>
      </c>
      <c r="D47" s="14"/>
      <c r="E47">
        <v>28</v>
      </c>
      <c r="F47">
        <v>801011</v>
      </c>
      <c r="G47" s="2">
        <v>-43.54</v>
      </c>
      <c r="H47" t="s">
        <v>445</v>
      </c>
      <c r="J47" s="18" t="s">
        <v>4327</v>
      </c>
      <c r="K47" s="18"/>
      <c r="L47" s="14"/>
      <c r="N47" s="14"/>
    </row>
    <row r="48" spans="1:14" x14ac:dyDescent="0.25">
      <c r="A48" s="4"/>
      <c r="B48" s="14"/>
      <c r="C48" s="17" t="str">
        <f t="shared" si="1"/>
        <v>28.801011.-7293.670..CLEAR SCHEDULE.</v>
      </c>
      <c r="D48" s="14"/>
      <c r="E48">
        <v>28</v>
      </c>
      <c r="F48">
        <v>801011</v>
      </c>
      <c r="G48" s="1">
        <v>-72.930000000000007</v>
      </c>
      <c r="H48" t="s">
        <v>446</v>
      </c>
      <c r="J48" s="18" t="s">
        <v>4327</v>
      </c>
      <c r="K48" s="18"/>
      <c r="L48" s="14"/>
      <c r="N48" s="14"/>
    </row>
    <row r="49" spans="1:14" x14ac:dyDescent="0.25">
      <c r="A49" s="4"/>
      <c r="B49" s="14"/>
      <c r="C49" s="17" t="str">
        <f t="shared" si="1"/>
        <v>28.801011.-4868.671..CLEAR SCHEDULE.</v>
      </c>
      <c r="D49" s="14"/>
      <c r="E49">
        <v>28</v>
      </c>
      <c r="F49">
        <v>801011</v>
      </c>
      <c r="G49" s="2">
        <v>-48.68</v>
      </c>
      <c r="H49" t="s">
        <v>447</v>
      </c>
      <c r="J49" s="18" t="s">
        <v>4327</v>
      </c>
      <c r="K49" s="18"/>
      <c r="L49" s="14"/>
      <c r="N49" s="14"/>
    </row>
    <row r="50" spans="1:14" x14ac:dyDescent="0.25">
      <c r="A50" s="4"/>
      <c r="B50" s="14"/>
      <c r="C50" s="17" t="str">
        <f t="shared" si="1"/>
        <v>28.801011.-6939.672..CLEAR SCHEDULE.</v>
      </c>
      <c r="D50" s="14"/>
      <c r="E50">
        <v>28</v>
      </c>
      <c r="F50">
        <v>801011</v>
      </c>
      <c r="G50" s="1">
        <v>-69.39</v>
      </c>
      <c r="H50" t="s">
        <v>448</v>
      </c>
      <c r="J50" s="18" t="s">
        <v>4327</v>
      </c>
      <c r="K50" s="18"/>
      <c r="L50" s="14"/>
      <c r="N50" s="14"/>
    </row>
    <row r="51" spans="1:14" x14ac:dyDescent="0.25">
      <c r="A51" s="4"/>
      <c r="B51" s="14"/>
      <c r="C51" s="17" t="str">
        <f t="shared" si="1"/>
        <v>28.801011.-962.676..CLEAR SCHEDULE.</v>
      </c>
      <c r="D51" s="14"/>
      <c r="E51">
        <v>28</v>
      </c>
      <c r="F51">
        <v>801011</v>
      </c>
      <c r="G51" s="2">
        <v>-9.6199999999999992</v>
      </c>
      <c r="H51" t="s">
        <v>449</v>
      </c>
      <c r="J51" s="18" t="s">
        <v>4327</v>
      </c>
      <c r="K51" s="18"/>
      <c r="L51" s="14"/>
      <c r="N51" s="14"/>
    </row>
    <row r="52" spans="1:14" x14ac:dyDescent="0.25">
      <c r="A52" s="4"/>
      <c r="B52" s="14"/>
      <c r="C52" s="17" t="str">
        <f t="shared" si="1"/>
        <v>28.801011.-3386.677..CLEAR SCHEDULE.</v>
      </c>
      <c r="D52" s="14"/>
      <c r="E52">
        <v>28</v>
      </c>
      <c r="F52">
        <v>801011</v>
      </c>
      <c r="G52" s="1">
        <v>-33.86</v>
      </c>
      <c r="H52" t="s">
        <v>450</v>
      </c>
      <c r="J52" s="18" t="s">
        <v>4327</v>
      </c>
      <c r="K52" s="18"/>
      <c r="L52" s="14"/>
      <c r="N52" s="14"/>
    </row>
    <row r="53" spans="1:14" x14ac:dyDescent="0.25">
      <c r="A53" s="4"/>
      <c r="B53" s="14"/>
      <c r="C53" s="17" t="str">
        <f t="shared" si="1"/>
        <v>28.801011.-3232.678..CLEAR SCHEDULE.</v>
      </c>
      <c r="D53" s="14"/>
      <c r="E53">
        <v>28</v>
      </c>
      <c r="F53">
        <v>801011</v>
      </c>
      <c r="G53" s="2">
        <v>-32.32</v>
      </c>
      <c r="H53" t="s">
        <v>451</v>
      </c>
      <c r="J53" s="18" t="s">
        <v>4327</v>
      </c>
      <c r="K53" s="18"/>
      <c r="L53" s="14"/>
      <c r="N53" s="14"/>
    </row>
    <row r="54" spans="1:14" x14ac:dyDescent="0.25">
      <c r="A54" s="4"/>
      <c r="B54" s="14"/>
      <c r="C54" s="17" t="str">
        <f t="shared" si="1"/>
        <v>28.801011.-801.679..CLEAR SCHEDULE.</v>
      </c>
      <c r="D54" s="14"/>
      <c r="E54">
        <v>28</v>
      </c>
      <c r="F54">
        <v>801011</v>
      </c>
      <c r="G54" s="1">
        <v>-8.01</v>
      </c>
      <c r="H54" t="s">
        <v>452</v>
      </c>
      <c r="J54" s="18" t="s">
        <v>4327</v>
      </c>
      <c r="K54" s="18"/>
      <c r="L54" s="14"/>
      <c r="N54" s="14"/>
    </row>
    <row r="55" spans="1:14" x14ac:dyDescent="0.25">
      <c r="A55" s="4"/>
      <c r="B55" s="14"/>
      <c r="C55" s="17" t="str">
        <f t="shared" si="1"/>
        <v>28.801011.-5165.680..CLEAR SCHEDULE.</v>
      </c>
      <c r="D55" s="14"/>
      <c r="E55">
        <v>28</v>
      </c>
      <c r="F55">
        <v>801011</v>
      </c>
      <c r="G55" s="2">
        <v>-51.65</v>
      </c>
      <c r="H55" t="s">
        <v>453</v>
      </c>
      <c r="J55" s="18" t="s">
        <v>4327</v>
      </c>
      <c r="K55" s="18"/>
      <c r="L55" s="14"/>
      <c r="N55" s="14"/>
    </row>
    <row r="56" spans="1:14" x14ac:dyDescent="0.25">
      <c r="A56" s="4"/>
      <c r="B56" s="14"/>
      <c r="C56" s="17" t="str">
        <f t="shared" si="1"/>
        <v>28.801011.-9640.681..CLEAR SCHEDULE.</v>
      </c>
      <c r="D56" s="14"/>
      <c r="E56">
        <v>28</v>
      </c>
      <c r="F56">
        <v>801011</v>
      </c>
      <c r="G56" s="1">
        <v>-96.4</v>
      </c>
      <c r="H56" t="s">
        <v>454</v>
      </c>
      <c r="J56" s="18" t="s">
        <v>4327</v>
      </c>
      <c r="K56" s="18"/>
      <c r="L56" s="14"/>
      <c r="N56" s="14"/>
    </row>
    <row r="57" spans="1:14" x14ac:dyDescent="0.25">
      <c r="A57" s="4"/>
      <c r="B57" s="14"/>
      <c r="C57" s="17" t="str">
        <f t="shared" si="1"/>
        <v>28.801011.-75289.682..CLEAR SCHEDULE.</v>
      </c>
      <c r="D57" s="14"/>
      <c r="E57">
        <v>28</v>
      </c>
      <c r="F57">
        <v>801011</v>
      </c>
      <c r="G57" s="2">
        <v>-752.89</v>
      </c>
      <c r="H57" t="s">
        <v>455</v>
      </c>
      <c r="J57" s="18" t="s">
        <v>4327</v>
      </c>
      <c r="K57" s="18"/>
      <c r="L57" s="14"/>
      <c r="N57" s="14"/>
    </row>
    <row r="58" spans="1:14" x14ac:dyDescent="0.25">
      <c r="A58" s="4"/>
      <c r="B58" s="14"/>
      <c r="C58" s="17" t="str">
        <f t="shared" si="1"/>
        <v>28.801011.-4153.683..CLEAR SCHEDULE.</v>
      </c>
      <c r="D58" s="14"/>
      <c r="E58">
        <v>28</v>
      </c>
      <c r="F58">
        <v>801011</v>
      </c>
      <c r="G58" s="1">
        <v>-41.53</v>
      </c>
      <c r="H58" t="s">
        <v>456</v>
      </c>
      <c r="J58" s="18" t="s">
        <v>4327</v>
      </c>
      <c r="K58" s="18"/>
      <c r="L58" s="14"/>
      <c r="N58" s="14"/>
    </row>
    <row r="59" spans="1:14" x14ac:dyDescent="0.25">
      <c r="A59" s="4"/>
      <c r="B59" s="14"/>
      <c r="C59" s="17" t="str">
        <f t="shared" si="1"/>
        <v>28.801011.-4680.684..CLEAR SCHEDULE.</v>
      </c>
      <c r="D59" s="14"/>
      <c r="E59">
        <v>28</v>
      </c>
      <c r="F59">
        <v>801011</v>
      </c>
      <c r="G59" s="2">
        <v>-46.8</v>
      </c>
      <c r="H59" t="s">
        <v>457</v>
      </c>
      <c r="J59" s="18" t="s">
        <v>4327</v>
      </c>
      <c r="K59" s="18"/>
      <c r="L59" s="14"/>
      <c r="N59" s="14"/>
    </row>
    <row r="60" spans="1:14" x14ac:dyDescent="0.25">
      <c r="A60" s="4"/>
      <c r="B60" s="14"/>
      <c r="C60" s="17" t="str">
        <f t="shared" si="1"/>
        <v>28.801011.-3047.685..CLEAR SCHEDULE.</v>
      </c>
      <c r="D60" s="14"/>
      <c r="E60">
        <v>28</v>
      </c>
      <c r="F60">
        <v>801011</v>
      </c>
      <c r="G60" s="1">
        <v>-30.47</v>
      </c>
      <c r="H60" t="s">
        <v>458</v>
      </c>
      <c r="J60" s="18" t="s">
        <v>4327</v>
      </c>
      <c r="K60" s="18"/>
      <c r="L60" s="14"/>
      <c r="N60" s="14"/>
    </row>
    <row r="61" spans="1:14" x14ac:dyDescent="0.25">
      <c r="A61" s="4"/>
      <c r="B61" s="14"/>
      <c r="C61" s="17" t="str">
        <f t="shared" si="1"/>
        <v>28.801011.-8357.686..CLEAR SCHEDULE.</v>
      </c>
      <c r="D61" s="14"/>
      <c r="E61">
        <v>28</v>
      </c>
      <c r="F61">
        <v>801011</v>
      </c>
      <c r="G61" s="2">
        <v>-83.57</v>
      </c>
      <c r="H61" t="s">
        <v>459</v>
      </c>
      <c r="J61" s="18" t="s">
        <v>4327</v>
      </c>
      <c r="K61" s="18"/>
      <c r="L61" s="14"/>
      <c r="N61" s="14"/>
    </row>
    <row r="62" spans="1:14" x14ac:dyDescent="0.25">
      <c r="A62" s="4"/>
      <c r="B62" s="14"/>
      <c r="C62" s="17" t="str">
        <f t="shared" si="1"/>
        <v>28.801011.-3786.687..CLEAR SCHEDULE.</v>
      </c>
      <c r="D62" s="14"/>
      <c r="E62">
        <v>28</v>
      </c>
      <c r="F62">
        <v>801011</v>
      </c>
      <c r="G62" s="1">
        <v>-37.86</v>
      </c>
      <c r="H62" t="s">
        <v>460</v>
      </c>
      <c r="J62" s="18" t="s">
        <v>4327</v>
      </c>
      <c r="K62" s="18"/>
      <c r="L62" s="14"/>
      <c r="N62" s="14"/>
    </row>
    <row r="63" spans="1:14" x14ac:dyDescent="0.25">
      <c r="A63" s="4"/>
      <c r="B63" s="14"/>
      <c r="C63" s="17" t="str">
        <f t="shared" si="1"/>
        <v>28.801011.-8186.688..CLEAR SCHEDULE.</v>
      </c>
      <c r="D63" s="14"/>
      <c r="E63">
        <v>28</v>
      </c>
      <c r="F63">
        <v>801011</v>
      </c>
      <c r="G63" s="2">
        <v>-81.86</v>
      </c>
      <c r="H63" t="s">
        <v>461</v>
      </c>
      <c r="J63" s="18" t="s">
        <v>4327</v>
      </c>
      <c r="K63" s="18"/>
      <c r="L63" s="14"/>
      <c r="N63" s="14"/>
    </row>
    <row r="64" spans="1:14" x14ac:dyDescent="0.25">
      <c r="A64" s="4"/>
      <c r="B64" s="14"/>
      <c r="C64" s="17" t="str">
        <f t="shared" si="1"/>
        <v>28.801011.-1601.689..CLEAR SCHEDULE.</v>
      </c>
      <c r="D64" s="14"/>
      <c r="E64">
        <v>28</v>
      </c>
      <c r="F64">
        <v>801011</v>
      </c>
      <c r="G64" s="1">
        <v>-16.010000000000002</v>
      </c>
      <c r="H64" t="s">
        <v>462</v>
      </c>
      <c r="J64" s="18" t="s">
        <v>4327</v>
      </c>
      <c r="K64" s="18"/>
      <c r="L64" s="14"/>
      <c r="N64" s="14"/>
    </row>
    <row r="65" spans="1:14" x14ac:dyDescent="0.25">
      <c r="A65" s="4"/>
      <c r="B65" s="14"/>
      <c r="C65" s="17" t="str">
        <f t="shared" si="1"/>
        <v>28.801011.-801.690..CLEAR SCHEDULE.</v>
      </c>
      <c r="D65" s="14"/>
      <c r="E65">
        <v>28</v>
      </c>
      <c r="F65">
        <v>801011</v>
      </c>
      <c r="G65" s="2">
        <v>-8.01</v>
      </c>
      <c r="H65" t="s">
        <v>463</v>
      </c>
      <c r="J65" s="18" t="s">
        <v>4327</v>
      </c>
      <c r="K65" s="18"/>
      <c r="L65" s="14"/>
      <c r="N65" s="14"/>
    </row>
    <row r="66" spans="1:14" x14ac:dyDescent="0.25">
      <c r="A66" s="4"/>
      <c r="B66" s="14"/>
      <c r="C66" s="17" t="str">
        <f t="shared" si="1"/>
        <v>28.801011.-6697.691..CLEAR SCHEDULE.</v>
      </c>
      <c r="D66" s="14"/>
      <c r="E66">
        <v>28</v>
      </c>
      <c r="F66">
        <v>801011</v>
      </c>
      <c r="G66" s="1">
        <v>-66.97</v>
      </c>
      <c r="H66" t="s">
        <v>464</v>
      </c>
      <c r="J66" s="18" t="s">
        <v>4327</v>
      </c>
      <c r="K66" s="18"/>
      <c r="L66" s="14"/>
      <c r="N66" s="14"/>
    </row>
    <row r="67" spans="1:14" x14ac:dyDescent="0.25">
      <c r="A67" s="4"/>
      <c r="B67" s="14"/>
      <c r="C67" s="17" t="str">
        <f t="shared" si="1"/>
        <v>28.801011.-21666.692..CLEAR SCHEDULE.</v>
      </c>
      <c r="D67" s="14"/>
      <c r="E67">
        <v>28</v>
      </c>
      <c r="F67">
        <v>801011</v>
      </c>
      <c r="G67" s="2">
        <v>-216.66</v>
      </c>
      <c r="H67" t="s">
        <v>465</v>
      </c>
      <c r="J67" s="18" t="s">
        <v>4327</v>
      </c>
      <c r="K67" s="18"/>
      <c r="L67" s="14"/>
      <c r="N67" s="14"/>
    </row>
    <row r="68" spans="1:14" x14ac:dyDescent="0.25">
      <c r="A68" s="4"/>
      <c r="B68" s="14"/>
      <c r="C68" s="17" t="str">
        <f t="shared" si="1"/>
        <v>28.801011.-23713.695..CLEAR SCHEDULE.</v>
      </c>
      <c r="D68" s="14"/>
      <c r="E68">
        <v>28</v>
      </c>
      <c r="F68">
        <v>801011</v>
      </c>
      <c r="G68" s="1">
        <v>-237.13</v>
      </c>
      <c r="H68" t="s">
        <v>466</v>
      </c>
      <c r="J68" s="18" t="s">
        <v>4327</v>
      </c>
      <c r="K68" s="18"/>
      <c r="L68" s="14"/>
      <c r="N68" s="14"/>
    </row>
    <row r="69" spans="1:14" x14ac:dyDescent="0.25">
      <c r="A69" s="4"/>
      <c r="B69" s="14"/>
      <c r="C69" s="17" t="str">
        <f t="shared" si="1"/>
        <v>28.801011.-2415.697..CLEAR SCHEDULE.</v>
      </c>
      <c r="D69" s="14"/>
      <c r="E69">
        <v>28</v>
      </c>
      <c r="F69">
        <v>801011</v>
      </c>
      <c r="G69" s="2">
        <v>-24.15</v>
      </c>
      <c r="H69" t="s">
        <v>467</v>
      </c>
      <c r="J69" s="18" t="s">
        <v>4327</v>
      </c>
      <c r="K69" s="18"/>
      <c r="L69" s="14"/>
      <c r="N69" s="14"/>
    </row>
    <row r="70" spans="1:14" x14ac:dyDescent="0.25">
      <c r="A70" s="4"/>
      <c r="B70" s="14"/>
      <c r="C70" s="17" t="str">
        <f t="shared" si="1"/>
        <v>28.801011.-5356.699..CLEAR SCHEDULE.</v>
      </c>
      <c r="D70" s="14"/>
      <c r="E70">
        <v>28</v>
      </c>
      <c r="F70">
        <v>801011</v>
      </c>
      <c r="G70" s="1">
        <v>-53.56</v>
      </c>
      <c r="H70" t="s">
        <v>468</v>
      </c>
      <c r="J70" s="18" t="s">
        <v>4327</v>
      </c>
      <c r="K70" s="18"/>
      <c r="L70" s="14"/>
      <c r="N70" s="14"/>
    </row>
    <row r="71" spans="1:14" x14ac:dyDescent="0.25">
      <c r="A71" s="4"/>
      <c r="B71" s="14"/>
      <c r="C71" s="17" t="str">
        <f t="shared" si="1"/>
        <v>28.801011.-801.700..CLEAR SCHEDULE.</v>
      </c>
      <c r="D71" s="14"/>
      <c r="E71">
        <v>28</v>
      </c>
      <c r="F71">
        <v>801011</v>
      </c>
      <c r="G71" s="2">
        <v>-8.01</v>
      </c>
      <c r="H71" t="s">
        <v>469</v>
      </c>
      <c r="J71" s="18" t="s">
        <v>4327</v>
      </c>
      <c r="K71" s="18"/>
      <c r="L71" s="14"/>
      <c r="N71" s="14"/>
    </row>
    <row r="72" spans="1:14" x14ac:dyDescent="0.25">
      <c r="A72" s="4"/>
      <c r="B72" s="14"/>
      <c r="C72" s="17" t="str">
        <f t="shared" si="1"/>
        <v>28.801011.-3349.701..CLEAR SCHEDULE.</v>
      </c>
      <c r="D72" s="14"/>
      <c r="E72">
        <v>28</v>
      </c>
      <c r="F72">
        <v>801011</v>
      </c>
      <c r="G72" s="1">
        <v>-33.49</v>
      </c>
      <c r="H72" t="s">
        <v>470</v>
      </c>
      <c r="J72" s="18" t="s">
        <v>4327</v>
      </c>
      <c r="K72" s="18"/>
      <c r="L72" s="14"/>
      <c r="N72" s="14"/>
    </row>
    <row r="73" spans="1:14" x14ac:dyDescent="0.25">
      <c r="A73" s="4"/>
      <c r="B73" s="14"/>
      <c r="C73" s="17" t="str">
        <f t="shared" si="1"/>
        <v>28.801011.-1693.703..CLEAR SCHEDULE.</v>
      </c>
      <c r="D73" s="14"/>
      <c r="E73">
        <v>28</v>
      </c>
      <c r="F73">
        <v>801011</v>
      </c>
      <c r="G73" s="2">
        <v>-16.93</v>
      </c>
      <c r="H73" t="s">
        <v>471</v>
      </c>
      <c r="J73" s="18" t="s">
        <v>4327</v>
      </c>
      <c r="K73" s="18"/>
      <c r="L73" s="14"/>
      <c r="N73" s="14"/>
    </row>
    <row r="74" spans="1:14" x14ac:dyDescent="0.25">
      <c r="A74" s="4"/>
      <c r="B74" s="14"/>
      <c r="C74" s="17" t="str">
        <f t="shared" si="1"/>
        <v>28.801011.-3736.704..CLEAR SCHEDULE.</v>
      </c>
      <c r="D74" s="14"/>
      <c r="E74">
        <v>28</v>
      </c>
      <c r="F74">
        <v>801011</v>
      </c>
      <c r="G74" s="1">
        <v>-37.36</v>
      </c>
      <c r="H74" t="s">
        <v>472</v>
      </c>
      <c r="J74" s="18" t="s">
        <v>4327</v>
      </c>
      <c r="K74" s="18"/>
      <c r="L74" s="14"/>
      <c r="N74" s="14"/>
    </row>
    <row r="75" spans="1:14" x14ac:dyDescent="0.25">
      <c r="A75" s="4"/>
      <c r="B75" s="14"/>
      <c r="C75" s="17" t="str">
        <f t="shared" si="1"/>
        <v>28.801011.-2402.706..CLEAR SCHEDULE.</v>
      </c>
      <c r="D75" s="14"/>
      <c r="E75">
        <v>28</v>
      </c>
      <c r="F75">
        <v>801011</v>
      </c>
      <c r="G75" s="2">
        <v>-24.02</v>
      </c>
      <c r="H75" t="s">
        <v>473</v>
      </c>
      <c r="J75" s="18" t="s">
        <v>4327</v>
      </c>
      <c r="K75" s="18"/>
      <c r="L75" s="14"/>
      <c r="N75" s="14"/>
    </row>
    <row r="76" spans="1:14" x14ac:dyDescent="0.25">
      <c r="A76" s="4"/>
      <c r="B76" s="14"/>
      <c r="C76" s="17" t="str">
        <f t="shared" si="1"/>
        <v>28.801011.-801.709..CLEAR SCHEDULE.</v>
      </c>
      <c r="D76" s="14"/>
      <c r="E76">
        <v>28</v>
      </c>
      <c r="F76">
        <v>801011</v>
      </c>
      <c r="G76" s="1">
        <v>-8.01</v>
      </c>
      <c r="H76" t="s">
        <v>474</v>
      </c>
      <c r="J76" s="18" t="s">
        <v>4327</v>
      </c>
      <c r="K76" s="18"/>
      <c r="L76" s="14"/>
      <c r="N76" s="14"/>
    </row>
    <row r="77" spans="1:14" x14ac:dyDescent="0.25">
      <c r="A77" s="4"/>
      <c r="B77" s="14"/>
      <c r="C77" s="17" t="str">
        <f t="shared" ref="C77:C138" si="2">IF(G77=0,"",(E77&amp;"."&amp;F77&amp;"."&amp;G77*100&amp;"."&amp;H77&amp;"."&amp;I77&amp;"."&amp;J77&amp;"."&amp;K77))</f>
        <v>28.801011.-214.710..CLEAR SCHEDULE.</v>
      </c>
      <c r="D77" s="14"/>
      <c r="E77">
        <v>28</v>
      </c>
      <c r="F77">
        <v>801011</v>
      </c>
      <c r="G77" s="2">
        <v>-2.14</v>
      </c>
      <c r="H77" t="s">
        <v>475</v>
      </c>
      <c r="J77" s="18" t="s">
        <v>4327</v>
      </c>
      <c r="K77" s="18"/>
      <c r="L77" s="14"/>
      <c r="N77" s="14"/>
    </row>
    <row r="78" spans="1:14" x14ac:dyDescent="0.25">
      <c r="A78" s="4"/>
      <c r="B78" s="14"/>
      <c r="C78" s="17" t="str">
        <f t="shared" si="2"/>
        <v>28.801011.-17554.711..CLEAR SCHEDULE.</v>
      </c>
      <c r="D78" s="14"/>
      <c r="E78">
        <v>28</v>
      </c>
      <c r="F78">
        <v>801011</v>
      </c>
      <c r="G78" s="1">
        <v>-175.54</v>
      </c>
      <c r="H78" t="s">
        <v>476</v>
      </c>
      <c r="J78" s="18" t="s">
        <v>4327</v>
      </c>
      <c r="K78" s="18"/>
      <c r="L78" s="14"/>
      <c r="N78" s="14"/>
    </row>
    <row r="79" spans="1:14" x14ac:dyDescent="0.25">
      <c r="A79" s="4"/>
      <c r="B79" s="14"/>
      <c r="C79" s="17" t="str">
        <f t="shared" si="2"/>
        <v>28.801011.-801.713..CLEAR SCHEDULE.</v>
      </c>
      <c r="D79" s="14"/>
      <c r="E79">
        <v>28</v>
      </c>
      <c r="F79">
        <v>801011</v>
      </c>
      <c r="G79" s="2">
        <v>-8.01</v>
      </c>
      <c r="H79" t="s">
        <v>477</v>
      </c>
      <c r="J79" s="18" t="s">
        <v>4327</v>
      </c>
      <c r="K79" s="18"/>
      <c r="L79" s="14"/>
      <c r="N79" s="14"/>
    </row>
    <row r="80" spans="1:14" x14ac:dyDescent="0.25">
      <c r="A80" s="4"/>
      <c r="B80" s="14"/>
      <c r="C80" s="17" t="str">
        <f t="shared" si="2"/>
        <v>28.801011.-101.714..CLEAR SCHEDULE.</v>
      </c>
      <c r="D80" s="14"/>
      <c r="E80">
        <v>28</v>
      </c>
      <c r="F80">
        <v>801011</v>
      </c>
      <c r="G80" s="1">
        <v>-1.01</v>
      </c>
      <c r="H80" t="s">
        <v>478</v>
      </c>
      <c r="J80" s="18" t="s">
        <v>4327</v>
      </c>
      <c r="K80" s="18"/>
      <c r="L80" s="14"/>
      <c r="N80" s="14"/>
    </row>
    <row r="81" spans="1:14" x14ac:dyDescent="0.25">
      <c r="A81" s="4"/>
      <c r="B81" s="14"/>
      <c r="C81" s="17" t="str">
        <f t="shared" si="2"/>
        <v>28.801011.-1275.715..CLEAR SCHEDULE.</v>
      </c>
      <c r="D81" s="14"/>
      <c r="E81">
        <v>28</v>
      </c>
      <c r="F81">
        <v>801011</v>
      </c>
      <c r="G81" s="2">
        <v>-12.75</v>
      </c>
      <c r="H81" t="s">
        <v>479</v>
      </c>
      <c r="J81" s="18" t="s">
        <v>4327</v>
      </c>
      <c r="K81" s="18"/>
      <c r="L81" s="14"/>
      <c r="N81" s="14"/>
    </row>
    <row r="82" spans="1:14" x14ac:dyDescent="0.25">
      <c r="A82" s="4"/>
      <c r="B82" s="14"/>
      <c r="C82" s="17" t="str">
        <f t="shared" si="2"/>
        <v>28.801011.-1777.716..CLEAR SCHEDULE.</v>
      </c>
      <c r="D82" s="14"/>
      <c r="E82">
        <v>28</v>
      </c>
      <c r="F82">
        <v>801011</v>
      </c>
      <c r="G82" s="1">
        <v>-17.77</v>
      </c>
      <c r="H82" t="s">
        <v>480</v>
      </c>
      <c r="J82" s="18" t="s">
        <v>4327</v>
      </c>
      <c r="K82" s="18"/>
      <c r="L82" s="14"/>
      <c r="N82" s="14"/>
    </row>
    <row r="83" spans="1:14" x14ac:dyDescent="0.25">
      <c r="A83" s="4"/>
      <c r="B83" s="14"/>
      <c r="C83" s="17" t="str">
        <f t="shared" si="2"/>
        <v>28.801011.-25599.718..CLEAR SCHEDULE.</v>
      </c>
      <c r="D83" s="14"/>
      <c r="E83">
        <v>28</v>
      </c>
      <c r="F83">
        <v>801011</v>
      </c>
      <c r="G83" s="2">
        <v>-255.99</v>
      </c>
      <c r="H83" t="s">
        <v>481</v>
      </c>
      <c r="J83" s="18" t="s">
        <v>4327</v>
      </c>
      <c r="K83" s="18"/>
      <c r="L83" s="14"/>
      <c r="N83" s="14"/>
    </row>
    <row r="84" spans="1:14" x14ac:dyDescent="0.25">
      <c r="A84" s="4"/>
      <c r="B84" s="14"/>
      <c r="C84" s="17" t="str">
        <f t="shared" si="2"/>
        <v>28.801011.-202066.720..CLEAR SCHEDULE.</v>
      </c>
      <c r="D84" s="14"/>
      <c r="E84">
        <v>28</v>
      </c>
      <c r="F84">
        <v>801011</v>
      </c>
      <c r="G84" s="1">
        <v>-2020.66</v>
      </c>
      <c r="H84" t="s">
        <v>482</v>
      </c>
      <c r="J84" s="18" t="s">
        <v>4327</v>
      </c>
      <c r="K84" s="18"/>
      <c r="L84" s="14"/>
      <c r="N84" s="14"/>
    </row>
    <row r="85" spans="1:14" x14ac:dyDescent="0.25">
      <c r="A85" s="4"/>
      <c r="B85" s="14"/>
      <c r="C85" s="17" t="str">
        <f t="shared" si="2"/>
        <v>28.801011.-962.721..CLEAR SCHEDULE.</v>
      </c>
      <c r="D85" s="14"/>
      <c r="E85">
        <v>28</v>
      </c>
      <c r="F85">
        <v>801011</v>
      </c>
      <c r="G85" s="2">
        <v>-9.6199999999999992</v>
      </c>
      <c r="H85" t="s">
        <v>483</v>
      </c>
      <c r="J85" s="18" t="s">
        <v>4327</v>
      </c>
      <c r="K85" s="18"/>
      <c r="L85" s="14"/>
      <c r="N85" s="14"/>
    </row>
    <row r="86" spans="1:14" x14ac:dyDescent="0.25">
      <c r="A86" s="4"/>
      <c r="B86" s="14"/>
      <c r="C86" s="17" t="str">
        <f t="shared" si="2"/>
        <v>28.801011.-583.722..CLEAR SCHEDULE.</v>
      </c>
      <c r="D86" s="14"/>
      <c r="E86">
        <v>28</v>
      </c>
      <c r="F86">
        <v>801011</v>
      </c>
      <c r="G86" s="1">
        <v>-5.83</v>
      </c>
      <c r="H86" t="s">
        <v>484</v>
      </c>
      <c r="J86" s="18" t="s">
        <v>4327</v>
      </c>
      <c r="K86" s="18"/>
      <c r="L86" s="14"/>
      <c r="N86" s="14"/>
    </row>
    <row r="87" spans="1:14" x14ac:dyDescent="0.25">
      <c r="A87" s="4"/>
      <c r="B87" s="14"/>
      <c r="C87" s="17" t="str">
        <f t="shared" si="2"/>
        <v>28.801011.-34502.723..CLEAR SCHEDULE.</v>
      </c>
      <c r="D87" s="14"/>
      <c r="E87">
        <v>28</v>
      </c>
      <c r="F87">
        <v>801011</v>
      </c>
      <c r="G87" s="2">
        <v>-345.02</v>
      </c>
      <c r="H87" t="s">
        <v>485</v>
      </c>
      <c r="J87" s="18" t="s">
        <v>4327</v>
      </c>
      <c r="K87" s="18"/>
      <c r="L87" s="14"/>
      <c r="N87" s="14"/>
    </row>
    <row r="88" spans="1:14" x14ac:dyDescent="0.25">
      <c r="A88" s="4"/>
      <c r="B88" s="14"/>
      <c r="C88" s="17" t="str">
        <f t="shared" si="2"/>
        <v>28.801011.-1014.724..CLEAR SCHEDULE.</v>
      </c>
      <c r="D88" s="14"/>
      <c r="E88">
        <v>28</v>
      </c>
      <c r="F88">
        <v>801011</v>
      </c>
      <c r="G88" s="1">
        <v>-10.14</v>
      </c>
      <c r="H88" t="s">
        <v>486</v>
      </c>
      <c r="J88" s="18" t="s">
        <v>4327</v>
      </c>
      <c r="K88" s="18"/>
      <c r="L88" s="14"/>
      <c r="N88" s="14"/>
    </row>
    <row r="89" spans="1:14" x14ac:dyDescent="0.25">
      <c r="A89" s="4"/>
      <c r="B89" s="14"/>
      <c r="C89" s="17" t="str">
        <f t="shared" si="2"/>
        <v>28.801011.-1693.726..CLEAR SCHEDULE.</v>
      </c>
      <c r="D89" s="14"/>
      <c r="E89">
        <v>28</v>
      </c>
      <c r="F89">
        <v>801011</v>
      </c>
      <c r="G89" s="2">
        <v>-16.93</v>
      </c>
      <c r="H89" t="s">
        <v>487</v>
      </c>
      <c r="J89" s="18" t="s">
        <v>4327</v>
      </c>
      <c r="K89" s="18"/>
      <c r="L89" s="14"/>
      <c r="N89" s="14"/>
    </row>
    <row r="90" spans="1:14" x14ac:dyDescent="0.25">
      <c r="A90" s="4"/>
      <c r="B90" s="14"/>
      <c r="C90" s="17" t="str">
        <f t="shared" si="2"/>
        <v>28.801011.-446.727..CLEAR SCHEDULE.</v>
      </c>
      <c r="D90" s="14"/>
      <c r="E90">
        <v>28</v>
      </c>
      <c r="F90">
        <v>801011</v>
      </c>
      <c r="G90" s="1">
        <v>-4.46</v>
      </c>
      <c r="H90" t="s">
        <v>488</v>
      </c>
      <c r="J90" s="18" t="s">
        <v>4327</v>
      </c>
      <c r="K90" s="18"/>
      <c r="L90" s="14"/>
      <c r="N90" s="14"/>
    </row>
    <row r="91" spans="1:14" x14ac:dyDescent="0.25">
      <c r="A91" s="4"/>
      <c r="B91" s="14"/>
      <c r="C91" s="17" t="str">
        <f t="shared" si="2"/>
        <v>28.801011.-3051.728..CLEAR SCHEDULE.</v>
      </c>
      <c r="D91" s="14"/>
      <c r="E91">
        <v>28</v>
      </c>
      <c r="F91">
        <v>801011</v>
      </c>
      <c r="G91" s="2">
        <v>-30.51</v>
      </c>
      <c r="H91" t="s">
        <v>489</v>
      </c>
      <c r="J91" s="18" t="s">
        <v>4327</v>
      </c>
      <c r="K91" s="18"/>
      <c r="L91" s="14"/>
      <c r="N91" s="14"/>
    </row>
    <row r="92" spans="1:14" x14ac:dyDescent="0.25">
      <c r="A92" s="4"/>
      <c r="B92" s="14"/>
      <c r="C92" s="17" t="str">
        <f t="shared" si="2"/>
        <v>28.801011.-8561.729..CLEAR SCHEDULE.</v>
      </c>
      <c r="D92" s="14"/>
      <c r="E92">
        <v>28</v>
      </c>
      <c r="F92">
        <v>801011</v>
      </c>
      <c r="G92" s="1">
        <v>-85.61</v>
      </c>
      <c r="H92" t="s">
        <v>490</v>
      </c>
      <c r="J92" s="18" t="s">
        <v>4327</v>
      </c>
      <c r="K92" s="18"/>
      <c r="L92" s="14"/>
      <c r="N92" s="14"/>
    </row>
    <row r="93" spans="1:14" x14ac:dyDescent="0.25">
      <c r="A93" s="4"/>
      <c r="B93" s="14"/>
      <c r="C93" s="17" t="str">
        <f t="shared" si="2"/>
        <v>28.801011.-801.730..CLEAR SCHEDULE.</v>
      </c>
      <c r="D93" s="14"/>
      <c r="E93">
        <v>28</v>
      </c>
      <c r="F93">
        <v>801011</v>
      </c>
      <c r="G93" s="2">
        <v>-8.01</v>
      </c>
      <c r="H93" t="s">
        <v>491</v>
      </c>
      <c r="J93" s="18" t="s">
        <v>4327</v>
      </c>
      <c r="K93" s="18"/>
      <c r="L93" s="14"/>
      <c r="N93" s="14"/>
    </row>
    <row r="94" spans="1:14" x14ac:dyDescent="0.25">
      <c r="A94" s="4"/>
      <c r="B94" s="14"/>
      <c r="C94" s="17" t="str">
        <f t="shared" si="2"/>
        <v>28.801011.-7184.731..CLEAR SCHEDULE.</v>
      </c>
      <c r="D94" s="14"/>
      <c r="E94">
        <v>28</v>
      </c>
      <c r="F94">
        <v>801011</v>
      </c>
      <c r="G94" s="1">
        <v>-71.84</v>
      </c>
      <c r="H94" t="s">
        <v>492</v>
      </c>
      <c r="J94" s="18" t="s">
        <v>4327</v>
      </c>
      <c r="K94" s="18"/>
      <c r="L94" s="14"/>
      <c r="N94" s="14"/>
    </row>
    <row r="95" spans="1:14" x14ac:dyDescent="0.25">
      <c r="A95" s="4"/>
      <c r="B95" s="14"/>
      <c r="C95" s="17" t="str">
        <f t="shared" si="2"/>
        <v>28.801011.-3349.732..CLEAR SCHEDULE.</v>
      </c>
      <c r="D95" s="14"/>
      <c r="E95">
        <v>28</v>
      </c>
      <c r="F95">
        <v>801011</v>
      </c>
      <c r="G95" s="2">
        <v>-33.49</v>
      </c>
      <c r="H95" t="s">
        <v>493</v>
      </c>
      <c r="J95" s="18" t="s">
        <v>4327</v>
      </c>
      <c r="K95" s="18"/>
      <c r="L95" s="14"/>
      <c r="N95" s="14"/>
    </row>
    <row r="96" spans="1:14" x14ac:dyDescent="0.25">
      <c r="A96" s="4"/>
      <c r="B96" s="14"/>
      <c r="C96" s="17" t="str">
        <f t="shared" si="2"/>
        <v>28.801011.-801.734..CLEAR SCHEDULE.</v>
      </c>
      <c r="D96" s="14"/>
      <c r="E96">
        <v>28</v>
      </c>
      <c r="F96">
        <v>801011</v>
      </c>
      <c r="G96" s="1">
        <v>-8.01</v>
      </c>
      <c r="H96" t="s">
        <v>494</v>
      </c>
      <c r="J96" s="18" t="s">
        <v>4327</v>
      </c>
      <c r="K96" s="18"/>
      <c r="L96" s="14"/>
      <c r="N96" s="14"/>
    </row>
    <row r="97" spans="1:14" x14ac:dyDescent="0.25">
      <c r="A97" s="4"/>
      <c r="B97" s="14"/>
      <c r="C97" s="17" t="str">
        <f t="shared" si="2"/>
        <v>28.801011.-2978.735..CLEAR SCHEDULE.</v>
      </c>
      <c r="D97" s="14"/>
      <c r="E97">
        <v>28</v>
      </c>
      <c r="F97">
        <v>801011</v>
      </c>
      <c r="G97" s="2">
        <v>-29.78</v>
      </c>
      <c r="H97" t="s">
        <v>495</v>
      </c>
      <c r="J97" s="18" t="s">
        <v>4327</v>
      </c>
      <c r="K97" s="18"/>
      <c r="L97" s="14"/>
      <c r="N97" s="14"/>
    </row>
    <row r="98" spans="1:14" x14ac:dyDescent="0.25">
      <c r="A98" s="4"/>
      <c r="B98" s="14"/>
      <c r="C98" s="17" t="str">
        <f t="shared" si="2"/>
        <v>28.801011.-420.736..CLEAR SCHEDULE.</v>
      </c>
      <c r="D98" s="14"/>
      <c r="E98">
        <v>28</v>
      </c>
      <c r="F98">
        <v>801011</v>
      </c>
      <c r="G98" s="1">
        <v>-4.2</v>
      </c>
      <c r="H98" t="s">
        <v>496</v>
      </c>
      <c r="J98" s="18" t="s">
        <v>4327</v>
      </c>
      <c r="K98" s="18"/>
      <c r="L98" s="14"/>
      <c r="N98" s="14"/>
    </row>
    <row r="99" spans="1:14" x14ac:dyDescent="0.25">
      <c r="A99" s="4"/>
      <c r="B99" s="14"/>
      <c r="C99" s="17" t="str">
        <f t="shared" si="2"/>
        <v>28.801011.-3363.737..CLEAR SCHEDULE.</v>
      </c>
      <c r="D99" s="14"/>
      <c r="E99">
        <v>28</v>
      </c>
      <c r="F99">
        <v>801011</v>
      </c>
      <c r="G99" s="2">
        <v>-33.630000000000003</v>
      </c>
      <c r="H99" t="s">
        <v>497</v>
      </c>
      <c r="J99" s="18" t="s">
        <v>4327</v>
      </c>
      <c r="K99" s="18"/>
      <c r="L99" s="14"/>
      <c r="N99" s="14"/>
    </row>
    <row r="100" spans="1:14" x14ac:dyDescent="0.25">
      <c r="A100" s="4"/>
      <c r="B100" s="14"/>
      <c r="C100" s="17" t="str">
        <f t="shared" si="2"/>
        <v>28.801011.-3575.738..CLEAR SCHEDULE.</v>
      </c>
      <c r="D100" s="14"/>
      <c r="E100">
        <v>28</v>
      </c>
      <c r="F100">
        <v>801011</v>
      </c>
      <c r="G100" s="1">
        <v>-35.75</v>
      </c>
      <c r="H100" t="s">
        <v>498</v>
      </c>
      <c r="J100" s="18" t="s">
        <v>4327</v>
      </c>
      <c r="K100" s="18"/>
      <c r="L100" s="14"/>
      <c r="N100" s="14"/>
    </row>
    <row r="101" spans="1:14" x14ac:dyDescent="0.25">
      <c r="A101" s="4"/>
      <c r="B101" s="14"/>
      <c r="C101" s="17" t="str">
        <f t="shared" si="2"/>
        <v>28.801011.-5869.739..CLEAR SCHEDULE.</v>
      </c>
      <c r="D101" s="14"/>
      <c r="E101">
        <v>28</v>
      </c>
      <c r="F101">
        <v>801011</v>
      </c>
      <c r="G101" s="2">
        <v>-58.69</v>
      </c>
      <c r="H101" t="s">
        <v>499</v>
      </c>
      <c r="J101" s="18" t="s">
        <v>4327</v>
      </c>
      <c r="K101" s="18"/>
      <c r="L101" s="14"/>
      <c r="N101" s="14"/>
    </row>
    <row r="102" spans="1:14" x14ac:dyDescent="0.25">
      <c r="A102" s="4"/>
      <c r="B102" s="14"/>
      <c r="C102" s="17" t="str">
        <f t="shared" si="2"/>
        <v>28.801011.-1014.740..CLEAR SCHEDULE.</v>
      </c>
      <c r="D102" s="14"/>
      <c r="E102">
        <v>28</v>
      </c>
      <c r="F102">
        <v>801011</v>
      </c>
      <c r="G102" s="1">
        <v>-10.14</v>
      </c>
      <c r="H102" t="s">
        <v>500</v>
      </c>
      <c r="J102" s="18" t="s">
        <v>4327</v>
      </c>
      <c r="K102" s="18"/>
      <c r="L102" s="14"/>
      <c r="N102" s="14"/>
    </row>
    <row r="103" spans="1:14" x14ac:dyDescent="0.25">
      <c r="A103" s="4"/>
      <c r="B103" s="14"/>
      <c r="C103" s="17" t="str">
        <f t="shared" si="2"/>
        <v>28.801011.-1601.741..CLEAR SCHEDULE.</v>
      </c>
      <c r="D103" s="14"/>
      <c r="E103">
        <v>28</v>
      </c>
      <c r="F103">
        <v>801011</v>
      </c>
      <c r="G103" s="2">
        <v>-16.010000000000002</v>
      </c>
      <c r="H103" t="s">
        <v>501</v>
      </c>
      <c r="J103" s="18" t="s">
        <v>4327</v>
      </c>
      <c r="K103" s="18"/>
      <c r="L103" s="14"/>
      <c r="N103" s="14"/>
    </row>
    <row r="104" spans="1:14" x14ac:dyDescent="0.25">
      <c r="A104" s="4"/>
      <c r="B104" s="14"/>
      <c r="C104" s="17" t="str">
        <f t="shared" si="2"/>
        <v>28.801011.-24589.742..CLEAR SCHEDULE.</v>
      </c>
      <c r="D104" s="14"/>
      <c r="E104">
        <v>28</v>
      </c>
      <c r="F104">
        <v>801011</v>
      </c>
      <c r="G104" s="1">
        <v>-245.89</v>
      </c>
      <c r="H104" t="s">
        <v>502</v>
      </c>
      <c r="J104" s="18" t="s">
        <v>4327</v>
      </c>
      <c r="K104" s="18"/>
      <c r="L104" s="14"/>
      <c r="N104" s="14"/>
    </row>
    <row r="105" spans="1:14" x14ac:dyDescent="0.25">
      <c r="A105" s="4"/>
      <c r="B105" s="14"/>
      <c r="C105" s="17" t="str">
        <f t="shared" si="2"/>
        <v>28.801011.-21666.743..CLEAR SCHEDULE.</v>
      </c>
      <c r="D105" s="14"/>
      <c r="E105">
        <v>28</v>
      </c>
      <c r="F105">
        <v>801011</v>
      </c>
      <c r="G105" s="2">
        <v>-216.66</v>
      </c>
      <c r="H105" t="s">
        <v>503</v>
      </c>
      <c r="J105" s="18" t="s">
        <v>4327</v>
      </c>
      <c r="K105" s="18"/>
      <c r="L105" s="14"/>
      <c r="N105" s="14"/>
    </row>
    <row r="106" spans="1:14" x14ac:dyDescent="0.25">
      <c r="A106" s="4"/>
      <c r="B106" s="14"/>
      <c r="C106" s="17" t="str">
        <f t="shared" si="2"/>
        <v>28.801011.-15852.744..CLEAR SCHEDULE.</v>
      </c>
      <c r="D106" s="14"/>
      <c r="E106">
        <v>28</v>
      </c>
      <c r="F106">
        <v>801011</v>
      </c>
      <c r="G106" s="1">
        <v>-158.52000000000001</v>
      </c>
      <c r="H106" t="s">
        <v>504</v>
      </c>
      <c r="J106" s="18" t="s">
        <v>4327</v>
      </c>
      <c r="K106" s="18"/>
      <c r="L106" s="14"/>
      <c r="N106" s="14"/>
    </row>
    <row r="107" spans="1:14" x14ac:dyDescent="0.25">
      <c r="A107" s="4"/>
      <c r="B107" s="14"/>
      <c r="C107" s="17" t="str">
        <f t="shared" si="2"/>
        <v>28.801011.-34275.745..CLEAR SCHEDULE.</v>
      </c>
      <c r="D107" s="14"/>
      <c r="E107">
        <v>28</v>
      </c>
      <c r="F107">
        <v>801011</v>
      </c>
      <c r="G107" s="2">
        <v>-342.75</v>
      </c>
      <c r="H107" t="s">
        <v>505</v>
      </c>
      <c r="J107" s="18" t="s">
        <v>4327</v>
      </c>
      <c r="K107" s="18"/>
      <c r="L107" s="14"/>
      <c r="N107" s="14"/>
    </row>
    <row r="108" spans="1:14" x14ac:dyDescent="0.25">
      <c r="A108" s="4"/>
      <c r="B108" s="14"/>
      <c r="C108" s="17" t="str">
        <f t="shared" si="2"/>
        <v>28.801011.-801.746..CLEAR SCHEDULE.</v>
      </c>
      <c r="D108" s="14"/>
      <c r="E108">
        <v>28</v>
      </c>
      <c r="F108">
        <v>801011</v>
      </c>
      <c r="G108" s="1">
        <v>-8.01</v>
      </c>
      <c r="H108" t="s">
        <v>506</v>
      </c>
      <c r="J108" s="18" t="s">
        <v>4327</v>
      </c>
      <c r="K108" s="18"/>
      <c r="L108" s="14"/>
      <c r="N108" s="14"/>
    </row>
    <row r="109" spans="1:14" x14ac:dyDescent="0.25">
      <c r="A109" s="4"/>
      <c r="B109" s="14"/>
      <c r="C109" s="17" t="str">
        <f t="shared" si="2"/>
        <v>28.801011.-7483.747..CLEAR SCHEDULE.</v>
      </c>
      <c r="D109" s="14"/>
      <c r="E109">
        <v>28</v>
      </c>
      <c r="F109">
        <v>801011</v>
      </c>
      <c r="G109" s="2">
        <v>-74.83</v>
      </c>
      <c r="H109" t="s">
        <v>507</v>
      </c>
      <c r="J109" s="18" t="s">
        <v>4327</v>
      </c>
      <c r="K109" s="18"/>
      <c r="L109" s="14"/>
      <c r="N109" s="14"/>
    </row>
    <row r="110" spans="1:14" x14ac:dyDescent="0.25">
      <c r="A110" s="4"/>
      <c r="B110" s="14"/>
      <c r="C110" s="17" t="str">
        <f t="shared" si="2"/>
        <v>28.801011.-801.748..CLEAR SCHEDULE.</v>
      </c>
      <c r="D110" s="14"/>
      <c r="E110">
        <v>28</v>
      </c>
      <c r="F110">
        <v>801011</v>
      </c>
      <c r="G110" s="1">
        <v>-8.01</v>
      </c>
      <c r="H110" t="s">
        <v>508</v>
      </c>
      <c r="J110" s="18" t="s">
        <v>4327</v>
      </c>
      <c r="K110" s="18"/>
      <c r="L110" s="14"/>
      <c r="N110" s="14"/>
    </row>
    <row r="111" spans="1:14" x14ac:dyDescent="0.25">
      <c r="A111" s="4"/>
      <c r="B111" s="14"/>
      <c r="C111" s="17" t="str">
        <f t="shared" si="2"/>
        <v>28.801011.-583.749..CLEAR SCHEDULE.</v>
      </c>
      <c r="D111" s="14"/>
      <c r="E111">
        <v>28</v>
      </c>
      <c r="F111">
        <v>801011</v>
      </c>
      <c r="G111" s="2">
        <v>-5.83</v>
      </c>
      <c r="H111" t="s">
        <v>509</v>
      </c>
      <c r="J111" s="18" t="s">
        <v>4327</v>
      </c>
      <c r="K111" s="18"/>
      <c r="L111" s="14"/>
      <c r="N111" s="14"/>
    </row>
    <row r="112" spans="1:14" x14ac:dyDescent="0.25">
      <c r="A112" s="4"/>
      <c r="B112" s="14"/>
      <c r="C112" s="17" t="str">
        <f t="shared" si="2"/>
        <v>28.801011.-3531.752..CLEAR SCHEDULE.</v>
      </c>
      <c r="D112" s="14"/>
      <c r="E112">
        <v>28</v>
      </c>
      <c r="F112">
        <v>801011</v>
      </c>
      <c r="G112" s="1">
        <v>-35.31</v>
      </c>
      <c r="H112" t="s">
        <v>510</v>
      </c>
      <c r="J112" s="18" t="s">
        <v>4327</v>
      </c>
      <c r="K112" s="18"/>
      <c r="L112" s="14"/>
      <c r="N112" s="14"/>
    </row>
    <row r="113" spans="1:14" x14ac:dyDescent="0.25">
      <c r="A113" s="4"/>
      <c r="B113" s="14"/>
      <c r="C113" s="17" t="str">
        <f t="shared" si="2"/>
        <v>28.801011.-11090.753..CLEAR SCHEDULE.</v>
      </c>
      <c r="D113" s="14"/>
      <c r="E113">
        <v>28</v>
      </c>
      <c r="F113">
        <v>801011</v>
      </c>
      <c r="G113" s="2">
        <v>-110.9</v>
      </c>
      <c r="H113" t="s">
        <v>511</v>
      </c>
      <c r="J113" s="18" t="s">
        <v>4327</v>
      </c>
      <c r="K113" s="18"/>
      <c r="L113" s="14"/>
      <c r="N113" s="14"/>
    </row>
    <row r="114" spans="1:14" x14ac:dyDescent="0.25">
      <c r="A114" s="4"/>
      <c r="B114" s="14"/>
      <c r="C114" s="17" t="str">
        <f t="shared" si="2"/>
        <v>28.801011.-7968.754..CLEAR SCHEDULE.</v>
      </c>
      <c r="D114" s="14"/>
      <c r="E114">
        <v>28</v>
      </c>
      <c r="F114">
        <v>801011</v>
      </c>
      <c r="G114" s="1">
        <v>-79.680000000000007</v>
      </c>
      <c r="H114" t="s">
        <v>512</v>
      </c>
      <c r="J114" s="18" t="s">
        <v>4327</v>
      </c>
      <c r="K114" s="18"/>
      <c r="L114" s="14"/>
      <c r="N114" s="14"/>
    </row>
    <row r="115" spans="1:14" x14ac:dyDescent="0.25">
      <c r="A115" s="4"/>
      <c r="B115" s="14"/>
      <c r="C115" s="17" t="str">
        <f t="shared" si="2"/>
        <v>28.801011.-801.757..CLEAR SCHEDULE.</v>
      </c>
      <c r="D115" s="14"/>
      <c r="E115">
        <v>28</v>
      </c>
      <c r="F115">
        <v>801011</v>
      </c>
      <c r="G115" s="2">
        <v>-8.01</v>
      </c>
      <c r="H115" t="s">
        <v>513</v>
      </c>
      <c r="J115" s="18" t="s">
        <v>4327</v>
      </c>
      <c r="K115" s="18"/>
      <c r="L115" s="14"/>
      <c r="N115" s="14"/>
    </row>
    <row r="116" spans="1:14" x14ac:dyDescent="0.25">
      <c r="A116" s="4"/>
      <c r="B116" s="14"/>
      <c r="C116" s="17" t="str">
        <f t="shared" si="2"/>
        <v>28.801011.-101.759..CLEAR SCHEDULE.</v>
      </c>
      <c r="D116" s="14"/>
      <c r="E116">
        <v>28</v>
      </c>
      <c r="F116">
        <v>801011</v>
      </c>
      <c r="G116" s="1">
        <v>-1.01</v>
      </c>
      <c r="H116" t="s">
        <v>514</v>
      </c>
      <c r="J116" s="18" t="s">
        <v>4327</v>
      </c>
      <c r="K116" s="18"/>
      <c r="L116" s="14"/>
      <c r="N116" s="14"/>
    </row>
    <row r="117" spans="1:14" x14ac:dyDescent="0.25">
      <c r="A117" s="4"/>
      <c r="B117" s="14"/>
      <c r="C117" s="17" t="str">
        <f t="shared" si="2"/>
        <v>28.801011.-2509.762..CLEAR SCHEDULE.</v>
      </c>
      <c r="D117" s="14"/>
      <c r="E117">
        <v>28</v>
      </c>
      <c r="F117">
        <v>801011</v>
      </c>
      <c r="G117" s="2">
        <v>-25.09</v>
      </c>
      <c r="H117" t="s">
        <v>515</v>
      </c>
      <c r="J117" s="18" t="s">
        <v>4327</v>
      </c>
      <c r="K117" s="18"/>
      <c r="L117" s="14"/>
      <c r="N117" s="14"/>
    </row>
    <row r="118" spans="1:14" x14ac:dyDescent="0.25">
      <c r="A118" s="4"/>
      <c r="B118" s="14"/>
      <c r="C118" s="17" t="str">
        <f t="shared" si="2"/>
        <v>28.801011.-44483.763..CLEAR SCHEDULE.</v>
      </c>
      <c r="D118" s="14"/>
      <c r="E118">
        <v>28</v>
      </c>
      <c r="F118">
        <v>801011</v>
      </c>
      <c r="G118" s="1">
        <v>-444.83</v>
      </c>
      <c r="H118" t="s">
        <v>516</v>
      </c>
      <c r="J118" s="18" t="s">
        <v>4327</v>
      </c>
      <c r="K118" s="18"/>
      <c r="L118" s="14"/>
      <c r="N118" s="14"/>
    </row>
    <row r="119" spans="1:14" x14ac:dyDescent="0.25">
      <c r="A119" s="4"/>
      <c r="B119" s="14"/>
      <c r="C119" s="17" t="str">
        <f t="shared" si="2"/>
        <v>28.801011.-801.764..CLEAR SCHEDULE.</v>
      </c>
      <c r="D119" s="14"/>
      <c r="E119">
        <v>28</v>
      </c>
      <c r="F119">
        <v>801011</v>
      </c>
      <c r="G119" s="2">
        <v>-8.01</v>
      </c>
      <c r="H119" t="s">
        <v>517</v>
      </c>
      <c r="J119" s="18" t="s">
        <v>4327</v>
      </c>
      <c r="K119" s="18"/>
      <c r="L119" s="14"/>
      <c r="N119" s="14"/>
    </row>
    <row r="120" spans="1:14" x14ac:dyDescent="0.25">
      <c r="A120" s="4"/>
      <c r="B120" s="14"/>
      <c r="C120" s="17" t="str">
        <f t="shared" si="2"/>
        <v>28.801011.-1693.765..CLEAR SCHEDULE.</v>
      </c>
      <c r="D120" s="14"/>
      <c r="E120">
        <v>28</v>
      </c>
      <c r="F120">
        <v>801011</v>
      </c>
      <c r="G120" s="1">
        <v>-16.93</v>
      </c>
      <c r="H120" t="s">
        <v>518</v>
      </c>
      <c r="J120" s="18" t="s">
        <v>4327</v>
      </c>
      <c r="K120" s="18"/>
      <c r="L120" s="14"/>
      <c r="N120" s="14"/>
    </row>
    <row r="121" spans="1:14" x14ac:dyDescent="0.25">
      <c r="A121" s="4"/>
      <c r="B121" s="14"/>
      <c r="C121" s="17" t="str">
        <f t="shared" si="2"/>
        <v>28.801011.-14830.766..CLEAR SCHEDULE.</v>
      </c>
      <c r="D121" s="14"/>
      <c r="E121">
        <v>28</v>
      </c>
      <c r="F121">
        <v>801011</v>
      </c>
      <c r="G121" s="2">
        <v>-148.30000000000001</v>
      </c>
      <c r="H121" t="s">
        <v>519</v>
      </c>
      <c r="J121" s="18" t="s">
        <v>4327</v>
      </c>
      <c r="K121" s="18"/>
      <c r="L121" s="14"/>
      <c r="N121" s="14"/>
    </row>
    <row r="122" spans="1:14" x14ac:dyDescent="0.25">
      <c r="A122" s="4"/>
      <c r="B122" s="14"/>
      <c r="C122" s="17" t="str">
        <f t="shared" si="2"/>
        <v>28.801011.-1988.767..CLEAR SCHEDULE.</v>
      </c>
      <c r="D122" s="14"/>
      <c r="E122">
        <v>28</v>
      </c>
      <c r="F122">
        <v>801011</v>
      </c>
      <c r="G122" s="1">
        <v>-19.88</v>
      </c>
      <c r="H122" t="s">
        <v>520</v>
      </c>
      <c r="J122" s="18" t="s">
        <v>4327</v>
      </c>
      <c r="K122" s="18"/>
      <c r="L122" s="14"/>
      <c r="N122" s="14"/>
    </row>
    <row r="123" spans="1:14" x14ac:dyDescent="0.25">
      <c r="A123" s="4"/>
      <c r="B123" s="14"/>
      <c r="C123" s="17" t="str">
        <f t="shared" si="2"/>
        <v>28.801011.-45917.769..CLEAR SCHEDULE.</v>
      </c>
      <c r="D123" s="14"/>
      <c r="E123">
        <v>28</v>
      </c>
      <c r="F123">
        <v>801011</v>
      </c>
      <c r="G123" s="2">
        <v>-459.17</v>
      </c>
      <c r="H123" t="s">
        <v>521</v>
      </c>
      <c r="J123" s="18" t="s">
        <v>4327</v>
      </c>
      <c r="K123" s="18"/>
      <c r="L123" s="14"/>
      <c r="N123" s="14"/>
    </row>
    <row r="124" spans="1:14" x14ac:dyDescent="0.25">
      <c r="A124" s="4"/>
      <c r="B124" s="14"/>
      <c r="C124" s="17" t="str">
        <f t="shared" si="2"/>
        <v>28.801011.-801.771..CLEAR SCHEDULE.</v>
      </c>
      <c r="D124" s="14"/>
      <c r="E124">
        <v>28</v>
      </c>
      <c r="F124">
        <v>801011</v>
      </c>
      <c r="G124" s="1">
        <v>-8.01</v>
      </c>
      <c r="H124" t="s">
        <v>522</v>
      </c>
      <c r="J124" s="18" t="s">
        <v>4327</v>
      </c>
      <c r="K124" s="18"/>
      <c r="L124" s="14"/>
      <c r="N124" s="14"/>
    </row>
    <row r="125" spans="1:14" x14ac:dyDescent="0.25">
      <c r="A125" s="4"/>
      <c r="B125" s="14"/>
      <c r="C125" s="17" t="str">
        <f t="shared" si="2"/>
        <v>28.801011.8127.772..CLEAR SCHEDULE.</v>
      </c>
      <c r="D125" s="14"/>
      <c r="E125">
        <v>28</v>
      </c>
      <c r="F125">
        <v>801011</v>
      </c>
      <c r="G125" s="2">
        <v>81.27</v>
      </c>
      <c r="H125" t="s">
        <v>523</v>
      </c>
      <c r="J125" s="18" t="s">
        <v>4327</v>
      </c>
      <c r="K125" s="18"/>
      <c r="L125" s="14"/>
      <c r="N125" s="14"/>
    </row>
    <row r="126" spans="1:14" x14ac:dyDescent="0.25">
      <c r="A126" s="4"/>
      <c r="B126" s="14"/>
      <c r="C126" s="17" t="str">
        <f t="shared" si="2"/>
        <v>28.801011.-801.773..CLEAR SCHEDULE.</v>
      </c>
      <c r="D126" s="14"/>
      <c r="E126">
        <v>28</v>
      </c>
      <c r="F126">
        <v>801011</v>
      </c>
      <c r="G126" s="1">
        <v>-8.01</v>
      </c>
      <c r="H126" t="s">
        <v>524</v>
      </c>
      <c r="J126" s="18" t="s">
        <v>4327</v>
      </c>
      <c r="K126" s="18"/>
      <c r="L126" s="14"/>
      <c r="N126" s="14"/>
    </row>
    <row r="127" spans="1:14" x14ac:dyDescent="0.25">
      <c r="A127" s="4"/>
      <c r="B127" s="14"/>
      <c r="C127" s="17" t="str">
        <f t="shared" si="2"/>
        <v>28.801011.-1601.774..CLEAR SCHEDULE.</v>
      </c>
      <c r="D127" s="14"/>
      <c r="E127">
        <v>28</v>
      </c>
      <c r="F127">
        <v>801011</v>
      </c>
      <c r="G127" s="2">
        <v>-16.010000000000002</v>
      </c>
      <c r="H127" t="s">
        <v>525</v>
      </c>
      <c r="J127" s="18" t="s">
        <v>4327</v>
      </c>
      <c r="K127" s="18"/>
      <c r="L127" s="14"/>
      <c r="N127" s="14"/>
    </row>
    <row r="128" spans="1:14" x14ac:dyDescent="0.25">
      <c r="A128" s="4"/>
      <c r="B128" s="14"/>
      <c r="C128" s="17" t="str">
        <f t="shared" si="2"/>
        <v>28.801011.-2402.775..CLEAR SCHEDULE.</v>
      </c>
      <c r="D128" s="14"/>
      <c r="E128">
        <v>28</v>
      </c>
      <c r="F128">
        <v>801011</v>
      </c>
      <c r="G128" s="1">
        <v>-24.02</v>
      </c>
      <c r="H128" t="s">
        <v>526</v>
      </c>
      <c r="J128" s="18" t="s">
        <v>4327</v>
      </c>
      <c r="K128" s="18"/>
      <c r="L128" s="14"/>
      <c r="N128" s="14"/>
    </row>
    <row r="129" spans="1:14" x14ac:dyDescent="0.25">
      <c r="A129" s="4"/>
      <c r="B129" s="14"/>
      <c r="C129" s="17" t="str">
        <f t="shared" si="2"/>
        <v>28.801011.-101.776..CLEAR SCHEDULE.</v>
      </c>
      <c r="D129" s="14"/>
      <c r="E129">
        <v>28</v>
      </c>
      <c r="F129">
        <v>801011</v>
      </c>
      <c r="G129" s="2">
        <v>-1.01</v>
      </c>
      <c r="H129" t="s">
        <v>527</v>
      </c>
      <c r="J129" s="18" t="s">
        <v>4327</v>
      </c>
      <c r="K129" s="18"/>
      <c r="L129" s="14"/>
      <c r="N129" s="14"/>
    </row>
    <row r="130" spans="1:14" x14ac:dyDescent="0.25">
      <c r="A130" s="4"/>
      <c r="B130" s="14"/>
      <c r="C130" s="17" t="str">
        <f t="shared" si="2"/>
        <v>28.801011.-4189.777..CLEAR SCHEDULE.</v>
      </c>
      <c r="D130" s="14"/>
      <c r="E130">
        <v>28</v>
      </c>
      <c r="F130">
        <v>801011</v>
      </c>
      <c r="G130" s="1">
        <v>-41.89</v>
      </c>
      <c r="H130" t="s">
        <v>528</v>
      </c>
      <c r="J130" s="18" t="s">
        <v>4327</v>
      </c>
      <c r="K130" s="18"/>
      <c r="L130" s="14"/>
      <c r="N130" s="14"/>
    </row>
    <row r="131" spans="1:14" x14ac:dyDescent="0.25">
      <c r="A131" s="4"/>
      <c r="B131" s="14"/>
      <c r="C131" s="17" t="str">
        <f t="shared" si="2"/>
        <v>28.801011.-1693.779..CLEAR SCHEDULE.</v>
      </c>
      <c r="D131" s="14"/>
      <c r="E131">
        <v>28</v>
      </c>
      <c r="F131">
        <v>801011</v>
      </c>
      <c r="G131" s="2">
        <v>-16.93</v>
      </c>
      <c r="H131" t="s">
        <v>529</v>
      </c>
      <c r="J131" s="18" t="s">
        <v>4327</v>
      </c>
      <c r="K131" s="18"/>
      <c r="L131" s="14"/>
      <c r="N131" s="14"/>
    </row>
    <row r="132" spans="1:14" x14ac:dyDescent="0.25">
      <c r="A132" s="4"/>
      <c r="B132" s="14"/>
      <c r="C132" s="17" t="str">
        <f t="shared" si="2"/>
        <v>28.801011.-801.780..CLEAR SCHEDULE.</v>
      </c>
      <c r="D132" s="14"/>
      <c r="E132">
        <v>28</v>
      </c>
      <c r="F132">
        <v>801011</v>
      </c>
      <c r="G132" s="1">
        <v>-8.01</v>
      </c>
      <c r="H132" t="s">
        <v>530</v>
      </c>
      <c r="J132" s="18" t="s">
        <v>4327</v>
      </c>
      <c r="K132" s="18"/>
      <c r="L132" s="14"/>
      <c r="N132" s="14"/>
    </row>
    <row r="133" spans="1:14" x14ac:dyDescent="0.25">
      <c r="A133" s="4"/>
      <c r="B133" s="14"/>
      <c r="C133" s="17" t="str">
        <f t="shared" si="2"/>
        <v>28.801011.-20844.781..CLEAR SCHEDULE.</v>
      </c>
      <c r="D133" s="14"/>
      <c r="E133">
        <v>28</v>
      </c>
      <c r="F133">
        <v>801011</v>
      </c>
      <c r="G133" s="2">
        <v>-208.44</v>
      </c>
      <c r="H133" t="s">
        <v>531</v>
      </c>
      <c r="J133" s="18" t="s">
        <v>4327</v>
      </c>
      <c r="K133" s="18"/>
      <c r="L133" s="14"/>
      <c r="N133" s="14"/>
    </row>
    <row r="134" spans="1:14" x14ac:dyDescent="0.25">
      <c r="A134" s="4"/>
      <c r="B134" s="14"/>
      <c r="C134" s="17" t="str">
        <f t="shared" si="2"/>
        <v>28.801011.-745.782..CLEAR SCHEDULE.</v>
      </c>
      <c r="D134" s="14"/>
      <c r="E134">
        <v>28</v>
      </c>
      <c r="F134">
        <v>801011</v>
      </c>
      <c r="G134" s="1">
        <v>-7.45</v>
      </c>
      <c r="H134" t="s">
        <v>532</v>
      </c>
      <c r="J134" s="18" t="s">
        <v>4327</v>
      </c>
      <c r="K134" s="18"/>
      <c r="L134" s="14"/>
      <c r="N134" s="14"/>
    </row>
    <row r="135" spans="1:14" x14ac:dyDescent="0.25">
      <c r="A135" s="4"/>
      <c r="B135" s="14"/>
      <c r="C135" s="17" t="str">
        <f t="shared" si="2"/>
        <v>28.801011.-801.783..CLEAR SCHEDULE.</v>
      </c>
      <c r="D135" s="14"/>
      <c r="E135">
        <v>28</v>
      </c>
      <c r="F135">
        <v>801011</v>
      </c>
      <c r="G135" s="2">
        <v>-8.01</v>
      </c>
      <c r="H135" t="s">
        <v>533</v>
      </c>
      <c r="J135" s="18" t="s">
        <v>4327</v>
      </c>
      <c r="K135" s="18"/>
      <c r="L135" s="14"/>
      <c r="N135" s="14"/>
    </row>
    <row r="136" spans="1:14" x14ac:dyDescent="0.25">
      <c r="A136" s="4"/>
      <c r="B136" s="14"/>
      <c r="C136" s="17" t="str">
        <f t="shared" si="2"/>
        <v>28.801011.-801.784..CLEAR SCHEDULE.</v>
      </c>
      <c r="D136" s="14"/>
      <c r="E136">
        <v>28</v>
      </c>
      <c r="F136">
        <v>801011</v>
      </c>
      <c r="G136" s="1">
        <v>-8.01</v>
      </c>
      <c r="H136" t="s">
        <v>534</v>
      </c>
      <c r="J136" s="18" t="s">
        <v>4327</v>
      </c>
      <c r="K136" s="18"/>
      <c r="L136" s="14"/>
      <c r="N136" s="14"/>
    </row>
    <row r="137" spans="1:14" x14ac:dyDescent="0.25">
      <c r="A137" s="4"/>
      <c r="B137" s="14"/>
      <c r="C137" s="17" t="str">
        <f t="shared" si="2"/>
        <v>28.801011.-124.785..CLEAR SCHEDULE.</v>
      </c>
      <c r="D137" s="14"/>
      <c r="E137">
        <v>28</v>
      </c>
      <c r="F137">
        <v>801011</v>
      </c>
      <c r="G137" s="2">
        <v>-1.24</v>
      </c>
      <c r="H137" t="s">
        <v>535</v>
      </c>
      <c r="J137" s="18" t="s">
        <v>4327</v>
      </c>
      <c r="K137" s="18"/>
      <c r="L137" s="14"/>
      <c r="N137" s="14"/>
    </row>
    <row r="138" spans="1:14" x14ac:dyDescent="0.25">
      <c r="A138" s="4"/>
      <c r="B138" s="14"/>
      <c r="C138" s="17" t="str">
        <f t="shared" si="2"/>
        <v>28.801011.-22074.787..CLEAR SCHEDULE.</v>
      </c>
      <c r="D138" s="14"/>
      <c r="E138">
        <v>28</v>
      </c>
      <c r="F138">
        <v>801011</v>
      </c>
      <c r="G138" s="1">
        <v>-220.74</v>
      </c>
      <c r="H138" t="s">
        <v>536</v>
      </c>
      <c r="J138" s="18" t="s">
        <v>4327</v>
      </c>
      <c r="K138" s="18"/>
      <c r="L138" s="14"/>
      <c r="N138" s="14"/>
    </row>
    <row r="139" spans="1:14" x14ac:dyDescent="0.25">
      <c r="A139" s="4"/>
      <c r="B139" s="14"/>
      <c r="C139" s="17" t="str">
        <f t="shared" ref="C139:C202" si="3">IF(G139=0,"",(E139&amp;"."&amp;F139&amp;"."&amp;G139*100&amp;"."&amp;H139&amp;"."&amp;I139&amp;"."&amp;J139&amp;"."&amp;K139))</f>
        <v>28.801011.-25936.788..CLEAR SCHEDULE.</v>
      </c>
      <c r="D139" s="14"/>
      <c r="E139">
        <v>28</v>
      </c>
      <c r="F139">
        <v>801011</v>
      </c>
      <c r="G139" s="2">
        <v>-259.36</v>
      </c>
      <c r="H139" t="s">
        <v>537</v>
      </c>
      <c r="J139" s="18" t="s">
        <v>4327</v>
      </c>
      <c r="K139" s="18"/>
      <c r="L139" s="14"/>
      <c r="N139" s="14"/>
    </row>
    <row r="140" spans="1:14" x14ac:dyDescent="0.25">
      <c r="A140" s="4"/>
      <c r="B140" s="14"/>
      <c r="C140" s="17" t="str">
        <f t="shared" si="3"/>
        <v>28.801011.4000.790..CLEAR SCHEDULE.</v>
      </c>
      <c r="D140" s="14"/>
      <c r="E140">
        <v>28</v>
      </c>
      <c r="F140">
        <v>801011</v>
      </c>
      <c r="G140" s="1">
        <v>40</v>
      </c>
      <c r="H140" t="s">
        <v>538</v>
      </c>
      <c r="J140" s="18" t="s">
        <v>4327</v>
      </c>
      <c r="K140" s="18"/>
      <c r="L140" s="14"/>
      <c r="N140" s="14"/>
    </row>
    <row r="141" spans="1:14" x14ac:dyDescent="0.25">
      <c r="A141" s="4"/>
      <c r="B141" s="14"/>
      <c r="C141" s="17" t="str">
        <f t="shared" si="3"/>
        <v>28.801011.-52361.792..CLEAR SCHEDULE.</v>
      </c>
      <c r="D141" s="14"/>
      <c r="E141">
        <v>28</v>
      </c>
      <c r="F141">
        <v>801011</v>
      </c>
      <c r="G141" s="2">
        <v>-523.61</v>
      </c>
      <c r="H141" t="s">
        <v>539</v>
      </c>
      <c r="J141" s="18" t="s">
        <v>4327</v>
      </c>
      <c r="K141" s="18"/>
      <c r="L141" s="14"/>
      <c r="N141" s="14"/>
    </row>
    <row r="142" spans="1:14" x14ac:dyDescent="0.25">
      <c r="A142" s="4"/>
      <c r="B142" s="14"/>
      <c r="C142" s="17" t="str">
        <f t="shared" si="3"/>
        <v>28.801011.-801.793..CLEAR SCHEDULE.</v>
      </c>
      <c r="D142" s="14"/>
      <c r="E142">
        <v>28</v>
      </c>
      <c r="F142">
        <v>801011</v>
      </c>
      <c r="G142" s="1">
        <v>-8.01</v>
      </c>
      <c r="H142" t="s">
        <v>540</v>
      </c>
      <c r="J142" s="18" t="s">
        <v>4327</v>
      </c>
      <c r="K142" s="18"/>
      <c r="L142" s="14"/>
      <c r="N142" s="14"/>
    </row>
    <row r="143" spans="1:14" x14ac:dyDescent="0.25">
      <c r="A143" s="4"/>
      <c r="B143" s="14"/>
      <c r="C143" s="17" t="str">
        <f t="shared" si="3"/>
        <v>28.801011.-801.794..CLEAR SCHEDULE.</v>
      </c>
      <c r="D143" s="14"/>
      <c r="E143">
        <v>28</v>
      </c>
      <c r="F143">
        <v>801011</v>
      </c>
      <c r="G143" s="2">
        <v>-8.01</v>
      </c>
      <c r="H143" t="s">
        <v>541</v>
      </c>
      <c r="J143" s="18" t="s">
        <v>4327</v>
      </c>
      <c r="K143" s="18"/>
      <c r="L143" s="14"/>
      <c r="N143" s="14"/>
    </row>
    <row r="144" spans="1:14" x14ac:dyDescent="0.25">
      <c r="A144" s="4"/>
      <c r="B144" s="14"/>
      <c r="C144" s="17" t="str">
        <f t="shared" si="3"/>
        <v>28.801011.-6640.795..CLEAR SCHEDULE.</v>
      </c>
      <c r="D144" s="14"/>
      <c r="E144">
        <v>28</v>
      </c>
      <c r="F144">
        <v>801011</v>
      </c>
      <c r="G144" s="1">
        <v>-66.400000000000006</v>
      </c>
      <c r="H144" t="s">
        <v>542</v>
      </c>
      <c r="J144" s="18" t="s">
        <v>4327</v>
      </c>
      <c r="K144" s="18"/>
      <c r="L144" s="14"/>
      <c r="N144" s="14"/>
    </row>
    <row r="145" spans="1:14" x14ac:dyDescent="0.25">
      <c r="A145" s="4"/>
      <c r="B145" s="14"/>
      <c r="C145" s="17" t="str">
        <f t="shared" si="3"/>
        <v>28.801011.-22173.796..CLEAR SCHEDULE.</v>
      </c>
      <c r="D145" s="14"/>
      <c r="E145">
        <v>28</v>
      </c>
      <c r="F145">
        <v>801011</v>
      </c>
      <c r="G145" s="2">
        <v>-221.73</v>
      </c>
      <c r="H145" t="s">
        <v>543</v>
      </c>
      <c r="J145" s="18" t="s">
        <v>4327</v>
      </c>
      <c r="K145" s="18"/>
      <c r="L145" s="14"/>
      <c r="N145" s="14"/>
    </row>
    <row r="146" spans="1:14" x14ac:dyDescent="0.25">
      <c r="A146" s="4"/>
      <c r="B146" s="14"/>
      <c r="C146" s="17" t="str">
        <f t="shared" si="3"/>
        <v>28.801011.-3386.797..CLEAR SCHEDULE.</v>
      </c>
      <c r="D146" s="14"/>
      <c r="E146">
        <v>28</v>
      </c>
      <c r="F146">
        <v>801011</v>
      </c>
      <c r="G146" s="1">
        <v>-33.86</v>
      </c>
      <c r="H146" t="s">
        <v>544</v>
      </c>
      <c r="J146" s="18" t="s">
        <v>4327</v>
      </c>
      <c r="K146" s="18"/>
      <c r="L146" s="14"/>
      <c r="N146" s="14"/>
    </row>
    <row r="147" spans="1:14" x14ac:dyDescent="0.25">
      <c r="A147" s="4"/>
      <c r="B147" s="14"/>
      <c r="C147" s="17" t="str">
        <f t="shared" si="3"/>
        <v>28.801011.-25595.798..CLEAR SCHEDULE.</v>
      </c>
      <c r="D147" s="14"/>
      <c r="E147">
        <v>28</v>
      </c>
      <c r="F147">
        <v>801011</v>
      </c>
      <c r="G147" s="2">
        <v>-255.95</v>
      </c>
      <c r="H147" t="s">
        <v>545</v>
      </c>
      <c r="J147" s="18" t="s">
        <v>4327</v>
      </c>
      <c r="K147" s="18"/>
      <c r="L147" s="14"/>
      <c r="N147" s="14"/>
    </row>
    <row r="148" spans="1:14" x14ac:dyDescent="0.25">
      <c r="A148" s="4"/>
      <c r="B148" s="14"/>
      <c r="C148" s="17" t="str">
        <f t="shared" si="3"/>
        <v>28.801011.-801.799..CLEAR SCHEDULE.</v>
      </c>
      <c r="D148" s="14"/>
      <c r="E148">
        <v>28</v>
      </c>
      <c r="F148">
        <v>801011</v>
      </c>
      <c r="G148" s="1">
        <v>-8.01</v>
      </c>
      <c r="H148" t="s">
        <v>546</v>
      </c>
      <c r="J148" s="18" t="s">
        <v>4327</v>
      </c>
      <c r="K148" s="18"/>
      <c r="L148" s="14"/>
      <c r="N148" s="14"/>
    </row>
    <row r="149" spans="1:14" x14ac:dyDescent="0.25">
      <c r="A149" s="4"/>
      <c r="B149" s="14"/>
      <c r="C149" s="17" t="str">
        <f t="shared" si="3"/>
        <v>28.801011.-1693.800..CLEAR SCHEDULE.</v>
      </c>
      <c r="D149" s="14"/>
      <c r="E149">
        <v>28</v>
      </c>
      <c r="F149">
        <v>801011</v>
      </c>
      <c r="G149" s="2">
        <v>-16.93</v>
      </c>
      <c r="H149" t="s">
        <v>547</v>
      </c>
      <c r="J149" s="18" t="s">
        <v>4327</v>
      </c>
      <c r="K149" s="18"/>
      <c r="L149" s="14"/>
      <c r="N149" s="14"/>
    </row>
    <row r="150" spans="1:14" x14ac:dyDescent="0.25">
      <c r="A150" s="4"/>
      <c r="B150" s="14"/>
      <c r="C150" s="17" t="str">
        <f t="shared" si="3"/>
        <v>28.801011.-801.801..CLEAR SCHEDULE.</v>
      </c>
      <c r="D150" s="14"/>
      <c r="E150">
        <v>28</v>
      </c>
      <c r="F150">
        <v>801011</v>
      </c>
      <c r="G150" s="1">
        <v>-8.01</v>
      </c>
      <c r="H150" t="s">
        <v>548</v>
      </c>
      <c r="J150" s="18" t="s">
        <v>4327</v>
      </c>
      <c r="K150" s="18"/>
      <c r="L150" s="14"/>
      <c r="N150" s="14"/>
    </row>
    <row r="151" spans="1:14" x14ac:dyDescent="0.25">
      <c r="A151" s="4"/>
      <c r="B151" s="14"/>
      <c r="C151" s="17" t="str">
        <f t="shared" si="3"/>
        <v>28.801011.-11312.802..CLEAR SCHEDULE.</v>
      </c>
      <c r="D151" s="14"/>
      <c r="E151">
        <v>28</v>
      </c>
      <c r="F151">
        <v>801011</v>
      </c>
      <c r="G151" s="2">
        <v>-113.12</v>
      </c>
      <c r="H151" t="s">
        <v>549</v>
      </c>
      <c r="J151" s="18" t="s">
        <v>4327</v>
      </c>
      <c r="K151" s="18"/>
      <c r="L151" s="14"/>
      <c r="N151" s="14"/>
    </row>
    <row r="152" spans="1:14" x14ac:dyDescent="0.25">
      <c r="A152" s="4"/>
      <c r="B152" s="14"/>
      <c r="C152" s="17" t="str">
        <f t="shared" si="3"/>
        <v>28.801011.-25800.803..CLEAR SCHEDULE.</v>
      </c>
      <c r="D152" s="14"/>
      <c r="E152">
        <v>28</v>
      </c>
      <c r="F152">
        <v>801011</v>
      </c>
      <c r="G152" s="1">
        <v>-258</v>
      </c>
      <c r="H152" t="s">
        <v>550</v>
      </c>
      <c r="J152" s="18" t="s">
        <v>4327</v>
      </c>
      <c r="K152" s="18"/>
      <c r="L152" s="14"/>
      <c r="N152" s="14"/>
    </row>
    <row r="153" spans="1:14" x14ac:dyDescent="0.25">
      <c r="A153" s="4"/>
      <c r="B153" s="14"/>
      <c r="C153" s="17" t="str">
        <f t="shared" si="3"/>
        <v>28.801011.-801.804..CLEAR SCHEDULE.</v>
      </c>
      <c r="D153" s="14"/>
      <c r="E153">
        <v>28</v>
      </c>
      <c r="F153">
        <v>801011</v>
      </c>
      <c r="G153" s="2">
        <v>-8.01</v>
      </c>
      <c r="H153" t="s">
        <v>551</v>
      </c>
      <c r="J153" s="18" t="s">
        <v>4327</v>
      </c>
      <c r="K153" s="18"/>
      <c r="L153" s="14"/>
      <c r="N153" s="14"/>
    </row>
    <row r="154" spans="1:14" x14ac:dyDescent="0.25">
      <c r="A154" s="4"/>
      <c r="B154" s="14"/>
      <c r="C154" s="17" t="str">
        <f t="shared" si="3"/>
        <v>28.801011.-12974.805..CLEAR SCHEDULE.</v>
      </c>
      <c r="D154" s="14"/>
      <c r="E154">
        <v>28</v>
      </c>
      <c r="F154">
        <v>801011</v>
      </c>
      <c r="G154" s="1">
        <v>-129.74</v>
      </c>
      <c r="H154" t="s">
        <v>552</v>
      </c>
      <c r="J154" s="18" t="s">
        <v>4327</v>
      </c>
      <c r="K154" s="18"/>
      <c r="L154" s="14"/>
      <c r="N154" s="14"/>
    </row>
    <row r="155" spans="1:14" x14ac:dyDescent="0.25">
      <c r="A155" s="4"/>
      <c r="B155" s="14"/>
      <c r="C155" s="17" t="str">
        <f t="shared" si="3"/>
        <v>28.801011.-5718.807..CLEAR SCHEDULE.</v>
      </c>
      <c r="D155" s="14"/>
      <c r="E155">
        <v>28</v>
      </c>
      <c r="F155">
        <v>801011</v>
      </c>
      <c r="G155" s="2">
        <v>-57.18</v>
      </c>
      <c r="H155" t="s">
        <v>553</v>
      </c>
      <c r="J155" s="18" t="s">
        <v>4327</v>
      </c>
      <c r="K155" s="18"/>
      <c r="L155" s="14"/>
      <c r="N155" s="14"/>
    </row>
    <row r="156" spans="1:14" x14ac:dyDescent="0.25">
      <c r="A156" s="4"/>
      <c r="B156" s="14"/>
      <c r="C156" s="17" t="str">
        <f t="shared" si="3"/>
        <v>28.801011.-4329.808..CLEAR SCHEDULE.</v>
      </c>
      <c r="D156" s="14"/>
      <c r="E156">
        <v>28</v>
      </c>
      <c r="F156">
        <v>801011</v>
      </c>
      <c r="G156" s="1">
        <v>-43.29</v>
      </c>
      <c r="H156" t="s">
        <v>554</v>
      </c>
      <c r="J156" s="18" t="s">
        <v>4327</v>
      </c>
      <c r="K156" s="18"/>
      <c r="L156" s="14"/>
      <c r="N156" s="14"/>
    </row>
    <row r="157" spans="1:14" x14ac:dyDescent="0.25">
      <c r="A157" s="4"/>
      <c r="B157" s="14"/>
      <c r="C157" s="17" t="str">
        <f t="shared" si="3"/>
        <v>28.801011.-1601.809..CLEAR SCHEDULE.</v>
      </c>
      <c r="D157" s="14"/>
      <c r="E157">
        <v>28</v>
      </c>
      <c r="F157">
        <v>801011</v>
      </c>
      <c r="G157" s="2">
        <v>-16.010000000000002</v>
      </c>
      <c r="H157" t="s">
        <v>555</v>
      </c>
      <c r="J157" s="18" t="s">
        <v>4327</v>
      </c>
      <c r="K157" s="18"/>
      <c r="L157" s="14"/>
      <c r="N157" s="14"/>
    </row>
    <row r="158" spans="1:14" x14ac:dyDescent="0.25">
      <c r="A158" s="4"/>
      <c r="B158" s="14"/>
      <c r="C158" s="17" t="str">
        <f t="shared" si="3"/>
        <v>28.801011.-18952.810..CLEAR SCHEDULE.</v>
      </c>
      <c r="D158" s="14"/>
      <c r="E158">
        <v>28</v>
      </c>
      <c r="F158">
        <v>801011</v>
      </c>
      <c r="G158" s="1">
        <v>-189.52</v>
      </c>
      <c r="H158" t="s">
        <v>556</v>
      </c>
      <c r="J158" s="18" t="s">
        <v>4327</v>
      </c>
      <c r="K158" s="18"/>
      <c r="L158" s="14"/>
      <c r="N158" s="14"/>
    </row>
    <row r="159" spans="1:14" x14ac:dyDescent="0.25">
      <c r="A159" s="4"/>
      <c r="B159" s="14"/>
      <c r="C159" s="17" t="str">
        <f t="shared" si="3"/>
        <v>28.801011.-2130.811..CLEAR SCHEDULE.</v>
      </c>
      <c r="D159" s="14"/>
      <c r="E159">
        <v>28</v>
      </c>
      <c r="F159">
        <v>801011</v>
      </c>
      <c r="G159" s="2">
        <v>-21.3</v>
      </c>
      <c r="H159" t="s">
        <v>557</v>
      </c>
      <c r="J159" s="18" t="s">
        <v>4327</v>
      </c>
      <c r="K159" s="18"/>
      <c r="L159" s="14"/>
      <c r="N159" s="14"/>
    </row>
    <row r="160" spans="1:14" x14ac:dyDescent="0.25">
      <c r="A160" s="4"/>
      <c r="B160" s="14"/>
      <c r="C160" s="17" t="str">
        <f t="shared" si="3"/>
        <v>28.801011.-801.813..CLEAR SCHEDULE.</v>
      </c>
      <c r="D160" s="14"/>
      <c r="E160">
        <v>28</v>
      </c>
      <c r="F160">
        <v>801011</v>
      </c>
      <c r="G160" s="1">
        <v>-8.01</v>
      </c>
      <c r="H160" t="s">
        <v>558</v>
      </c>
      <c r="J160" s="18" t="s">
        <v>4327</v>
      </c>
      <c r="K160" s="18"/>
      <c r="L160" s="14"/>
      <c r="N160" s="14"/>
    </row>
    <row r="161" spans="1:14" x14ac:dyDescent="0.25">
      <c r="A161" s="4"/>
      <c r="B161" s="14"/>
      <c r="C161" s="17" t="str">
        <f t="shared" si="3"/>
        <v>28.801011.-11364.814..CLEAR SCHEDULE.</v>
      </c>
      <c r="D161" s="14"/>
      <c r="E161">
        <v>28</v>
      </c>
      <c r="F161">
        <v>801011</v>
      </c>
      <c r="G161" s="2">
        <v>-113.64</v>
      </c>
      <c r="H161" t="s">
        <v>559</v>
      </c>
      <c r="J161" s="18" t="s">
        <v>4327</v>
      </c>
      <c r="K161" s="18"/>
      <c r="L161" s="14"/>
      <c r="N161" s="14"/>
    </row>
    <row r="162" spans="1:14" x14ac:dyDescent="0.25">
      <c r="A162" s="4"/>
      <c r="B162" s="14"/>
      <c r="C162" s="17" t="str">
        <f t="shared" si="3"/>
        <v>28.801011.-1703.815..CLEAR SCHEDULE.</v>
      </c>
      <c r="D162" s="14"/>
      <c r="E162">
        <v>28</v>
      </c>
      <c r="F162">
        <v>801011</v>
      </c>
      <c r="G162" s="1">
        <v>-17.03</v>
      </c>
      <c r="H162" t="s">
        <v>560</v>
      </c>
      <c r="J162" s="18" t="s">
        <v>4327</v>
      </c>
      <c r="K162" s="18"/>
      <c r="L162" s="14"/>
      <c r="N162" s="14"/>
    </row>
    <row r="163" spans="1:14" x14ac:dyDescent="0.25">
      <c r="A163" s="4"/>
      <c r="B163" s="14"/>
      <c r="C163" s="17" t="str">
        <f t="shared" si="3"/>
        <v>28.801011.-1693.816..CLEAR SCHEDULE.</v>
      </c>
      <c r="D163" s="14"/>
      <c r="E163">
        <v>28</v>
      </c>
      <c r="F163">
        <v>801011</v>
      </c>
      <c r="G163" s="2">
        <v>-16.93</v>
      </c>
      <c r="H163" t="s">
        <v>561</v>
      </c>
      <c r="J163" s="18" t="s">
        <v>4327</v>
      </c>
      <c r="K163" s="18"/>
      <c r="L163" s="14"/>
      <c r="N163" s="14"/>
    </row>
    <row r="164" spans="1:14" x14ac:dyDescent="0.25">
      <c r="A164" s="4"/>
      <c r="B164" s="14"/>
      <c r="C164" s="17" t="str">
        <f t="shared" si="3"/>
        <v>28.801011.-5165.817..CLEAR SCHEDULE.</v>
      </c>
      <c r="D164" s="14"/>
      <c r="E164">
        <v>28</v>
      </c>
      <c r="F164">
        <v>801011</v>
      </c>
      <c r="G164" s="1">
        <v>-51.65</v>
      </c>
      <c r="H164" t="s">
        <v>562</v>
      </c>
      <c r="J164" s="18" t="s">
        <v>4327</v>
      </c>
      <c r="K164" s="18"/>
      <c r="L164" s="14"/>
      <c r="N164" s="14"/>
    </row>
    <row r="165" spans="1:14" x14ac:dyDescent="0.25">
      <c r="A165" s="4"/>
      <c r="B165" s="14"/>
      <c r="C165" s="17" t="str">
        <f t="shared" si="3"/>
        <v>28.801011.-448.818..CLEAR SCHEDULE.</v>
      </c>
      <c r="D165" s="14"/>
      <c r="E165">
        <v>28</v>
      </c>
      <c r="F165">
        <v>801011</v>
      </c>
      <c r="G165" s="2">
        <v>-4.4800000000000004</v>
      </c>
      <c r="H165" t="s">
        <v>563</v>
      </c>
      <c r="J165" s="18" t="s">
        <v>4327</v>
      </c>
      <c r="K165" s="18"/>
      <c r="L165" s="14"/>
      <c r="N165" s="14"/>
    </row>
    <row r="166" spans="1:14" x14ac:dyDescent="0.25">
      <c r="A166" s="4"/>
      <c r="B166" s="14"/>
      <c r="C166" s="17" t="str">
        <f t="shared" si="3"/>
        <v>28.801011.-5182.820..CLEAR SCHEDULE.</v>
      </c>
      <c r="D166" s="14"/>
      <c r="E166">
        <v>28</v>
      </c>
      <c r="F166">
        <v>801011</v>
      </c>
      <c r="G166" s="1">
        <v>-51.82</v>
      </c>
      <c r="H166" t="s">
        <v>564</v>
      </c>
      <c r="J166" s="18" t="s">
        <v>4327</v>
      </c>
      <c r="K166" s="18"/>
      <c r="L166" s="14"/>
      <c r="N166" s="14"/>
    </row>
    <row r="167" spans="1:14" x14ac:dyDescent="0.25">
      <c r="A167" s="4"/>
      <c r="B167" s="14"/>
      <c r="C167" s="17" t="str">
        <f t="shared" si="3"/>
        <v>28.801011.-1601.821..CLEAR SCHEDULE.</v>
      </c>
      <c r="D167" s="14"/>
      <c r="E167">
        <v>28</v>
      </c>
      <c r="F167">
        <v>801011</v>
      </c>
      <c r="G167" s="2">
        <v>-16.010000000000002</v>
      </c>
      <c r="H167" t="s">
        <v>565</v>
      </c>
      <c r="J167" s="18" t="s">
        <v>4327</v>
      </c>
      <c r="K167" s="18"/>
      <c r="L167" s="14"/>
      <c r="N167" s="14"/>
    </row>
    <row r="168" spans="1:14" x14ac:dyDescent="0.25">
      <c r="A168" s="4"/>
      <c r="B168" s="14"/>
      <c r="C168" s="17" t="str">
        <f t="shared" si="3"/>
        <v>28.801011.-4467.822..CLEAR SCHEDULE.</v>
      </c>
      <c r="D168" s="14"/>
      <c r="E168">
        <v>28</v>
      </c>
      <c r="F168">
        <v>801011</v>
      </c>
      <c r="G168" s="1">
        <v>-44.67</v>
      </c>
      <c r="H168" t="s">
        <v>566</v>
      </c>
      <c r="J168" s="18" t="s">
        <v>4327</v>
      </c>
      <c r="K168" s="18"/>
      <c r="L168" s="14"/>
      <c r="N168" s="14"/>
    </row>
    <row r="169" spans="1:14" x14ac:dyDescent="0.25">
      <c r="A169" s="4"/>
      <c r="B169" s="14"/>
      <c r="C169" s="17" t="str">
        <f t="shared" si="3"/>
        <v>28.801011.-4020.823..CLEAR SCHEDULE.</v>
      </c>
      <c r="D169" s="14"/>
      <c r="E169">
        <v>28</v>
      </c>
      <c r="F169">
        <v>801011</v>
      </c>
      <c r="G169" s="2">
        <v>-40.200000000000003</v>
      </c>
      <c r="H169" t="s">
        <v>567</v>
      </c>
      <c r="J169" s="18" t="s">
        <v>4327</v>
      </c>
      <c r="K169" s="18"/>
      <c r="L169" s="14"/>
      <c r="N169" s="14"/>
    </row>
    <row r="170" spans="1:14" x14ac:dyDescent="0.25">
      <c r="A170" s="4"/>
      <c r="B170" s="14"/>
      <c r="C170" s="17" t="str">
        <f t="shared" si="3"/>
        <v>28.801011.4467.824..CLEAR SCHEDULE.</v>
      </c>
      <c r="D170" s="14"/>
      <c r="E170">
        <v>28</v>
      </c>
      <c r="F170">
        <v>801011</v>
      </c>
      <c r="G170" s="1">
        <v>44.67</v>
      </c>
      <c r="H170" t="s">
        <v>568</v>
      </c>
      <c r="J170" s="18" t="s">
        <v>4327</v>
      </c>
      <c r="K170" s="18"/>
      <c r="L170" s="14"/>
      <c r="N170" s="14"/>
    </row>
    <row r="171" spans="1:14" x14ac:dyDescent="0.25">
      <c r="A171" s="4"/>
      <c r="B171" s="14"/>
      <c r="C171" s="17" t="str">
        <f t="shared" si="3"/>
        <v>28.801011.-801.825..CLEAR SCHEDULE.</v>
      </c>
      <c r="D171" s="14"/>
      <c r="E171">
        <v>28</v>
      </c>
      <c r="F171">
        <v>801011</v>
      </c>
      <c r="G171" s="2">
        <v>-8.01</v>
      </c>
      <c r="H171" t="s">
        <v>569</v>
      </c>
      <c r="J171" s="18" t="s">
        <v>4327</v>
      </c>
      <c r="K171" s="18"/>
      <c r="L171" s="14"/>
      <c r="N171" s="14"/>
    </row>
    <row r="172" spans="1:14" x14ac:dyDescent="0.25">
      <c r="A172" s="4"/>
      <c r="B172" s="14"/>
      <c r="C172" s="17" t="str">
        <f t="shared" si="3"/>
        <v>28.801011.-4817.827..CLEAR SCHEDULE.</v>
      </c>
      <c r="D172" s="14"/>
      <c r="E172">
        <v>28</v>
      </c>
      <c r="F172">
        <v>801011</v>
      </c>
      <c r="G172" s="1">
        <v>-48.17</v>
      </c>
      <c r="H172" t="s">
        <v>570</v>
      </c>
      <c r="J172" s="18" t="s">
        <v>4327</v>
      </c>
      <c r="K172" s="18"/>
      <c r="L172" s="14"/>
      <c r="N172" s="14"/>
    </row>
    <row r="173" spans="1:14" x14ac:dyDescent="0.25">
      <c r="A173" s="4"/>
      <c r="B173" s="14"/>
      <c r="C173" s="17" t="str">
        <f t="shared" si="3"/>
        <v>28.801011.-1601.828..CLEAR SCHEDULE.</v>
      </c>
      <c r="D173" s="14"/>
      <c r="E173">
        <v>28</v>
      </c>
      <c r="F173">
        <v>801011</v>
      </c>
      <c r="G173" s="2">
        <v>-16.010000000000002</v>
      </c>
      <c r="H173" t="s">
        <v>571</v>
      </c>
      <c r="J173" s="18" t="s">
        <v>4327</v>
      </c>
      <c r="K173" s="18"/>
      <c r="L173" s="14"/>
      <c r="N173" s="14"/>
    </row>
    <row r="174" spans="1:14" x14ac:dyDescent="0.25">
      <c r="A174" s="4"/>
      <c r="B174" s="14"/>
      <c r="C174" s="17" t="str">
        <f t="shared" si="3"/>
        <v>28.801011.-5818.829..CLEAR SCHEDULE.</v>
      </c>
      <c r="D174" s="14"/>
      <c r="E174">
        <v>28</v>
      </c>
      <c r="F174">
        <v>801011</v>
      </c>
      <c r="G174" s="1">
        <v>-58.18</v>
      </c>
      <c r="H174" t="s">
        <v>572</v>
      </c>
      <c r="J174" s="18" t="s">
        <v>4327</v>
      </c>
      <c r="K174" s="18"/>
      <c r="L174" s="14"/>
      <c r="N174" s="14"/>
    </row>
    <row r="175" spans="1:14" x14ac:dyDescent="0.25">
      <c r="A175" s="4"/>
      <c r="B175" s="14"/>
      <c r="C175" s="17" t="str">
        <f t="shared" si="3"/>
        <v>28.801011.-6640.830..CLEAR SCHEDULE.</v>
      </c>
      <c r="D175" s="14"/>
      <c r="E175">
        <v>28</v>
      </c>
      <c r="F175">
        <v>801011</v>
      </c>
      <c r="G175" s="2">
        <v>-66.400000000000006</v>
      </c>
      <c r="H175" t="s">
        <v>573</v>
      </c>
      <c r="J175" s="18" t="s">
        <v>4327</v>
      </c>
      <c r="K175" s="18"/>
      <c r="L175" s="14"/>
      <c r="N175" s="14"/>
    </row>
    <row r="176" spans="1:14" x14ac:dyDescent="0.25">
      <c r="A176" s="4"/>
      <c r="B176" s="14"/>
      <c r="C176" s="17" t="str">
        <f t="shared" si="3"/>
        <v>28.801011.-19939.831..CLEAR SCHEDULE.</v>
      </c>
      <c r="D176" s="14"/>
      <c r="E176">
        <v>28</v>
      </c>
      <c r="F176">
        <v>801011</v>
      </c>
      <c r="G176" s="1">
        <v>-199.39</v>
      </c>
      <c r="H176" t="s">
        <v>574</v>
      </c>
      <c r="J176" s="18" t="s">
        <v>4327</v>
      </c>
      <c r="K176" s="18"/>
      <c r="L176" s="14"/>
      <c r="N176" s="14"/>
    </row>
    <row r="177" spans="1:14" x14ac:dyDescent="0.25">
      <c r="A177" s="4"/>
      <c r="B177" s="14"/>
      <c r="C177" s="17" t="str">
        <f t="shared" si="3"/>
        <v>28.801011.-2978.832..CLEAR SCHEDULE.</v>
      </c>
      <c r="D177" s="14"/>
      <c r="E177">
        <v>28</v>
      </c>
      <c r="F177">
        <v>801011</v>
      </c>
      <c r="G177" s="2">
        <v>-29.78</v>
      </c>
      <c r="H177" t="s">
        <v>575</v>
      </c>
      <c r="J177" s="18" t="s">
        <v>4327</v>
      </c>
      <c r="K177" s="18"/>
      <c r="L177" s="14"/>
      <c r="N177" s="14"/>
    </row>
    <row r="178" spans="1:14" x14ac:dyDescent="0.25">
      <c r="A178" s="4"/>
      <c r="B178" s="14"/>
      <c r="C178" s="17" t="str">
        <f t="shared" si="3"/>
        <v>28.801011.-2508.833..CLEAR SCHEDULE.</v>
      </c>
      <c r="D178" s="14"/>
      <c r="E178">
        <v>28</v>
      </c>
      <c r="F178">
        <v>801011</v>
      </c>
      <c r="G178" s="1">
        <v>-25.08</v>
      </c>
      <c r="H178" t="s">
        <v>576</v>
      </c>
      <c r="J178" s="18" t="s">
        <v>4327</v>
      </c>
      <c r="K178" s="18"/>
      <c r="L178" s="14"/>
      <c r="N178" s="14"/>
    </row>
    <row r="179" spans="1:14" x14ac:dyDescent="0.25">
      <c r="A179" s="4"/>
      <c r="B179" s="14"/>
      <c r="C179" s="17" t="str">
        <f t="shared" si="3"/>
        <v>28.801011.-4158.834..CLEAR SCHEDULE.</v>
      </c>
      <c r="D179" s="14"/>
      <c r="E179">
        <v>28</v>
      </c>
      <c r="F179">
        <v>801011</v>
      </c>
      <c r="G179" s="2">
        <v>-41.58</v>
      </c>
      <c r="H179" t="s">
        <v>577</v>
      </c>
      <c r="J179" s="18" t="s">
        <v>4327</v>
      </c>
      <c r="K179" s="18"/>
      <c r="L179" s="14"/>
      <c r="N179" s="14"/>
    </row>
    <row r="180" spans="1:14" x14ac:dyDescent="0.25">
      <c r="A180" s="4"/>
      <c r="B180" s="14"/>
      <c r="C180" s="17" t="str">
        <f t="shared" si="3"/>
        <v>28.801011.-4532.835..CLEAR SCHEDULE.</v>
      </c>
      <c r="D180" s="14"/>
      <c r="E180">
        <v>28</v>
      </c>
      <c r="F180">
        <v>801011</v>
      </c>
      <c r="G180" s="1">
        <v>-45.32</v>
      </c>
      <c r="H180" t="s">
        <v>578</v>
      </c>
      <c r="J180" s="18" t="s">
        <v>4327</v>
      </c>
      <c r="K180" s="18"/>
      <c r="L180" s="14"/>
      <c r="N180" s="14"/>
    </row>
    <row r="181" spans="1:14" x14ac:dyDescent="0.25">
      <c r="A181" s="4"/>
      <c r="B181" s="14"/>
      <c r="C181" s="17" t="str">
        <f t="shared" si="3"/>
        <v>28.801011.-18615.836..CLEAR SCHEDULE.</v>
      </c>
      <c r="D181" s="14"/>
      <c r="E181">
        <v>28</v>
      </c>
      <c r="F181">
        <v>801011</v>
      </c>
      <c r="G181" s="2">
        <v>-186.15</v>
      </c>
      <c r="H181" t="s">
        <v>579</v>
      </c>
      <c r="J181" s="18" t="s">
        <v>4327</v>
      </c>
      <c r="K181" s="18"/>
      <c r="L181" s="14"/>
      <c r="N181" s="14"/>
    </row>
    <row r="182" spans="1:14" x14ac:dyDescent="0.25">
      <c r="A182" s="4"/>
      <c r="B182" s="14"/>
      <c r="C182" s="17" t="str">
        <f t="shared" si="3"/>
        <v>28.801011.-5165.837..CLEAR SCHEDULE.</v>
      </c>
      <c r="D182" s="14"/>
      <c r="E182">
        <v>28</v>
      </c>
      <c r="F182">
        <v>801011</v>
      </c>
      <c r="G182" s="1">
        <v>-51.65</v>
      </c>
      <c r="H182" t="s">
        <v>580</v>
      </c>
      <c r="J182" s="18" t="s">
        <v>4327</v>
      </c>
      <c r="K182" s="18"/>
      <c r="L182" s="14"/>
      <c r="N182" s="14"/>
    </row>
    <row r="183" spans="1:14" x14ac:dyDescent="0.25">
      <c r="A183" s="4"/>
      <c r="B183" s="14"/>
      <c r="C183" s="17" t="str">
        <f t="shared" si="3"/>
        <v>28.801011.-3736.838..CLEAR SCHEDULE.</v>
      </c>
      <c r="D183" s="14"/>
      <c r="E183">
        <v>28</v>
      </c>
      <c r="F183">
        <v>801011</v>
      </c>
      <c r="G183" s="2">
        <v>-37.36</v>
      </c>
      <c r="H183" t="s">
        <v>581</v>
      </c>
      <c r="J183" s="18" t="s">
        <v>4327</v>
      </c>
      <c r="K183" s="18"/>
      <c r="L183" s="14"/>
      <c r="N183" s="14"/>
    </row>
    <row r="184" spans="1:14" x14ac:dyDescent="0.25">
      <c r="A184" s="4"/>
      <c r="B184" s="14"/>
      <c r="C184" s="17" t="str">
        <f t="shared" si="3"/>
        <v>28.801011.-8102.839..CLEAR SCHEDULE.</v>
      </c>
      <c r="D184" s="14"/>
      <c r="E184">
        <v>28</v>
      </c>
      <c r="F184">
        <v>801011</v>
      </c>
      <c r="G184" s="1">
        <v>-81.02</v>
      </c>
      <c r="H184" t="s">
        <v>582</v>
      </c>
      <c r="J184" s="18" t="s">
        <v>4327</v>
      </c>
      <c r="K184" s="18"/>
      <c r="L184" s="14"/>
      <c r="N184" s="14"/>
    </row>
    <row r="185" spans="1:14" x14ac:dyDescent="0.25">
      <c r="A185" s="4"/>
      <c r="B185" s="14"/>
      <c r="C185" s="17" t="str">
        <f t="shared" si="3"/>
        <v>28.801011.-69815.840..CLEAR SCHEDULE.</v>
      </c>
      <c r="D185" s="14"/>
      <c r="E185">
        <v>28</v>
      </c>
      <c r="F185">
        <v>801011</v>
      </c>
      <c r="G185" s="2">
        <v>-698.15</v>
      </c>
      <c r="H185" t="s">
        <v>583</v>
      </c>
      <c r="J185" s="18" t="s">
        <v>4327</v>
      </c>
      <c r="K185" s="18"/>
      <c r="L185" s="14"/>
      <c r="N185" s="14"/>
    </row>
    <row r="186" spans="1:14" x14ac:dyDescent="0.25">
      <c r="A186" s="4"/>
      <c r="B186" s="14"/>
      <c r="C186" s="17" t="str">
        <f t="shared" si="3"/>
        <v>28.801011.-801.841..CLEAR SCHEDULE.</v>
      </c>
      <c r="D186" s="14"/>
      <c r="E186">
        <v>28</v>
      </c>
      <c r="F186">
        <v>801011</v>
      </c>
      <c r="G186" s="1">
        <v>-8.01</v>
      </c>
      <c r="H186" t="s">
        <v>584</v>
      </c>
      <c r="J186" s="18" t="s">
        <v>4327</v>
      </c>
      <c r="K186" s="18"/>
      <c r="L186" s="14"/>
      <c r="N186" s="14"/>
    </row>
    <row r="187" spans="1:14" x14ac:dyDescent="0.25">
      <c r="A187" s="4"/>
      <c r="B187" s="14"/>
      <c r="C187" s="17" t="str">
        <f t="shared" si="3"/>
        <v>28.801011.-801.842..CLEAR SCHEDULE.</v>
      </c>
      <c r="D187" s="14"/>
      <c r="E187">
        <v>28</v>
      </c>
      <c r="F187">
        <v>801011</v>
      </c>
      <c r="G187" s="2">
        <v>-8.01</v>
      </c>
      <c r="H187" t="s">
        <v>585</v>
      </c>
      <c r="J187" s="18" t="s">
        <v>4327</v>
      </c>
      <c r="K187" s="18"/>
      <c r="L187" s="14"/>
      <c r="N187" s="14"/>
    </row>
    <row r="188" spans="1:14" x14ac:dyDescent="0.25">
      <c r="A188" s="4"/>
      <c r="B188" s="14"/>
      <c r="C188" s="17" t="str">
        <f t="shared" si="3"/>
        <v>28.801011.-8794.844..CLEAR SCHEDULE.</v>
      </c>
      <c r="D188" s="14"/>
      <c r="E188">
        <v>28</v>
      </c>
      <c r="F188">
        <v>801011</v>
      </c>
      <c r="G188" s="1">
        <v>-87.94</v>
      </c>
      <c r="H188" t="s">
        <v>586</v>
      </c>
      <c r="J188" s="18" t="s">
        <v>4327</v>
      </c>
      <c r="K188" s="18"/>
      <c r="L188" s="14"/>
      <c r="N188" s="14"/>
    </row>
    <row r="189" spans="1:14" x14ac:dyDescent="0.25">
      <c r="A189" s="4"/>
      <c r="B189" s="14"/>
      <c r="C189" s="17" t="str">
        <f t="shared" si="3"/>
        <v>28.801011.-14230.845..CLEAR SCHEDULE.</v>
      </c>
      <c r="D189" s="14"/>
      <c r="E189">
        <v>28</v>
      </c>
      <c r="F189">
        <v>801011</v>
      </c>
      <c r="G189" s="2">
        <v>-142.30000000000001</v>
      </c>
      <c r="H189" t="s">
        <v>587</v>
      </c>
      <c r="J189" s="18" t="s">
        <v>4327</v>
      </c>
      <c r="K189" s="18"/>
      <c r="L189" s="14"/>
      <c r="N189" s="14"/>
    </row>
    <row r="190" spans="1:14" x14ac:dyDescent="0.25">
      <c r="A190" s="4"/>
      <c r="B190" s="14"/>
      <c r="C190" s="17" t="str">
        <f t="shared" si="3"/>
        <v>28.801011.-1693.846..CLEAR SCHEDULE.</v>
      </c>
      <c r="D190" s="14"/>
      <c r="E190">
        <v>28</v>
      </c>
      <c r="F190">
        <v>801011</v>
      </c>
      <c r="G190" s="1">
        <v>-16.93</v>
      </c>
      <c r="H190" t="s">
        <v>588</v>
      </c>
      <c r="J190" s="18" t="s">
        <v>4327</v>
      </c>
      <c r="K190" s="18"/>
      <c r="L190" s="14"/>
      <c r="N190" s="14"/>
    </row>
    <row r="191" spans="1:14" x14ac:dyDescent="0.25">
      <c r="A191" s="4"/>
      <c r="B191" s="14"/>
      <c r="C191" s="17" t="str">
        <f t="shared" si="3"/>
        <v>28.801011.5182.848..CLEAR SCHEDULE.</v>
      </c>
      <c r="D191" s="14"/>
      <c r="E191">
        <v>28</v>
      </c>
      <c r="F191">
        <v>801011</v>
      </c>
      <c r="G191" s="2">
        <v>51.82</v>
      </c>
      <c r="H191" t="s">
        <v>589</v>
      </c>
      <c r="J191" s="18" t="s">
        <v>4327</v>
      </c>
      <c r="K191" s="18"/>
      <c r="L191" s="14"/>
      <c r="N191" s="14"/>
    </row>
    <row r="192" spans="1:14" x14ac:dyDescent="0.25">
      <c r="A192" s="4"/>
      <c r="B192" s="14"/>
      <c r="C192" s="17" t="str">
        <f t="shared" si="3"/>
        <v>28.801011.-5182.849..CLEAR SCHEDULE.</v>
      </c>
      <c r="D192" s="14"/>
      <c r="E192">
        <v>28</v>
      </c>
      <c r="F192">
        <v>801011</v>
      </c>
      <c r="G192" s="1">
        <v>-51.82</v>
      </c>
      <c r="H192" t="s">
        <v>590</v>
      </c>
      <c r="J192" s="18" t="s">
        <v>4327</v>
      </c>
      <c r="K192" s="18"/>
      <c r="L192" s="14"/>
      <c r="N192" s="14"/>
    </row>
    <row r="193" spans="1:14" x14ac:dyDescent="0.25">
      <c r="A193" s="4"/>
      <c r="B193" s="14"/>
      <c r="C193" s="17" t="str">
        <f t="shared" si="3"/>
        <v>28.801011.-1687.850..CLEAR SCHEDULE.</v>
      </c>
      <c r="D193" s="14"/>
      <c r="E193">
        <v>28</v>
      </c>
      <c r="F193">
        <v>801011</v>
      </c>
      <c r="G193" s="2">
        <v>-16.87</v>
      </c>
      <c r="H193" t="s">
        <v>591</v>
      </c>
      <c r="J193" s="18" t="s">
        <v>4327</v>
      </c>
      <c r="K193" s="18"/>
      <c r="L193" s="14"/>
      <c r="N193" s="14"/>
    </row>
    <row r="194" spans="1:14" x14ac:dyDescent="0.25">
      <c r="A194" s="4"/>
      <c r="B194" s="14"/>
      <c r="C194" s="17" t="str">
        <f t="shared" si="3"/>
        <v>28.801011.-801.851..CLEAR SCHEDULE.</v>
      </c>
      <c r="D194" s="14"/>
      <c r="E194">
        <v>28</v>
      </c>
      <c r="F194">
        <v>801011</v>
      </c>
      <c r="G194" s="1">
        <v>-8.01</v>
      </c>
      <c r="H194" t="s">
        <v>592</v>
      </c>
      <c r="J194" s="18" t="s">
        <v>4327</v>
      </c>
      <c r="K194" s="18"/>
      <c r="L194" s="14"/>
      <c r="N194" s="14"/>
    </row>
    <row r="195" spans="1:14" x14ac:dyDescent="0.25">
      <c r="A195" s="4"/>
      <c r="B195" s="14"/>
      <c r="C195" s="17" t="str">
        <f t="shared" si="3"/>
        <v>28.801011.-125894.852..CLEAR SCHEDULE.</v>
      </c>
      <c r="D195" s="14"/>
      <c r="E195">
        <v>28</v>
      </c>
      <c r="F195">
        <v>801011</v>
      </c>
      <c r="G195" s="2">
        <v>-1258.94</v>
      </c>
      <c r="H195" t="s">
        <v>593</v>
      </c>
      <c r="J195" s="18" t="s">
        <v>4327</v>
      </c>
      <c r="K195" s="18"/>
      <c r="L195" s="14"/>
      <c r="N195" s="14"/>
    </row>
    <row r="196" spans="1:14" x14ac:dyDescent="0.25">
      <c r="A196" s="4"/>
      <c r="B196" s="14"/>
      <c r="C196" s="17" t="str">
        <f t="shared" si="3"/>
        <v>28.801011.-20643.853..CLEAR SCHEDULE.</v>
      </c>
      <c r="D196" s="14"/>
      <c r="E196">
        <v>28</v>
      </c>
      <c r="F196">
        <v>801011</v>
      </c>
      <c r="G196" s="1">
        <v>-206.43</v>
      </c>
      <c r="H196" t="s">
        <v>594</v>
      </c>
      <c r="J196" s="18" t="s">
        <v>4327</v>
      </c>
      <c r="K196" s="18"/>
      <c r="L196" s="14"/>
      <c r="N196" s="14"/>
    </row>
    <row r="197" spans="1:14" x14ac:dyDescent="0.25">
      <c r="A197" s="4"/>
      <c r="B197" s="14"/>
      <c r="C197" s="17" t="str">
        <f t="shared" si="3"/>
        <v>28.801011.-843.855..CLEAR SCHEDULE.</v>
      </c>
      <c r="D197" s="14"/>
      <c r="E197">
        <v>28</v>
      </c>
      <c r="F197">
        <v>801011</v>
      </c>
      <c r="G197" s="2">
        <v>-8.43</v>
      </c>
      <c r="H197" t="s">
        <v>595</v>
      </c>
      <c r="J197" s="18" t="s">
        <v>4327</v>
      </c>
      <c r="K197" s="18"/>
      <c r="L197" s="14"/>
      <c r="N197" s="14"/>
    </row>
    <row r="198" spans="1:14" x14ac:dyDescent="0.25">
      <c r="A198" s="4"/>
      <c r="B198" s="14"/>
      <c r="C198" s="17" t="str">
        <f t="shared" si="3"/>
        <v>28.801011.-3522.856..CLEAR SCHEDULE.</v>
      </c>
      <c r="D198" s="14"/>
      <c r="E198">
        <v>28</v>
      </c>
      <c r="F198">
        <v>801011</v>
      </c>
      <c r="G198" s="1">
        <v>-35.22</v>
      </c>
      <c r="H198" t="s">
        <v>596</v>
      </c>
      <c r="J198" s="18" t="s">
        <v>4327</v>
      </c>
      <c r="K198" s="18"/>
      <c r="L198" s="14"/>
      <c r="N198" s="14"/>
    </row>
    <row r="199" spans="1:14" x14ac:dyDescent="0.25">
      <c r="A199" s="4"/>
      <c r="B199" s="14"/>
      <c r="C199" s="17" t="str">
        <f t="shared" si="3"/>
        <v>28.801011.-2582.857..CLEAR SCHEDULE.</v>
      </c>
      <c r="D199" s="14"/>
      <c r="E199">
        <v>28</v>
      </c>
      <c r="F199">
        <v>801011</v>
      </c>
      <c r="G199" s="2">
        <v>-25.82</v>
      </c>
      <c r="H199" t="s">
        <v>597</v>
      </c>
      <c r="J199" s="18" t="s">
        <v>4327</v>
      </c>
      <c r="K199" s="18"/>
      <c r="L199" s="14"/>
      <c r="N199" s="14"/>
    </row>
    <row r="200" spans="1:14" x14ac:dyDescent="0.25">
      <c r="A200" s="4"/>
      <c r="B200" s="14"/>
      <c r="C200" s="17" t="str">
        <f t="shared" si="3"/>
        <v>28.801011.-2543.858..CLEAR SCHEDULE.</v>
      </c>
      <c r="D200" s="14"/>
      <c r="E200">
        <v>28</v>
      </c>
      <c r="F200">
        <v>801011</v>
      </c>
      <c r="G200" s="1">
        <v>-25.43</v>
      </c>
      <c r="H200" t="s">
        <v>598</v>
      </c>
      <c r="J200" s="18" t="s">
        <v>4327</v>
      </c>
      <c r="K200" s="18"/>
      <c r="L200" s="14"/>
      <c r="N200" s="14"/>
    </row>
    <row r="201" spans="1:14" x14ac:dyDescent="0.25">
      <c r="A201" s="4"/>
      <c r="B201" s="14"/>
      <c r="C201" s="17" t="str">
        <f t="shared" si="3"/>
        <v>28.801011.-801.859..CLEAR SCHEDULE.</v>
      </c>
      <c r="D201" s="14"/>
      <c r="E201">
        <v>28</v>
      </c>
      <c r="F201">
        <v>801011</v>
      </c>
      <c r="G201" s="2">
        <v>-8.01</v>
      </c>
      <c r="H201" t="s">
        <v>599</v>
      </c>
      <c r="J201" s="18" t="s">
        <v>4327</v>
      </c>
      <c r="K201" s="18"/>
      <c r="L201" s="14"/>
      <c r="N201" s="14"/>
    </row>
    <row r="202" spans="1:14" x14ac:dyDescent="0.25">
      <c r="A202" s="4"/>
      <c r="B202" s="14"/>
      <c r="C202" s="17" t="str">
        <f t="shared" si="3"/>
        <v>28.801011.-2028.861..CLEAR SCHEDULE.</v>
      </c>
      <c r="D202" s="14"/>
      <c r="E202">
        <v>28</v>
      </c>
      <c r="F202">
        <v>801011</v>
      </c>
      <c r="G202" s="1">
        <v>-20.28</v>
      </c>
      <c r="H202" t="s">
        <v>600</v>
      </c>
      <c r="J202" s="18" t="s">
        <v>4327</v>
      </c>
      <c r="K202" s="18"/>
      <c r="L202" s="14"/>
      <c r="N202" s="14"/>
    </row>
    <row r="203" spans="1:14" x14ac:dyDescent="0.25">
      <c r="A203" s="4"/>
      <c r="B203" s="14"/>
      <c r="C203" s="17" t="str">
        <f t="shared" ref="C203:C266" si="4">IF(G203=0,"",(E203&amp;"."&amp;F203&amp;"."&amp;G203*100&amp;"."&amp;H203&amp;"."&amp;I203&amp;"."&amp;J203&amp;"."&amp;K203))</f>
        <v>28.801011.-4817.862..CLEAR SCHEDULE.</v>
      </c>
      <c r="D203" s="14"/>
      <c r="E203">
        <v>28</v>
      </c>
      <c r="F203">
        <v>801011</v>
      </c>
      <c r="G203" s="2">
        <v>-48.17</v>
      </c>
      <c r="H203" t="s">
        <v>601</v>
      </c>
      <c r="J203" s="18" t="s">
        <v>4327</v>
      </c>
      <c r="K203" s="18"/>
      <c r="L203" s="14"/>
      <c r="N203" s="14"/>
    </row>
    <row r="204" spans="1:14" x14ac:dyDescent="0.25">
      <c r="A204" s="4"/>
      <c r="B204" s="14"/>
      <c r="C204" s="17" t="str">
        <f t="shared" si="4"/>
        <v>28.801011.-1202.863..CLEAR SCHEDULE.</v>
      </c>
      <c r="D204" s="14"/>
      <c r="E204">
        <v>28</v>
      </c>
      <c r="F204">
        <v>801011</v>
      </c>
      <c r="G204" s="1">
        <v>-12.02</v>
      </c>
      <c r="H204" t="s">
        <v>602</v>
      </c>
      <c r="J204" s="18" t="s">
        <v>4327</v>
      </c>
      <c r="K204" s="18"/>
      <c r="L204" s="14"/>
      <c r="N204" s="14"/>
    </row>
    <row r="205" spans="1:14" x14ac:dyDescent="0.25">
      <c r="A205" s="4"/>
      <c r="B205" s="14"/>
      <c r="C205" s="17" t="str">
        <f t="shared" si="4"/>
        <v>28.801011.-1527.864..CLEAR SCHEDULE.</v>
      </c>
      <c r="D205" s="14"/>
      <c r="E205">
        <v>28</v>
      </c>
      <c r="F205">
        <v>801011</v>
      </c>
      <c r="G205" s="2">
        <v>-15.27</v>
      </c>
      <c r="H205" t="s">
        <v>603</v>
      </c>
      <c r="J205" s="18" t="s">
        <v>4327</v>
      </c>
      <c r="K205" s="18"/>
      <c r="L205" s="14"/>
      <c r="N205" s="14"/>
    </row>
    <row r="206" spans="1:14" x14ac:dyDescent="0.25">
      <c r="A206" s="4"/>
      <c r="B206" s="14"/>
      <c r="C206" s="17" t="str">
        <f t="shared" si="4"/>
        <v>28.801011.-35531.865..CLEAR SCHEDULE.</v>
      </c>
      <c r="D206" s="14"/>
      <c r="E206">
        <v>28</v>
      </c>
      <c r="F206">
        <v>801011</v>
      </c>
      <c r="G206" s="1">
        <v>-355.31</v>
      </c>
      <c r="H206" t="s">
        <v>604</v>
      </c>
      <c r="J206" s="18" t="s">
        <v>4327</v>
      </c>
      <c r="K206" s="18"/>
      <c r="L206" s="14"/>
      <c r="N206" s="14"/>
    </row>
    <row r="207" spans="1:14" x14ac:dyDescent="0.25">
      <c r="A207" s="4"/>
      <c r="B207" s="14"/>
      <c r="C207" s="17" t="str">
        <f t="shared" si="4"/>
        <v>28.801011.-4103.866..CLEAR SCHEDULE.</v>
      </c>
      <c r="D207" s="14"/>
      <c r="E207">
        <v>28</v>
      </c>
      <c r="F207">
        <v>801011</v>
      </c>
      <c r="G207" s="2">
        <v>-41.03</v>
      </c>
      <c r="H207" t="s">
        <v>605</v>
      </c>
      <c r="J207" s="18" t="s">
        <v>4327</v>
      </c>
      <c r="K207" s="18"/>
      <c r="L207" s="14"/>
      <c r="N207" s="14"/>
    </row>
    <row r="208" spans="1:14" x14ac:dyDescent="0.25">
      <c r="A208" s="4"/>
      <c r="B208" s="14"/>
      <c r="C208" s="17" t="str">
        <f t="shared" si="4"/>
        <v>28.801011.5774.867..CLEAR SCHEDULE.</v>
      </c>
      <c r="D208" s="14"/>
      <c r="E208">
        <v>28</v>
      </c>
      <c r="F208">
        <v>801011</v>
      </c>
      <c r="G208" s="1">
        <v>57.74</v>
      </c>
      <c r="H208" t="s">
        <v>606</v>
      </c>
      <c r="J208" s="18" t="s">
        <v>4327</v>
      </c>
      <c r="K208" s="18"/>
      <c r="L208" s="14"/>
      <c r="N208" s="14"/>
    </row>
    <row r="209" spans="1:14" x14ac:dyDescent="0.25">
      <c r="A209" s="4"/>
      <c r="B209" s="14"/>
      <c r="C209" s="17" t="str">
        <f t="shared" si="4"/>
        <v>28.801011.-124.869..CLEAR SCHEDULE.</v>
      </c>
      <c r="D209" s="14"/>
      <c r="E209">
        <v>28</v>
      </c>
      <c r="F209">
        <v>801011</v>
      </c>
      <c r="G209" s="2">
        <v>-1.24</v>
      </c>
      <c r="H209" t="s">
        <v>607</v>
      </c>
      <c r="J209" s="18" t="s">
        <v>4327</v>
      </c>
      <c r="K209" s="18"/>
      <c r="L209" s="14"/>
      <c r="N209" s="14"/>
    </row>
    <row r="210" spans="1:14" x14ac:dyDescent="0.25">
      <c r="A210" s="4"/>
      <c r="B210" s="14"/>
      <c r="C210" s="17" t="str">
        <f t="shared" si="4"/>
        <v>28.801011.-1586.870..CLEAR SCHEDULE.</v>
      </c>
      <c r="D210" s="14"/>
      <c r="E210">
        <v>28</v>
      </c>
      <c r="F210">
        <v>801011</v>
      </c>
      <c r="G210" s="1">
        <v>-15.86</v>
      </c>
      <c r="H210" t="s">
        <v>608</v>
      </c>
      <c r="J210" s="18" t="s">
        <v>4327</v>
      </c>
      <c r="K210" s="18"/>
      <c r="L210" s="14"/>
      <c r="N210" s="14"/>
    </row>
    <row r="211" spans="1:14" x14ac:dyDescent="0.25">
      <c r="A211" s="4"/>
      <c r="B211" s="14"/>
      <c r="C211" s="17" t="str">
        <f t="shared" si="4"/>
        <v>28.801011.-1586.871..CLEAR SCHEDULE.</v>
      </c>
      <c r="D211" s="14"/>
      <c r="E211">
        <v>28</v>
      </c>
      <c r="F211">
        <v>801011</v>
      </c>
      <c r="G211" s="2">
        <v>-15.86</v>
      </c>
      <c r="H211" t="s">
        <v>609</v>
      </c>
      <c r="J211" s="18" t="s">
        <v>4327</v>
      </c>
      <c r="K211" s="18"/>
      <c r="L211" s="14"/>
      <c r="N211" s="14"/>
    </row>
    <row r="212" spans="1:14" x14ac:dyDescent="0.25">
      <c r="A212" s="4"/>
      <c r="B212" s="14"/>
      <c r="C212" s="17" t="str">
        <f t="shared" si="4"/>
        <v>28.801011.-4936.872..CLEAR SCHEDULE.</v>
      </c>
      <c r="D212" s="14"/>
      <c r="E212">
        <v>28</v>
      </c>
      <c r="F212">
        <v>801011</v>
      </c>
      <c r="G212" s="1">
        <v>-49.36</v>
      </c>
      <c r="H212" t="s">
        <v>610</v>
      </c>
      <c r="J212" s="18" t="s">
        <v>4327</v>
      </c>
      <c r="K212" s="18"/>
      <c r="L212" s="14"/>
      <c r="N212" s="14"/>
    </row>
    <row r="213" spans="1:14" x14ac:dyDescent="0.25">
      <c r="A213" s="4"/>
      <c r="B213" s="14"/>
      <c r="C213" s="17" t="str">
        <f t="shared" si="4"/>
        <v>28.801011.-14870.873..CLEAR SCHEDULE.</v>
      </c>
      <c r="D213" s="14"/>
      <c r="E213">
        <v>28</v>
      </c>
      <c r="F213">
        <v>801011</v>
      </c>
      <c r="G213" s="2">
        <v>-148.69999999999999</v>
      </c>
      <c r="H213" t="s">
        <v>611</v>
      </c>
      <c r="J213" s="18" t="s">
        <v>4327</v>
      </c>
      <c r="K213" s="18"/>
      <c r="L213" s="14"/>
      <c r="N213" s="14"/>
    </row>
    <row r="214" spans="1:14" x14ac:dyDescent="0.25">
      <c r="A214" s="4"/>
      <c r="B214" s="14"/>
      <c r="C214" s="17" t="str">
        <f t="shared" si="4"/>
        <v>28.801011.-801.874..CLEAR SCHEDULE.</v>
      </c>
      <c r="D214" s="14"/>
      <c r="E214">
        <v>28</v>
      </c>
      <c r="F214">
        <v>801011</v>
      </c>
      <c r="G214" s="1">
        <v>-8.01</v>
      </c>
      <c r="H214" t="s">
        <v>612</v>
      </c>
      <c r="J214" s="18" t="s">
        <v>4327</v>
      </c>
      <c r="K214" s="18"/>
      <c r="L214" s="14"/>
      <c r="N214" s="14"/>
    </row>
    <row r="215" spans="1:14" x14ac:dyDescent="0.25">
      <c r="A215" s="4"/>
      <c r="B215" s="14"/>
      <c r="C215" s="17" t="str">
        <f t="shared" si="4"/>
        <v>28.801011.-17162.875..CLEAR SCHEDULE.</v>
      </c>
      <c r="D215" s="14"/>
      <c r="E215">
        <v>28</v>
      </c>
      <c r="F215">
        <v>801011</v>
      </c>
      <c r="G215" s="2">
        <v>-171.62</v>
      </c>
      <c r="H215" t="s">
        <v>613</v>
      </c>
      <c r="J215" s="18" t="s">
        <v>4327</v>
      </c>
      <c r="K215" s="18"/>
      <c r="L215" s="14"/>
      <c r="N215" s="14"/>
    </row>
    <row r="216" spans="1:14" x14ac:dyDescent="0.25">
      <c r="A216" s="4"/>
      <c r="B216" s="14"/>
      <c r="C216" s="17" t="str">
        <f t="shared" si="4"/>
        <v>28.801011.-2028.876..CLEAR SCHEDULE.</v>
      </c>
      <c r="D216" s="14"/>
      <c r="E216">
        <v>28</v>
      </c>
      <c r="F216">
        <v>801011</v>
      </c>
      <c r="G216" s="1">
        <v>-20.28</v>
      </c>
      <c r="H216" t="s">
        <v>614</v>
      </c>
      <c r="J216" s="18" t="s">
        <v>4327</v>
      </c>
      <c r="K216" s="18"/>
      <c r="L216" s="14"/>
      <c r="N216" s="14"/>
    </row>
    <row r="217" spans="1:14" x14ac:dyDescent="0.25">
      <c r="A217" s="4"/>
      <c r="B217" s="14"/>
      <c r="C217" s="17" t="str">
        <f t="shared" si="4"/>
        <v>28.801011.-19760.877..CLEAR SCHEDULE.</v>
      </c>
      <c r="D217" s="14"/>
      <c r="E217">
        <v>28</v>
      </c>
      <c r="F217">
        <v>801011</v>
      </c>
      <c r="G217" s="2">
        <v>-197.6</v>
      </c>
      <c r="H217" t="s">
        <v>615</v>
      </c>
      <c r="J217" s="18" t="s">
        <v>4327</v>
      </c>
      <c r="K217" s="18"/>
      <c r="L217" s="14"/>
      <c r="N217" s="14"/>
    </row>
    <row r="218" spans="1:14" x14ac:dyDescent="0.25">
      <c r="A218" s="4"/>
      <c r="B218" s="14"/>
      <c r="C218" s="17" t="str">
        <f t="shared" si="4"/>
        <v>28.801011.-4113.878..CLEAR SCHEDULE.</v>
      </c>
      <c r="D218" s="14"/>
      <c r="E218">
        <v>28</v>
      </c>
      <c r="F218">
        <v>801011</v>
      </c>
      <c r="G218" s="1">
        <v>-41.13</v>
      </c>
      <c r="H218" t="s">
        <v>616</v>
      </c>
      <c r="J218" s="18" t="s">
        <v>4327</v>
      </c>
      <c r="K218" s="18"/>
      <c r="L218" s="14"/>
      <c r="N218" s="14"/>
    </row>
    <row r="219" spans="1:14" x14ac:dyDescent="0.25">
      <c r="A219" s="4"/>
      <c r="B219" s="14"/>
      <c r="C219" s="17" t="str">
        <f t="shared" si="4"/>
        <v>28.801011.-5165.879..CLEAR SCHEDULE.</v>
      </c>
      <c r="D219" s="14"/>
      <c r="E219">
        <v>28</v>
      </c>
      <c r="F219">
        <v>801011</v>
      </c>
      <c r="G219" s="2">
        <v>-51.65</v>
      </c>
      <c r="H219" t="s">
        <v>617</v>
      </c>
      <c r="J219" s="18" t="s">
        <v>4327</v>
      </c>
      <c r="K219" s="18"/>
      <c r="L219" s="14"/>
      <c r="N219" s="14"/>
    </row>
    <row r="220" spans="1:14" x14ac:dyDescent="0.25">
      <c r="A220" s="4"/>
      <c r="B220" s="14"/>
      <c r="C220" s="17" t="str">
        <f t="shared" si="4"/>
        <v>28.801011.-801.881..CLEAR SCHEDULE.</v>
      </c>
      <c r="D220" s="14"/>
      <c r="E220">
        <v>28</v>
      </c>
      <c r="F220">
        <v>801011</v>
      </c>
      <c r="G220" s="1">
        <v>-8.01</v>
      </c>
      <c r="H220" t="s">
        <v>618</v>
      </c>
      <c r="J220" s="18" t="s">
        <v>4327</v>
      </c>
      <c r="K220" s="18"/>
      <c r="L220" s="14"/>
      <c r="N220" s="14"/>
    </row>
    <row r="221" spans="1:14" x14ac:dyDescent="0.25">
      <c r="A221" s="4"/>
      <c r="B221" s="14"/>
      <c r="C221" s="17" t="str">
        <f t="shared" si="4"/>
        <v>28.801011.-10780.882..CLEAR SCHEDULE.</v>
      </c>
      <c r="D221" s="14"/>
      <c r="E221">
        <v>28</v>
      </c>
      <c r="F221">
        <v>801011</v>
      </c>
      <c r="G221" s="2">
        <v>-107.8</v>
      </c>
      <c r="H221" t="s">
        <v>619</v>
      </c>
      <c r="J221" s="18" t="s">
        <v>4327</v>
      </c>
      <c r="K221" s="18"/>
      <c r="L221" s="14"/>
      <c r="N221" s="14"/>
    </row>
    <row r="222" spans="1:14" x14ac:dyDescent="0.25">
      <c r="A222" s="4"/>
      <c r="B222" s="14"/>
      <c r="C222" s="17" t="str">
        <f t="shared" si="4"/>
        <v>28.801011.-18278.883..CLEAR SCHEDULE.</v>
      </c>
      <c r="D222" s="14"/>
      <c r="E222">
        <v>28</v>
      </c>
      <c r="F222">
        <v>801011</v>
      </c>
      <c r="G222" s="1">
        <v>-182.78</v>
      </c>
      <c r="H222" t="s">
        <v>620</v>
      </c>
      <c r="J222" s="18" t="s">
        <v>4327</v>
      </c>
      <c r="K222" s="18"/>
      <c r="L222" s="14"/>
      <c r="N222" s="14"/>
    </row>
    <row r="223" spans="1:14" x14ac:dyDescent="0.25">
      <c r="A223" s="4"/>
      <c r="B223" s="14"/>
      <c r="C223" s="17" t="str">
        <f t="shared" si="4"/>
        <v>28.801011.-1361.888..CLEAR SCHEDULE.</v>
      </c>
      <c r="D223" s="14"/>
      <c r="E223">
        <v>28</v>
      </c>
      <c r="F223">
        <v>801011</v>
      </c>
      <c r="G223" s="2">
        <v>-13.61</v>
      </c>
      <c r="H223" t="s">
        <v>621</v>
      </c>
      <c r="J223" s="18" t="s">
        <v>4327</v>
      </c>
      <c r="K223" s="18"/>
      <c r="L223" s="14"/>
      <c r="N223" s="14"/>
    </row>
    <row r="224" spans="1:14" x14ac:dyDescent="0.25">
      <c r="A224" s="4"/>
      <c r="B224" s="14"/>
      <c r="C224" s="17" t="str">
        <f t="shared" si="4"/>
        <v>28.801011.-69046.891..CLEAR SCHEDULE.</v>
      </c>
      <c r="D224" s="14"/>
      <c r="E224">
        <v>28</v>
      </c>
      <c r="F224">
        <v>801011</v>
      </c>
      <c r="G224" s="1">
        <v>-690.46</v>
      </c>
      <c r="H224" t="s">
        <v>622</v>
      </c>
      <c r="J224" s="18" t="s">
        <v>4327</v>
      </c>
      <c r="K224" s="18"/>
      <c r="L224" s="14"/>
      <c r="N224" s="14"/>
    </row>
    <row r="225" spans="1:14" x14ac:dyDescent="0.25">
      <c r="A225" s="4"/>
      <c r="B225" s="14"/>
      <c r="C225" s="17" t="str">
        <f t="shared" si="4"/>
        <v>28.801011.-24889.892..CLEAR SCHEDULE.</v>
      </c>
      <c r="D225" s="14"/>
      <c r="E225">
        <v>28</v>
      </c>
      <c r="F225">
        <v>801011</v>
      </c>
      <c r="G225" s="2">
        <v>-248.89</v>
      </c>
      <c r="H225" t="s">
        <v>623</v>
      </c>
      <c r="J225" s="18" t="s">
        <v>4327</v>
      </c>
      <c r="K225" s="18"/>
      <c r="L225" s="14"/>
      <c r="N225" s="14"/>
    </row>
    <row r="226" spans="1:14" x14ac:dyDescent="0.25">
      <c r="A226" s="4"/>
      <c r="B226" s="14"/>
      <c r="C226" s="17" t="str">
        <f t="shared" si="4"/>
        <v>28.801011.-7092.894..CLEAR SCHEDULE.</v>
      </c>
      <c r="D226" s="14"/>
      <c r="E226">
        <v>28</v>
      </c>
      <c r="F226">
        <v>801011</v>
      </c>
      <c r="G226" s="1">
        <v>-70.92</v>
      </c>
      <c r="H226" t="s">
        <v>624</v>
      </c>
      <c r="J226" s="18" t="s">
        <v>4327</v>
      </c>
      <c r="K226" s="18"/>
      <c r="L226" s="14"/>
      <c r="N226" s="14"/>
    </row>
    <row r="227" spans="1:14" x14ac:dyDescent="0.25">
      <c r="A227" s="4"/>
      <c r="B227" s="14"/>
      <c r="C227" s="17" t="str">
        <f t="shared" si="4"/>
        <v>28.801011.-3546.895..CLEAR SCHEDULE.</v>
      </c>
      <c r="D227" s="14"/>
      <c r="E227">
        <v>28</v>
      </c>
      <c r="F227">
        <v>801011</v>
      </c>
      <c r="G227" s="2">
        <v>-35.46</v>
      </c>
      <c r="H227" t="s">
        <v>625</v>
      </c>
      <c r="J227" s="18" t="s">
        <v>4327</v>
      </c>
      <c r="K227" s="18"/>
      <c r="L227" s="14"/>
      <c r="N227" s="14"/>
    </row>
    <row r="228" spans="1:14" x14ac:dyDescent="0.25">
      <c r="A228" s="4"/>
      <c r="B228" s="14"/>
      <c r="C228" s="17" t="str">
        <f t="shared" si="4"/>
        <v>28.801011.-28970.898..CLEAR SCHEDULE.</v>
      </c>
      <c r="D228" s="14"/>
      <c r="E228">
        <v>28</v>
      </c>
      <c r="F228">
        <v>801011</v>
      </c>
      <c r="G228" s="1">
        <v>-289.7</v>
      </c>
      <c r="H228" t="s">
        <v>626</v>
      </c>
      <c r="J228" s="18" t="s">
        <v>4327</v>
      </c>
      <c r="K228" s="18"/>
      <c r="L228" s="14"/>
      <c r="N228" s="14"/>
    </row>
    <row r="229" spans="1:14" x14ac:dyDescent="0.25">
      <c r="A229" s="4"/>
      <c r="B229" s="14"/>
      <c r="C229" s="17" t="str">
        <f t="shared" si="4"/>
        <v>28.801011.-38576.899..CLEAR SCHEDULE.</v>
      </c>
      <c r="D229" s="14"/>
      <c r="E229">
        <v>28</v>
      </c>
      <c r="F229">
        <v>801011</v>
      </c>
      <c r="G229" s="2">
        <v>-385.76</v>
      </c>
      <c r="H229" t="s">
        <v>627</v>
      </c>
      <c r="J229" s="18" t="s">
        <v>4327</v>
      </c>
      <c r="K229" s="18"/>
      <c r="L229" s="14"/>
      <c r="N229" s="14"/>
    </row>
    <row r="230" spans="1:14" x14ac:dyDescent="0.25">
      <c r="A230" s="4"/>
      <c r="B230" s="14"/>
      <c r="C230" s="17" t="str">
        <f t="shared" si="4"/>
        <v>28.801011.-22450.900..CLEAR SCHEDULE.</v>
      </c>
      <c r="D230" s="14"/>
      <c r="E230">
        <v>28</v>
      </c>
      <c r="F230">
        <v>801011</v>
      </c>
      <c r="G230" s="1">
        <v>-224.5</v>
      </c>
      <c r="H230" t="s">
        <v>628</v>
      </c>
      <c r="J230" s="18" t="s">
        <v>4327</v>
      </c>
      <c r="K230" s="18"/>
      <c r="L230" s="14"/>
      <c r="N230" s="14"/>
    </row>
    <row r="231" spans="1:14" x14ac:dyDescent="0.25">
      <c r="A231" s="4"/>
      <c r="B231" s="14"/>
      <c r="C231" s="17" t="str">
        <f t="shared" si="4"/>
        <v>28.801011.-15460.901..CLEAR SCHEDULE.</v>
      </c>
      <c r="D231" s="14"/>
      <c r="E231">
        <v>28</v>
      </c>
      <c r="F231">
        <v>801011</v>
      </c>
      <c r="G231" s="2">
        <v>-154.6</v>
      </c>
      <c r="H231" t="s">
        <v>629</v>
      </c>
      <c r="J231" s="18" t="s">
        <v>4327</v>
      </c>
      <c r="K231" s="18"/>
      <c r="L231" s="14"/>
      <c r="N231" s="14"/>
    </row>
    <row r="232" spans="1:14" x14ac:dyDescent="0.25">
      <c r="A232" s="4"/>
      <c r="B232" s="14"/>
      <c r="C232" s="17" t="str">
        <f t="shared" si="4"/>
        <v>28.801011.-14830.902..CLEAR SCHEDULE.</v>
      </c>
      <c r="D232" s="14"/>
      <c r="E232">
        <v>28</v>
      </c>
      <c r="F232">
        <v>801011</v>
      </c>
      <c r="G232" s="1">
        <v>-148.30000000000001</v>
      </c>
      <c r="H232" t="s">
        <v>630</v>
      </c>
      <c r="J232" s="18" t="s">
        <v>4327</v>
      </c>
      <c r="K232" s="18"/>
      <c r="L232" s="14"/>
      <c r="N232" s="14"/>
    </row>
    <row r="233" spans="1:14" x14ac:dyDescent="0.25">
      <c r="A233" s="4"/>
      <c r="B233" s="14"/>
      <c r="C233" s="17" t="str">
        <f t="shared" si="4"/>
        <v>28.801011.-2440.904..CLEAR SCHEDULE.</v>
      </c>
      <c r="D233" s="14"/>
      <c r="E233">
        <v>28</v>
      </c>
      <c r="F233">
        <v>801011</v>
      </c>
      <c r="G233" s="2">
        <v>-24.4</v>
      </c>
      <c r="H233" t="s">
        <v>631</v>
      </c>
      <c r="J233" s="18" t="s">
        <v>4327</v>
      </c>
      <c r="K233" s="18"/>
      <c r="L233" s="14"/>
      <c r="N233" s="14"/>
    </row>
    <row r="234" spans="1:14" x14ac:dyDescent="0.25">
      <c r="A234" s="4"/>
      <c r="B234" s="14"/>
      <c r="C234" s="17" t="str">
        <f t="shared" si="4"/>
        <v>28.801011.-2135.905..CLEAR SCHEDULE.</v>
      </c>
      <c r="D234" s="14"/>
      <c r="E234">
        <v>28</v>
      </c>
      <c r="F234">
        <v>801011</v>
      </c>
      <c r="G234" s="1">
        <v>-21.35</v>
      </c>
      <c r="H234" t="s">
        <v>632</v>
      </c>
      <c r="J234" s="18" t="s">
        <v>4327</v>
      </c>
      <c r="K234" s="18"/>
      <c r="L234" s="14"/>
      <c r="N234" s="14"/>
    </row>
    <row r="235" spans="1:14" x14ac:dyDescent="0.25">
      <c r="A235" s="4"/>
      <c r="B235" s="14"/>
      <c r="C235" s="17" t="str">
        <f t="shared" si="4"/>
        <v>28.801011.-1256.906..CLEAR SCHEDULE.</v>
      </c>
      <c r="D235" s="14"/>
      <c r="E235">
        <v>28</v>
      </c>
      <c r="F235">
        <v>801011</v>
      </c>
      <c r="G235" s="2">
        <v>-12.56</v>
      </c>
      <c r="H235" t="s">
        <v>633</v>
      </c>
      <c r="J235" s="18" t="s">
        <v>4327</v>
      </c>
      <c r="K235" s="18"/>
      <c r="L235" s="14"/>
      <c r="N235" s="14"/>
    </row>
    <row r="236" spans="1:14" x14ac:dyDescent="0.25">
      <c r="A236" s="4"/>
      <c r="B236" s="14"/>
      <c r="C236" s="17" t="str">
        <f t="shared" si="4"/>
        <v>28.801011.-6149.907..CLEAR SCHEDULE.</v>
      </c>
      <c r="D236" s="14"/>
      <c r="E236">
        <v>28</v>
      </c>
      <c r="F236">
        <v>801011</v>
      </c>
      <c r="G236" s="1">
        <v>-61.49</v>
      </c>
      <c r="H236" t="s">
        <v>634</v>
      </c>
      <c r="J236" s="18" t="s">
        <v>4327</v>
      </c>
      <c r="K236" s="18"/>
      <c r="L236" s="14"/>
      <c r="N236" s="14"/>
    </row>
    <row r="237" spans="1:14" x14ac:dyDescent="0.25">
      <c r="A237" s="4"/>
      <c r="B237" s="14"/>
      <c r="C237" s="17" t="str">
        <f t="shared" si="4"/>
        <v>28.801011.-10568.909..CLEAR SCHEDULE.</v>
      </c>
      <c r="D237" s="14"/>
      <c r="E237">
        <v>28</v>
      </c>
      <c r="F237">
        <v>801011</v>
      </c>
      <c r="G237" s="2">
        <v>-105.68</v>
      </c>
      <c r="H237" t="s">
        <v>635</v>
      </c>
      <c r="J237" s="18" t="s">
        <v>4327</v>
      </c>
      <c r="K237" s="18"/>
      <c r="L237" s="14"/>
      <c r="N237" s="14"/>
    </row>
    <row r="238" spans="1:14" x14ac:dyDescent="0.25">
      <c r="A238" s="4"/>
      <c r="B238" s="14"/>
      <c r="C238" s="17" t="str">
        <f t="shared" si="4"/>
        <v>28.801011.-495.911..CLEAR SCHEDULE.</v>
      </c>
      <c r="D238" s="14"/>
      <c r="E238">
        <v>28</v>
      </c>
      <c r="F238">
        <v>801011</v>
      </c>
      <c r="G238" s="1">
        <v>-4.95</v>
      </c>
      <c r="H238" t="s">
        <v>636</v>
      </c>
      <c r="J238" s="18" t="s">
        <v>4327</v>
      </c>
      <c r="K238" s="18"/>
      <c r="L238" s="14"/>
      <c r="N238" s="14"/>
    </row>
    <row r="239" spans="1:14" x14ac:dyDescent="0.25">
      <c r="A239" s="4"/>
      <c r="B239" s="14"/>
      <c r="C239" s="17" t="str">
        <f t="shared" si="4"/>
        <v>28.801011.-138.912..CLEAR SCHEDULE.</v>
      </c>
      <c r="D239" s="14"/>
      <c r="E239">
        <v>28</v>
      </c>
      <c r="F239">
        <v>801011</v>
      </c>
      <c r="G239" s="2">
        <v>-1.38</v>
      </c>
      <c r="H239" t="s">
        <v>637</v>
      </c>
      <c r="J239" s="18" t="s">
        <v>4327</v>
      </c>
      <c r="K239" s="18"/>
      <c r="L239" s="14"/>
      <c r="N239" s="14"/>
    </row>
    <row r="240" spans="1:14" x14ac:dyDescent="0.25">
      <c r="A240" s="4"/>
      <c r="B240" s="14"/>
      <c r="C240" s="17" t="str">
        <f t="shared" si="4"/>
        <v>28.801011.-801.914..CLEAR SCHEDULE.</v>
      </c>
      <c r="D240" s="14"/>
      <c r="E240">
        <v>28</v>
      </c>
      <c r="F240">
        <v>801011</v>
      </c>
      <c r="G240" s="1">
        <v>-8.01</v>
      </c>
      <c r="H240" t="s">
        <v>638</v>
      </c>
      <c r="J240" s="18" t="s">
        <v>4327</v>
      </c>
      <c r="K240" s="18"/>
      <c r="L240" s="14"/>
      <c r="N240" s="14"/>
    </row>
    <row r="241" spans="1:14" x14ac:dyDescent="0.25">
      <c r="A241" s="4"/>
      <c r="B241" s="14"/>
      <c r="C241" s="17" t="str">
        <f t="shared" si="4"/>
        <v>28.801011.-1773.915..CLEAR SCHEDULE.</v>
      </c>
      <c r="D241" s="14"/>
      <c r="E241">
        <v>28</v>
      </c>
      <c r="F241">
        <v>801011</v>
      </c>
      <c r="G241" s="2">
        <v>-17.73</v>
      </c>
      <c r="H241" t="s">
        <v>639</v>
      </c>
      <c r="J241" s="18" t="s">
        <v>4327</v>
      </c>
      <c r="K241" s="18"/>
      <c r="L241" s="14"/>
      <c r="N241" s="14"/>
    </row>
    <row r="242" spans="1:14" x14ac:dyDescent="0.25">
      <c r="A242" s="4"/>
      <c r="B242" s="14"/>
      <c r="C242" s="17" t="str">
        <f t="shared" si="4"/>
        <v>28.801011.-745.916..CLEAR SCHEDULE.</v>
      </c>
      <c r="D242" s="14"/>
      <c r="E242">
        <v>28</v>
      </c>
      <c r="F242">
        <v>801011</v>
      </c>
      <c r="G242" s="1">
        <v>-7.45</v>
      </c>
      <c r="H242" t="s">
        <v>640</v>
      </c>
      <c r="J242" s="18" t="s">
        <v>4327</v>
      </c>
      <c r="K242" s="18"/>
      <c r="L242" s="14"/>
      <c r="N242" s="14"/>
    </row>
    <row r="243" spans="1:14" x14ac:dyDescent="0.25">
      <c r="A243" s="4"/>
      <c r="B243" s="14"/>
      <c r="C243" s="17" t="str">
        <f t="shared" si="4"/>
        <v>28.801011.-801.917..CLEAR SCHEDULE.</v>
      </c>
      <c r="D243" s="14"/>
      <c r="E243">
        <v>28</v>
      </c>
      <c r="F243">
        <v>801011</v>
      </c>
      <c r="G243" s="2">
        <v>-8.01</v>
      </c>
      <c r="H243" t="s">
        <v>641</v>
      </c>
      <c r="J243" s="18" t="s">
        <v>4327</v>
      </c>
      <c r="K243" s="18"/>
      <c r="L243" s="14"/>
      <c r="N243" s="14"/>
    </row>
    <row r="244" spans="1:14" x14ac:dyDescent="0.25">
      <c r="A244" s="4"/>
      <c r="B244" s="14"/>
      <c r="C244" s="17" t="str">
        <f t="shared" si="4"/>
        <v>28.801011.-9456.918..CLEAR SCHEDULE.</v>
      </c>
      <c r="D244" s="14"/>
      <c r="E244">
        <v>28</v>
      </c>
      <c r="F244">
        <v>801011</v>
      </c>
      <c r="G244" s="1">
        <v>-94.56</v>
      </c>
      <c r="H244" t="s">
        <v>642</v>
      </c>
      <c r="J244" s="18" t="s">
        <v>4327</v>
      </c>
      <c r="K244" s="18"/>
      <c r="L244" s="14"/>
      <c r="N244" s="14"/>
    </row>
    <row r="245" spans="1:14" x14ac:dyDescent="0.25">
      <c r="A245" s="4"/>
      <c r="B245" s="14"/>
      <c r="C245" s="17" t="str">
        <f t="shared" si="4"/>
        <v>28.801011.-2199.919..CLEAR SCHEDULE.</v>
      </c>
      <c r="D245" s="14"/>
      <c r="E245">
        <v>28</v>
      </c>
      <c r="F245">
        <v>801011</v>
      </c>
      <c r="G245" s="2">
        <v>-21.99</v>
      </c>
      <c r="H245" t="s">
        <v>643</v>
      </c>
      <c r="J245" s="18" t="s">
        <v>4327</v>
      </c>
      <c r="K245" s="18"/>
      <c r="L245" s="14"/>
      <c r="N245" s="14"/>
    </row>
    <row r="246" spans="1:14" x14ac:dyDescent="0.25">
      <c r="A246" s="4"/>
      <c r="B246" s="14"/>
      <c r="C246" s="17" t="str">
        <f t="shared" si="4"/>
        <v>28.801011.-801.922..CLEAR SCHEDULE.</v>
      </c>
      <c r="D246" s="14"/>
      <c r="E246">
        <v>28</v>
      </c>
      <c r="F246">
        <v>801011</v>
      </c>
      <c r="G246" s="1">
        <v>-8.01</v>
      </c>
      <c r="H246" t="s">
        <v>644</v>
      </c>
      <c r="J246" s="18" t="s">
        <v>4327</v>
      </c>
      <c r="K246" s="18"/>
      <c r="L246" s="14"/>
      <c r="N246" s="14"/>
    </row>
    <row r="247" spans="1:14" x14ac:dyDescent="0.25">
      <c r="A247" s="4"/>
      <c r="B247" s="14"/>
      <c r="C247" s="17" t="str">
        <f t="shared" si="4"/>
        <v>28.801011.-4936.923..CLEAR SCHEDULE.</v>
      </c>
      <c r="D247" s="14"/>
      <c r="E247">
        <v>28</v>
      </c>
      <c r="F247">
        <v>801011</v>
      </c>
      <c r="G247" s="2">
        <v>-49.36</v>
      </c>
      <c r="H247" t="s">
        <v>645</v>
      </c>
      <c r="J247" s="18" t="s">
        <v>4327</v>
      </c>
      <c r="K247" s="18"/>
      <c r="L247" s="14"/>
      <c r="N247" s="14"/>
    </row>
    <row r="248" spans="1:14" x14ac:dyDescent="0.25">
      <c r="A248" s="4"/>
      <c r="B248" s="14"/>
      <c r="C248" s="17" t="str">
        <f t="shared" si="4"/>
        <v>28.801011.-34030.924..CLEAR SCHEDULE.</v>
      </c>
      <c r="D248" s="14"/>
      <c r="E248">
        <v>28</v>
      </c>
      <c r="F248">
        <v>801011</v>
      </c>
      <c r="G248" s="1">
        <v>-340.3</v>
      </c>
      <c r="H248" t="s">
        <v>646</v>
      </c>
      <c r="J248" s="18" t="s">
        <v>4327</v>
      </c>
      <c r="K248" s="18"/>
      <c r="L248" s="14"/>
      <c r="N248" s="14"/>
    </row>
    <row r="249" spans="1:14" x14ac:dyDescent="0.25">
      <c r="A249" s="4"/>
      <c r="B249" s="14"/>
      <c r="C249" s="17" t="str">
        <f t="shared" si="4"/>
        <v>28.801011.-801.925..CLEAR SCHEDULE.</v>
      </c>
      <c r="D249" s="14"/>
      <c r="E249">
        <v>28</v>
      </c>
      <c r="F249">
        <v>801011</v>
      </c>
      <c r="G249" s="2">
        <v>-8.01</v>
      </c>
      <c r="H249" t="s">
        <v>647</v>
      </c>
      <c r="J249" s="18" t="s">
        <v>4327</v>
      </c>
      <c r="K249" s="18"/>
      <c r="L249" s="14"/>
      <c r="N249" s="14"/>
    </row>
    <row r="250" spans="1:14" x14ac:dyDescent="0.25">
      <c r="A250" s="4"/>
      <c r="B250" s="14"/>
      <c r="C250" s="17" t="str">
        <f t="shared" si="4"/>
        <v>28.801011.-9414.926..CLEAR SCHEDULE.</v>
      </c>
      <c r="D250" s="14"/>
      <c r="E250">
        <v>28</v>
      </c>
      <c r="F250">
        <v>801011</v>
      </c>
      <c r="G250" s="1">
        <v>-94.14</v>
      </c>
      <c r="H250" t="s">
        <v>648</v>
      </c>
      <c r="J250" s="18" t="s">
        <v>4327</v>
      </c>
      <c r="K250" s="18"/>
      <c r="L250" s="14"/>
      <c r="N250" s="14"/>
    </row>
    <row r="251" spans="1:14" x14ac:dyDescent="0.25">
      <c r="A251" s="4"/>
      <c r="B251" s="14"/>
      <c r="C251" s="17" t="str">
        <f t="shared" si="4"/>
        <v>28.801011.-2440.927..CLEAR SCHEDULE.</v>
      </c>
      <c r="D251" s="14"/>
      <c r="E251">
        <v>28</v>
      </c>
      <c r="F251">
        <v>801011</v>
      </c>
      <c r="G251" s="2">
        <v>-24.4</v>
      </c>
      <c r="H251" t="s">
        <v>649</v>
      </c>
      <c r="J251" s="18" t="s">
        <v>4327</v>
      </c>
      <c r="K251" s="18"/>
      <c r="L251" s="14"/>
      <c r="N251" s="14"/>
    </row>
    <row r="252" spans="1:14" x14ac:dyDescent="0.25">
      <c r="A252" s="4"/>
      <c r="B252" s="14"/>
      <c r="C252" s="17" t="str">
        <f t="shared" si="4"/>
        <v>28.801011.-2814.928..CLEAR SCHEDULE.</v>
      </c>
      <c r="D252" s="14"/>
      <c r="E252">
        <v>28</v>
      </c>
      <c r="F252">
        <v>801011</v>
      </c>
      <c r="G252" s="1">
        <v>-28.14</v>
      </c>
      <c r="H252" t="s">
        <v>650</v>
      </c>
      <c r="J252" s="18" t="s">
        <v>4327</v>
      </c>
      <c r="K252" s="18"/>
      <c r="L252" s="14"/>
      <c r="N252" s="14"/>
    </row>
    <row r="253" spans="1:14" x14ac:dyDescent="0.25">
      <c r="A253" s="4"/>
      <c r="B253" s="14"/>
      <c r="C253" s="17" t="str">
        <f t="shared" si="4"/>
        <v>28.801011.-18292.929..CLEAR SCHEDULE.</v>
      </c>
      <c r="D253" s="14"/>
      <c r="E253">
        <v>28</v>
      </c>
      <c r="F253">
        <v>801011</v>
      </c>
      <c r="G253" s="2">
        <v>-182.92</v>
      </c>
      <c r="H253" t="s">
        <v>651</v>
      </c>
      <c r="J253" s="18" t="s">
        <v>4327</v>
      </c>
      <c r="K253" s="18"/>
      <c r="L253" s="14"/>
      <c r="N253" s="14"/>
    </row>
    <row r="254" spans="1:14" x14ac:dyDescent="0.25">
      <c r="A254" s="4"/>
      <c r="B254" s="14"/>
      <c r="C254" s="17" t="str">
        <f t="shared" si="4"/>
        <v>28.801011.-6115.930..CLEAR SCHEDULE.</v>
      </c>
      <c r="D254" s="14"/>
      <c r="E254">
        <v>28</v>
      </c>
      <c r="F254">
        <v>801011</v>
      </c>
      <c r="G254" s="1">
        <v>-61.15</v>
      </c>
      <c r="H254" t="s">
        <v>652</v>
      </c>
      <c r="J254" s="18" t="s">
        <v>4327</v>
      </c>
      <c r="K254" s="18"/>
      <c r="L254" s="14"/>
      <c r="N254" s="14"/>
    </row>
    <row r="255" spans="1:14" x14ac:dyDescent="0.25">
      <c r="A255" s="4"/>
      <c r="B255" s="14"/>
      <c r="C255" s="17" t="str">
        <f t="shared" si="4"/>
        <v>28.801011.-21666.932..CLEAR SCHEDULE.</v>
      </c>
      <c r="D255" s="14"/>
      <c r="E255">
        <v>28</v>
      </c>
      <c r="F255">
        <v>801011</v>
      </c>
      <c r="G255" s="2">
        <v>-216.66</v>
      </c>
      <c r="H255" t="s">
        <v>653</v>
      </c>
      <c r="J255" s="18" t="s">
        <v>4327</v>
      </c>
      <c r="K255" s="18"/>
      <c r="L255" s="14"/>
      <c r="N255" s="14"/>
    </row>
    <row r="256" spans="1:14" x14ac:dyDescent="0.25">
      <c r="A256" s="4"/>
      <c r="B256" s="14"/>
      <c r="C256" s="17" t="str">
        <f t="shared" si="4"/>
        <v>28.801011.-1068.933..CLEAR SCHEDULE.</v>
      </c>
      <c r="D256" s="14"/>
      <c r="E256">
        <v>28</v>
      </c>
      <c r="F256">
        <v>801011</v>
      </c>
      <c r="G256" s="1">
        <v>-10.68</v>
      </c>
      <c r="H256" t="s">
        <v>654</v>
      </c>
      <c r="J256" s="18" t="s">
        <v>4327</v>
      </c>
      <c r="K256" s="18"/>
      <c r="L256" s="14"/>
      <c r="N256" s="14"/>
    </row>
    <row r="257" spans="1:14" x14ac:dyDescent="0.25">
      <c r="A257" s="4"/>
      <c r="B257" s="14"/>
      <c r="C257" s="17" t="str">
        <f t="shared" si="4"/>
        <v>28.801011.-801.934..CLEAR SCHEDULE.</v>
      </c>
      <c r="D257" s="14"/>
      <c r="E257">
        <v>28</v>
      </c>
      <c r="F257">
        <v>801011</v>
      </c>
      <c r="G257" s="2">
        <v>-8.01</v>
      </c>
      <c r="H257" t="s">
        <v>655</v>
      </c>
      <c r="J257" s="18" t="s">
        <v>4327</v>
      </c>
      <c r="K257" s="18"/>
      <c r="L257" s="14"/>
      <c r="N257" s="14"/>
    </row>
    <row r="258" spans="1:14" x14ac:dyDescent="0.25">
      <c r="A258" s="4"/>
      <c r="B258" s="14"/>
      <c r="C258" s="17" t="str">
        <f t="shared" si="4"/>
        <v>28.801011.-801.935..CLEAR SCHEDULE.</v>
      </c>
      <c r="D258" s="14"/>
      <c r="E258">
        <v>28</v>
      </c>
      <c r="F258">
        <v>801011</v>
      </c>
      <c r="G258" s="1">
        <v>-8.01</v>
      </c>
      <c r="H258" t="s">
        <v>656</v>
      </c>
      <c r="J258" s="18" t="s">
        <v>4327</v>
      </c>
      <c r="K258" s="18"/>
      <c r="L258" s="14"/>
      <c r="N258" s="14"/>
    </row>
    <row r="259" spans="1:14" x14ac:dyDescent="0.25">
      <c r="A259" s="4"/>
      <c r="B259" s="14"/>
      <c r="C259" s="17" t="str">
        <f t="shared" si="4"/>
        <v>28.801011.-12810.938..CLEAR SCHEDULE.</v>
      </c>
      <c r="D259" s="14"/>
      <c r="E259">
        <v>28</v>
      </c>
      <c r="F259">
        <v>801011</v>
      </c>
      <c r="G259" s="2">
        <v>-128.1</v>
      </c>
      <c r="H259" t="s">
        <v>657</v>
      </c>
      <c r="J259" s="18" t="s">
        <v>4327</v>
      </c>
      <c r="K259" s="18"/>
      <c r="L259" s="14"/>
      <c r="N259" s="14"/>
    </row>
    <row r="260" spans="1:14" x14ac:dyDescent="0.25">
      <c r="A260" s="4"/>
      <c r="B260" s="14"/>
      <c r="C260" s="17" t="str">
        <f t="shared" si="4"/>
        <v>28.801011.-993.939..CLEAR SCHEDULE.</v>
      </c>
      <c r="D260" s="14"/>
      <c r="E260">
        <v>28</v>
      </c>
      <c r="F260">
        <v>801011</v>
      </c>
      <c r="G260" s="1">
        <v>-9.93</v>
      </c>
      <c r="H260" t="s">
        <v>658</v>
      </c>
      <c r="J260" s="18" t="s">
        <v>4327</v>
      </c>
      <c r="K260" s="18"/>
      <c r="L260" s="14"/>
      <c r="N260" s="14"/>
    </row>
    <row r="261" spans="1:14" x14ac:dyDescent="0.25">
      <c r="A261" s="4"/>
      <c r="B261" s="14"/>
      <c r="C261" s="17" t="str">
        <f t="shared" si="4"/>
        <v>28.801011.-4328.940..CLEAR SCHEDULE.</v>
      </c>
      <c r="D261" s="14"/>
      <c r="E261">
        <v>28</v>
      </c>
      <c r="F261">
        <v>801011</v>
      </c>
      <c r="G261" s="2">
        <v>-43.28</v>
      </c>
      <c r="H261" t="s">
        <v>659</v>
      </c>
      <c r="J261" s="18" t="s">
        <v>4327</v>
      </c>
      <c r="K261" s="18"/>
      <c r="L261" s="14"/>
      <c r="N261" s="14"/>
    </row>
    <row r="262" spans="1:14" x14ac:dyDescent="0.25">
      <c r="A262" s="4"/>
      <c r="B262" s="14"/>
      <c r="C262" s="17" t="str">
        <f t="shared" si="4"/>
        <v>28.801011.-2054.941..CLEAR SCHEDULE.</v>
      </c>
      <c r="D262" s="14"/>
      <c r="E262">
        <v>28</v>
      </c>
      <c r="F262">
        <v>801011</v>
      </c>
      <c r="G262" s="1">
        <v>-20.54</v>
      </c>
      <c r="H262" t="s">
        <v>660</v>
      </c>
      <c r="J262" s="18" t="s">
        <v>4327</v>
      </c>
      <c r="K262" s="18"/>
      <c r="L262" s="14"/>
      <c r="N262" s="14"/>
    </row>
    <row r="263" spans="1:14" x14ac:dyDescent="0.25">
      <c r="A263" s="4"/>
      <c r="B263" s="14"/>
      <c r="C263" s="17" t="str">
        <f t="shared" si="4"/>
        <v>28.801011.-1527.943..CLEAR SCHEDULE.</v>
      </c>
      <c r="D263" s="14"/>
      <c r="E263">
        <v>28</v>
      </c>
      <c r="F263">
        <v>801011</v>
      </c>
      <c r="G263" s="2">
        <v>-15.27</v>
      </c>
      <c r="H263" t="s">
        <v>661</v>
      </c>
      <c r="J263" s="18" t="s">
        <v>4327</v>
      </c>
      <c r="K263" s="18"/>
      <c r="L263" s="14"/>
      <c r="N263" s="14"/>
    </row>
    <row r="264" spans="1:14" x14ac:dyDescent="0.25">
      <c r="A264" s="4"/>
      <c r="B264" s="14"/>
      <c r="C264" s="17" t="str">
        <f t="shared" si="4"/>
        <v>28.801011.-5968.944..CLEAR SCHEDULE.</v>
      </c>
      <c r="D264" s="14"/>
      <c r="E264">
        <v>28</v>
      </c>
      <c r="F264">
        <v>801011</v>
      </c>
      <c r="G264" s="1">
        <v>-59.68</v>
      </c>
      <c r="H264" t="s">
        <v>662</v>
      </c>
      <c r="J264" s="18" t="s">
        <v>4327</v>
      </c>
      <c r="K264" s="18"/>
      <c r="L264" s="14"/>
      <c r="N264" s="14"/>
    </row>
    <row r="265" spans="1:14" x14ac:dyDescent="0.25">
      <c r="A265" s="4"/>
      <c r="B265" s="14"/>
      <c r="C265" s="17" t="str">
        <f t="shared" si="4"/>
        <v>28.801011.-1014.945..CLEAR SCHEDULE.</v>
      </c>
      <c r="D265" s="14"/>
      <c r="E265">
        <v>28</v>
      </c>
      <c r="F265">
        <v>801011</v>
      </c>
      <c r="G265" s="2">
        <v>-10.14</v>
      </c>
      <c r="H265" t="s">
        <v>663</v>
      </c>
      <c r="J265" s="18" t="s">
        <v>4327</v>
      </c>
      <c r="K265" s="18"/>
      <c r="L265" s="14"/>
      <c r="N265" s="14"/>
    </row>
    <row r="266" spans="1:14" x14ac:dyDescent="0.25">
      <c r="A266" s="4"/>
      <c r="B266" s="14"/>
      <c r="C266" s="17" t="str">
        <f t="shared" si="4"/>
        <v>28.801011.-4109.946..CLEAR SCHEDULE.</v>
      </c>
      <c r="D266" s="14"/>
      <c r="E266">
        <v>28</v>
      </c>
      <c r="F266">
        <v>801011</v>
      </c>
      <c r="G266" s="1">
        <v>-41.09</v>
      </c>
      <c r="H266" t="s">
        <v>664</v>
      </c>
      <c r="J266" s="18" t="s">
        <v>4327</v>
      </c>
      <c r="K266" s="18"/>
      <c r="L266" s="14"/>
      <c r="N266" s="14"/>
    </row>
    <row r="267" spans="1:14" x14ac:dyDescent="0.25">
      <c r="A267" s="4"/>
      <c r="B267" s="14"/>
      <c r="C267" s="17" t="str">
        <f t="shared" ref="C267:C330" si="5">IF(G267=0,"",(E267&amp;"."&amp;F267&amp;"."&amp;G267*100&amp;"."&amp;H267&amp;"."&amp;I267&amp;"."&amp;J267&amp;"."&amp;K267))</f>
        <v>28.801011.-21666.947..CLEAR SCHEDULE.</v>
      </c>
      <c r="D267" s="14"/>
      <c r="E267">
        <v>28</v>
      </c>
      <c r="F267">
        <v>801011</v>
      </c>
      <c r="G267" s="2">
        <v>-216.66</v>
      </c>
      <c r="H267" t="s">
        <v>665</v>
      </c>
      <c r="J267" s="18" t="s">
        <v>4327</v>
      </c>
      <c r="K267" s="18"/>
      <c r="L267" s="14"/>
      <c r="N267" s="14"/>
    </row>
    <row r="268" spans="1:14" x14ac:dyDescent="0.25">
      <c r="A268" s="4"/>
      <c r="B268" s="14"/>
      <c r="C268" s="17" t="str">
        <f t="shared" si="5"/>
        <v>28.801011.-2784.948..CLEAR SCHEDULE.</v>
      </c>
      <c r="D268" s="14"/>
      <c r="E268">
        <v>28</v>
      </c>
      <c r="F268">
        <v>801011</v>
      </c>
      <c r="G268" s="1">
        <v>-27.84</v>
      </c>
      <c r="H268" t="s">
        <v>666</v>
      </c>
      <c r="J268" s="18" t="s">
        <v>4327</v>
      </c>
      <c r="K268" s="18"/>
      <c r="L268" s="14"/>
      <c r="N268" s="14"/>
    </row>
    <row r="269" spans="1:14" x14ac:dyDescent="0.25">
      <c r="A269" s="4"/>
      <c r="B269" s="14"/>
      <c r="C269" s="17" t="str">
        <f t="shared" si="5"/>
        <v>28.801011.-4543.949..CLEAR SCHEDULE.</v>
      </c>
      <c r="D269" s="14"/>
      <c r="E269">
        <v>28</v>
      </c>
      <c r="F269">
        <v>801011</v>
      </c>
      <c r="G269" s="2">
        <v>-45.43</v>
      </c>
      <c r="H269" t="s">
        <v>667</v>
      </c>
      <c r="J269" s="18" t="s">
        <v>4327</v>
      </c>
      <c r="K269" s="18"/>
      <c r="L269" s="14"/>
      <c r="N269" s="14"/>
    </row>
    <row r="270" spans="1:14" x14ac:dyDescent="0.25">
      <c r="A270" s="4"/>
      <c r="B270" s="14"/>
      <c r="C270" s="17" t="str">
        <f t="shared" si="5"/>
        <v>28.801011.-801.951..CLEAR SCHEDULE.</v>
      </c>
      <c r="D270" s="14"/>
      <c r="E270">
        <v>28</v>
      </c>
      <c r="F270">
        <v>801011</v>
      </c>
      <c r="G270" s="1">
        <v>-8.01</v>
      </c>
      <c r="H270" t="s">
        <v>668</v>
      </c>
      <c r="J270" s="18" t="s">
        <v>4327</v>
      </c>
      <c r="K270" s="18"/>
      <c r="L270" s="14"/>
      <c r="N270" s="14"/>
    </row>
    <row r="271" spans="1:14" x14ac:dyDescent="0.25">
      <c r="A271" s="4"/>
      <c r="B271" s="14"/>
      <c r="C271" s="17" t="str">
        <f t="shared" si="5"/>
        <v>28.801011.-801.952..CLEAR SCHEDULE.</v>
      </c>
      <c r="D271" s="14"/>
      <c r="E271">
        <v>28</v>
      </c>
      <c r="F271">
        <v>801011</v>
      </c>
      <c r="G271" s="2">
        <v>-8.01</v>
      </c>
      <c r="H271" t="s">
        <v>669</v>
      </c>
      <c r="J271" s="18" t="s">
        <v>4327</v>
      </c>
      <c r="K271" s="18"/>
      <c r="L271" s="14"/>
      <c r="N271" s="14"/>
    </row>
    <row r="272" spans="1:14" x14ac:dyDescent="0.25">
      <c r="A272" s="4"/>
      <c r="B272" s="14"/>
      <c r="C272" s="17" t="str">
        <f t="shared" si="5"/>
        <v>28.801011.-3472.953..CLEAR SCHEDULE.</v>
      </c>
      <c r="D272" s="14"/>
      <c r="E272">
        <v>28</v>
      </c>
      <c r="F272">
        <v>801011</v>
      </c>
      <c r="G272" s="1">
        <v>-34.72</v>
      </c>
      <c r="H272" t="s">
        <v>670</v>
      </c>
      <c r="J272" s="18" t="s">
        <v>4327</v>
      </c>
      <c r="K272" s="18"/>
      <c r="L272" s="14"/>
      <c r="N272" s="14"/>
    </row>
    <row r="273" spans="1:14" x14ac:dyDescent="0.25">
      <c r="A273" s="4"/>
      <c r="B273" s="14"/>
      <c r="C273" s="17" t="str">
        <f t="shared" si="5"/>
        <v>28.801011.-5899.954..CLEAR SCHEDULE.</v>
      </c>
      <c r="D273" s="14"/>
      <c r="E273">
        <v>28</v>
      </c>
      <c r="F273">
        <v>801011</v>
      </c>
      <c r="G273" s="2">
        <v>-58.99</v>
      </c>
      <c r="H273" t="s">
        <v>671</v>
      </c>
      <c r="J273" s="18" t="s">
        <v>4327</v>
      </c>
      <c r="K273" s="18"/>
      <c r="L273" s="14"/>
      <c r="N273" s="14"/>
    </row>
    <row r="274" spans="1:14" x14ac:dyDescent="0.25">
      <c r="A274" s="4"/>
      <c r="B274" s="14"/>
      <c r="C274" s="17" t="str">
        <f t="shared" si="5"/>
        <v>28.801011.-801.955..CLEAR SCHEDULE.</v>
      </c>
      <c r="D274" s="14"/>
      <c r="E274">
        <v>28</v>
      </c>
      <c r="F274">
        <v>801011</v>
      </c>
      <c r="G274" s="1">
        <v>-8.01</v>
      </c>
      <c r="H274" t="s">
        <v>672</v>
      </c>
      <c r="J274" s="18" t="s">
        <v>4327</v>
      </c>
      <c r="K274" s="18"/>
      <c r="L274" s="14"/>
      <c r="N274" s="14"/>
    </row>
    <row r="275" spans="1:14" x14ac:dyDescent="0.25">
      <c r="A275" s="4"/>
      <c r="B275" s="14"/>
      <c r="C275" s="17" t="str">
        <f t="shared" si="5"/>
        <v>28.801011.-2592.957..CLEAR SCHEDULE.</v>
      </c>
      <c r="D275" s="14"/>
      <c r="E275">
        <v>28</v>
      </c>
      <c r="F275">
        <v>801011</v>
      </c>
      <c r="G275" s="2">
        <v>-25.92</v>
      </c>
      <c r="H275" t="s">
        <v>673</v>
      </c>
      <c r="J275" s="18" t="s">
        <v>4327</v>
      </c>
      <c r="K275" s="18"/>
      <c r="L275" s="14"/>
      <c r="N275" s="14"/>
    </row>
    <row r="276" spans="1:14" x14ac:dyDescent="0.25">
      <c r="A276" s="4"/>
      <c r="B276" s="14"/>
      <c r="C276" s="17" t="str">
        <f t="shared" si="5"/>
        <v>28.801011.-454.958..CLEAR SCHEDULE.</v>
      </c>
      <c r="D276" s="14"/>
      <c r="E276">
        <v>28</v>
      </c>
      <c r="F276">
        <v>801011</v>
      </c>
      <c r="G276" s="1">
        <v>-4.54</v>
      </c>
      <c r="H276" t="s">
        <v>674</v>
      </c>
      <c r="J276" s="18" t="s">
        <v>4327</v>
      </c>
      <c r="K276" s="18"/>
      <c r="L276" s="14"/>
      <c r="N276" s="14"/>
    </row>
    <row r="277" spans="1:14" x14ac:dyDescent="0.25">
      <c r="A277" s="4"/>
      <c r="B277" s="14"/>
      <c r="C277" s="17" t="str">
        <f t="shared" si="5"/>
        <v>28.801011.-801.959..CLEAR SCHEDULE.</v>
      </c>
      <c r="D277" s="14"/>
      <c r="E277">
        <v>28</v>
      </c>
      <c r="F277">
        <v>801011</v>
      </c>
      <c r="G277" s="2">
        <v>-8.01</v>
      </c>
      <c r="H277" t="s">
        <v>675</v>
      </c>
      <c r="J277" s="18" t="s">
        <v>4327</v>
      </c>
      <c r="K277" s="18"/>
      <c r="L277" s="14"/>
      <c r="N277" s="14"/>
    </row>
    <row r="278" spans="1:14" x14ac:dyDescent="0.25">
      <c r="A278" s="4"/>
      <c r="B278" s="14"/>
      <c r="C278" s="17" t="str">
        <f t="shared" si="5"/>
        <v>28.801011.-20398.960..CLEAR SCHEDULE.</v>
      </c>
      <c r="D278" s="14"/>
      <c r="E278">
        <v>28</v>
      </c>
      <c r="F278">
        <v>801011</v>
      </c>
      <c r="G278" s="1">
        <v>-203.98</v>
      </c>
      <c r="H278" t="s">
        <v>676</v>
      </c>
      <c r="J278" s="18" t="s">
        <v>4327</v>
      </c>
      <c r="K278" s="18"/>
      <c r="L278" s="14"/>
      <c r="N278" s="14"/>
    </row>
    <row r="279" spans="1:14" x14ac:dyDescent="0.25">
      <c r="A279" s="4"/>
      <c r="B279" s="14"/>
      <c r="C279" s="17" t="str">
        <f t="shared" si="5"/>
        <v>28.801011.-42632.961..CLEAR SCHEDULE.</v>
      </c>
      <c r="D279" s="14"/>
      <c r="E279">
        <v>28</v>
      </c>
      <c r="F279">
        <v>801011</v>
      </c>
      <c r="G279" s="2">
        <v>-426.32</v>
      </c>
      <c r="H279" t="s">
        <v>677</v>
      </c>
      <c r="J279" s="18" t="s">
        <v>4327</v>
      </c>
      <c r="K279" s="18"/>
      <c r="L279" s="14"/>
      <c r="N279" s="14"/>
    </row>
    <row r="280" spans="1:14" x14ac:dyDescent="0.25">
      <c r="A280" s="4"/>
      <c r="B280" s="14"/>
      <c r="C280" s="17" t="str">
        <f t="shared" si="5"/>
        <v>28.801011.-721.962..CLEAR SCHEDULE.</v>
      </c>
      <c r="D280" s="14"/>
      <c r="E280">
        <v>28</v>
      </c>
      <c r="F280">
        <v>801011</v>
      </c>
      <c r="G280" s="1">
        <v>-7.21</v>
      </c>
      <c r="H280" t="s">
        <v>678</v>
      </c>
      <c r="J280" s="18" t="s">
        <v>4327</v>
      </c>
      <c r="K280" s="18"/>
      <c r="L280" s="14"/>
      <c r="N280" s="14"/>
    </row>
    <row r="281" spans="1:14" x14ac:dyDescent="0.25">
      <c r="A281" s="4"/>
      <c r="B281" s="14"/>
      <c r="C281" s="17" t="str">
        <f t="shared" si="5"/>
        <v>28.801011.-3363.964..CLEAR SCHEDULE.</v>
      </c>
      <c r="D281" s="14"/>
      <c r="E281">
        <v>28</v>
      </c>
      <c r="F281">
        <v>801011</v>
      </c>
      <c r="G281" s="2">
        <v>-33.630000000000003</v>
      </c>
      <c r="H281" t="s">
        <v>679</v>
      </c>
      <c r="J281" s="18" t="s">
        <v>4327</v>
      </c>
      <c r="K281" s="18"/>
      <c r="L281" s="14"/>
      <c r="N281" s="14"/>
    </row>
    <row r="282" spans="1:14" x14ac:dyDescent="0.25">
      <c r="A282" s="4"/>
      <c r="B282" s="14"/>
      <c r="C282" s="17" t="str">
        <f t="shared" si="5"/>
        <v>28.801011.-1610.966..CLEAR SCHEDULE.</v>
      </c>
      <c r="D282" s="14"/>
      <c r="E282">
        <v>28</v>
      </c>
      <c r="F282">
        <v>801011</v>
      </c>
      <c r="G282" s="1">
        <v>-16.100000000000001</v>
      </c>
      <c r="H282" t="s">
        <v>680</v>
      </c>
      <c r="J282" s="18" t="s">
        <v>4327</v>
      </c>
      <c r="K282" s="18"/>
      <c r="L282" s="14"/>
      <c r="N282" s="14"/>
    </row>
    <row r="283" spans="1:14" x14ac:dyDescent="0.25">
      <c r="A283" s="4"/>
      <c r="B283" s="14"/>
      <c r="C283" s="17" t="str">
        <f t="shared" si="5"/>
        <v>28.801011.-1687.967..CLEAR SCHEDULE.</v>
      </c>
      <c r="D283" s="14"/>
      <c r="E283">
        <v>28</v>
      </c>
      <c r="F283">
        <v>801011</v>
      </c>
      <c r="G283" s="2">
        <v>-16.87</v>
      </c>
      <c r="H283" t="s">
        <v>681</v>
      </c>
      <c r="J283" s="18" t="s">
        <v>4327</v>
      </c>
      <c r="K283" s="18"/>
      <c r="L283" s="14"/>
      <c r="N283" s="14"/>
    </row>
    <row r="284" spans="1:14" x14ac:dyDescent="0.25">
      <c r="A284" s="4"/>
      <c r="B284" s="14"/>
      <c r="C284" s="17" t="str">
        <f t="shared" si="5"/>
        <v>28.801011.-6939.969..CLEAR SCHEDULE.</v>
      </c>
      <c r="D284" s="14"/>
      <c r="E284">
        <v>28</v>
      </c>
      <c r="F284">
        <v>801011</v>
      </c>
      <c r="G284" s="1">
        <v>-69.39</v>
      </c>
      <c r="H284" t="s">
        <v>682</v>
      </c>
      <c r="J284" s="18" t="s">
        <v>4327</v>
      </c>
      <c r="K284" s="18"/>
      <c r="L284" s="14"/>
      <c r="N284" s="14"/>
    </row>
    <row r="285" spans="1:14" x14ac:dyDescent="0.25">
      <c r="A285" s="4"/>
      <c r="B285" s="14"/>
      <c r="C285" s="17" t="str">
        <f t="shared" si="5"/>
        <v>28.801011.-662.970..CLEAR SCHEDULE.</v>
      </c>
      <c r="D285" s="14"/>
      <c r="E285">
        <v>28</v>
      </c>
      <c r="F285">
        <v>801011</v>
      </c>
      <c r="G285" s="2">
        <v>-6.62</v>
      </c>
      <c r="H285" t="s">
        <v>683</v>
      </c>
      <c r="J285" s="18" t="s">
        <v>4327</v>
      </c>
      <c r="K285" s="18"/>
      <c r="L285" s="14"/>
      <c r="N285" s="14"/>
    </row>
    <row r="286" spans="1:14" x14ac:dyDescent="0.25">
      <c r="A286" s="4"/>
      <c r="B286" s="14"/>
      <c r="C286" s="17" t="str">
        <f t="shared" si="5"/>
        <v>28.801011.-16245.971..CLEAR SCHEDULE.</v>
      </c>
      <c r="D286" s="14"/>
      <c r="E286">
        <v>28</v>
      </c>
      <c r="F286">
        <v>801011</v>
      </c>
      <c r="G286" s="1">
        <v>-162.44999999999999</v>
      </c>
      <c r="H286" t="s">
        <v>684</v>
      </c>
      <c r="J286" s="18" t="s">
        <v>4327</v>
      </c>
      <c r="K286" s="18"/>
      <c r="L286" s="14"/>
      <c r="N286" s="14"/>
    </row>
    <row r="287" spans="1:14" x14ac:dyDescent="0.25">
      <c r="A287" s="4"/>
      <c r="B287" s="14"/>
      <c r="C287" s="17" t="str">
        <f t="shared" si="5"/>
        <v>28.801011.-14648.972..CLEAR SCHEDULE.</v>
      </c>
      <c r="D287" s="14"/>
      <c r="E287">
        <v>28</v>
      </c>
      <c r="F287">
        <v>801011</v>
      </c>
      <c r="G287" s="2">
        <v>-146.47999999999999</v>
      </c>
      <c r="H287" t="s">
        <v>685</v>
      </c>
      <c r="J287" s="18" t="s">
        <v>4327</v>
      </c>
      <c r="K287" s="18"/>
      <c r="L287" s="14"/>
      <c r="N287" s="14"/>
    </row>
    <row r="288" spans="1:14" x14ac:dyDescent="0.25">
      <c r="A288" s="4"/>
      <c r="B288" s="14"/>
      <c r="C288" s="17" t="str">
        <f t="shared" si="5"/>
        <v>28.801011.-108793.973..CLEAR SCHEDULE.</v>
      </c>
      <c r="D288" s="14"/>
      <c r="E288">
        <v>28</v>
      </c>
      <c r="F288">
        <v>801011</v>
      </c>
      <c r="G288" s="1">
        <v>-1087.93</v>
      </c>
      <c r="H288" t="s">
        <v>686</v>
      </c>
      <c r="J288" s="18" t="s">
        <v>4327</v>
      </c>
      <c r="K288" s="18"/>
      <c r="L288" s="14"/>
      <c r="N288" s="14"/>
    </row>
    <row r="289" spans="1:14" x14ac:dyDescent="0.25">
      <c r="A289" s="4"/>
      <c r="B289" s="14"/>
      <c r="C289" s="17" t="str">
        <f t="shared" si="5"/>
        <v>28.801011.-5047.974..CLEAR SCHEDULE.</v>
      </c>
      <c r="D289" s="14"/>
      <c r="E289">
        <v>28</v>
      </c>
      <c r="F289">
        <v>801011</v>
      </c>
      <c r="G289" s="2">
        <v>-50.47</v>
      </c>
      <c r="H289" t="s">
        <v>687</v>
      </c>
      <c r="J289" s="18" t="s">
        <v>4327</v>
      </c>
      <c r="K289" s="18"/>
      <c r="L289" s="14"/>
      <c r="N289" s="14"/>
    </row>
    <row r="290" spans="1:14" x14ac:dyDescent="0.25">
      <c r="A290" s="4"/>
      <c r="B290" s="14"/>
      <c r="C290" s="17" t="str">
        <f t="shared" si="5"/>
        <v>28.801011.-9725.975..CLEAR SCHEDULE.</v>
      </c>
      <c r="D290" s="14"/>
      <c r="E290">
        <v>28</v>
      </c>
      <c r="F290">
        <v>801011</v>
      </c>
      <c r="G290" s="1">
        <v>-97.25</v>
      </c>
      <c r="H290" t="s">
        <v>688</v>
      </c>
      <c r="J290" s="18" t="s">
        <v>4327</v>
      </c>
      <c r="K290" s="18"/>
      <c r="L290" s="14"/>
      <c r="N290" s="14"/>
    </row>
    <row r="291" spans="1:14" x14ac:dyDescent="0.25">
      <c r="A291" s="4"/>
      <c r="B291" s="14"/>
      <c r="C291" s="17" t="str">
        <f t="shared" si="5"/>
        <v>28.801011.-7184.976..CLEAR SCHEDULE.</v>
      </c>
      <c r="D291" s="14"/>
      <c r="E291">
        <v>28</v>
      </c>
      <c r="F291">
        <v>801011</v>
      </c>
      <c r="G291" s="2">
        <v>-71.84</v>
      </c>
      <c r="H291" t="s">
        <v>689</v>
      </c>
      <c r="J291" s="18" t="s">
        <v>4327</v>
      </c>
      <c r="K291" s="18"/>
      <c r="L291" s="14"/>
      <c r="N291" s="14"/>
    </row>
    <row r="292" spans="1:14" x14ac:dyDescent="0.25">
      <c r="A292" s="4"/>
      <c r="B292" s="14"/>
      <c r="C292" s="17" t="str">
        <f t="shared" si="5"/>
        <v>28.801011.-33715.977..CLEAR SCHEDULE.</v>
      </c>
      <c r="D292" s="14"/>
      <c r="E292">
        <v>28</v>
      </c>
      <c r="F292">
        <v>801011</v>
      </c>
      <c r="G292" s="1">
        <v>-337.15</v>
      </c>
      <c r="H292" t="s">
        <v>690</v>
      </c>
      <c r="J292" s="18" t="s">
        <v>4327</v>
      </c>
      <c r="K292" s="18"/>
      <c r="L292" s="14"/>
      <c r="N292" s="14"/>
    </row>
    <row r="293" spans="1:14" x14ac:dyDescent="0.25">
      <c r="A293" s="4"/>
      <c r="B293" s="14"/>
      <c r="C293" s="17" t="str">
        <f t="shared" si="5"/>
        <v>28.801011.-20185.978..CLEAR SCHEDULE.</v>
      </c>
      <c r="D293" s="14"/>
      <c r="E293">
        <v>28</v>
      </c>
      <c r="F293">
        <v>801011</v>
      </c>
      <c r="G293" s="2">
        <v>-201.85</v>
      </c>
      <c r="H293" t="s">
        <v>691</v>
      </c>
      <c r="J293" s="18" t="s">
        <v>4327</v>
      </c>
      <c r="K293" s="18"/>
      <c r="L293" s="14"/>
      <c r="N293" s="14"/>
    </row>
    <row r="294" spans="1:14" x14ac:dyDescent="0.25">
      <c r="A294" s="4"/>
      <c r="B294" s="14"/>
      <c r="C294" s="17" t="str">
        <f t="shared" si="5"/>
        <v>28.801011.-4998.980..CLEAR SCHEDULE.</v>
      </c>
      <c r="D294" s="14"/>
      <c r="E294">
        <v>28</v>
      </c>
      <c r="F294">
        <v>801011</v>
      </c>
      <c r="G294" s="1">
        <v>-49.98</v>
      </c>
      <c r="H294" t="s">
        <v>692</v>
      </c>
      <c r="J294" s="18" t="s">
        <v>4327</v>
      </c>
      <c r="K294" s="18"/>
      <c r="L294" s="14"/>
      <c r="N294" s="14"/>
    </row>
    <row r="295" spans="1:14" x14ac:dyDescent="0.25">
      <c r="A295" s="4"/>
      <c r="B295" s="14"/>
      <c r="C295" s="17" t="str">
        <f t="shared" si="5"/>
        <v>28.801011.-2544.981..CLEAR SCHEDULE.</v>
      </c>
      <c r="D295" s="14"/>
      <c r="E295">
        <v>28</v>
      </c>
      <c r="F295">
        <v>801011</v>
      </c>
      <c r="G295" s="2">
        <v>-25.44</v>
      </c>
      <c r="H295" t="s">
        <v>693</v>
      </c>
      <c r="J295" s="18" t="s">
        <v>4327</v>
      </c>
      <c r="K295" s="18"/>
      <c r="L295" s="14"/>
      <c r="N295" s="14"/>
    </row>
    <row r="296" spans="1:14" x14ac:dyDescent="0.25">
      <c r="A296" s="4"/>
      <c r="B296" s="14"/>
      <c r="C296" s="17" t="str">
        <f t="shared" si="5"/>
        <v>28.801011.-16391.982..CLEAR SCHEDULE.</v>
      </c>
      <c r="D296" s="14"/>
      <c r="E296">
        <v>28</v>
      </c>
      <c r="F296">
        <v>801011</v>
      </c>
      <c r="G296" s="1">
        <v>-163.91</v>
      </c>
      <c r="H296" t="s">
        <v>694</v>
      </c>
      <c r="J296" s="18" t="s">
        <v>4327</v>
      </c>
      <c r="K296" s="18"/>
      <c r="L296" s="14"/>
      <c r="N296" s="14"/>
    </row>
    <row r="297" spans="1:14" x14ac:dyDescent="0.25">
      <c r="A297" s="4"/>
      <c r="B297" s="14"/>
      <c r="C297" s="17" t="str">
        <f t="shared" si="5"/>
        <v>28.801011.-8689.983..CLEAR SCHEDULE.</v>
      </c>
      <c r="D297" s="14"/>
      <c r="E297">
        <v>28</v>
      </c>
      <c r="F297">
        <v>801011</v>
      </c>
      <c r="G297" s="2">
        <v>-86.89</v>
      </c>
      <c r="H297" t="s">
        <v>695</v>
      </c>
      <c r="J297" s="18" t="s">
        <v>4327</v>
      </c>
      <c r="K297" s="18"/>
      <c r="L297" s="14"/>
      <c r="N297" s="14"/>
    </row>
    <row r="298" spans="1:14" x14ac:dyDescent="0.25">
      <c r="A298" s="4"/>
      <c r="B298" s="14"/>
      <c r="C298" s="17" t="str">
        <f t="shared" si="5"/>
        <v>28.801011.-111554.984..CLEAR SCHEDULE.</v>
      </c>
      <c r="D298" s="14"/>
      <c r="E298">
        <v>28</v>
      </c>
      <c r="F298">
        <v>801011</v>
      </c>
      <c r="G298" s="1">
        <v>-1115.54</v>
      </c>
      <c r="H298" t="s">
        <v>696</v>
      </c>
      <c r="J298" s="18" t="s">
        <v>4327</v>
      </c>
      <c r="K298" s="18"/>
      <c r="L298" s="14"/>
      <c r="N298" s="14"/>
    </row>
    <row r="299" spans="1:14" x14ac:dyDescent="0.25">
      <c r="A299" s="4"/>
      <c r="B299" s="14"/>
      <c r="C299" s="17" t="str">
        <f t="shared" si="5"/>
        <v>28.801011.-6725.985..CLEAR SCHEDULE.</v>
      </c>
      <c r="D299" s="14"/>
      <c r="E299">
        <v>28</v>
      </c>
      <c r="F299">
        <v>801011</v>
      </c>
      <c r="G299" s="2">
        <v>-67.25</v>
      </c>
      <c r="H299" t="s">
        <v>697</v>
      </c>
      <c r="J299" s="18" t="s">
        <v>4327</v>
      </c>
      <c r="K299" s="18"/>
      <c r="L299" s="14"/>
      <c r="N299" s="14"/>
    </row>
    <row r="300" spans="1:14" x14ac:dyDescent="0.25">
      <c r="A300" s="4"/>
      <c r="B300" s="14"/>
      <c r="C300" s="17" t="str">
        <f t="shared" si="5"/>
        <v>28.801011.-6236.986..CLEAR SCHEDULE.</v>
      </c>
      <c r="D300" s="14"/>
      <c r="E300">
        <v>28</v>
      </c>
      <c r="F300">
        <v>801011</v>
      </c>
      <c r="G300" s="1">
        <v>-62.36</v>
      </c>
      <c r="H300" t="s">
        <v>698</v>
      </c>
      <c r="J300" s="18" t="s">
        <v>4327</v>
      </c>
      <c r="K300" s="18"/>
      <c r="L300" s="14"/>
      <c r="N300" s="14"/>
    </row>
    <row r="301" spans="1:14" x14ac:dyDescent="0.25">
      <c r="A301" s="4"/>
      <c r="B301" s="14"/>
      <c r="C301" s="17" t="str">
        <f t="shared" si="5"/>
        <v>28.801011.-1601.987..CLEAR SCHEDULE.</v>
      </c>
      <c r="D301" s="14"/>
      <c r="E301">
        <v>28</v>
      </c>
      <c r="F301">
        <v>801011</v>
      </c>
      <c r="G301" s="2">
        <v>-16.010000000000002</v>
      </c>
      <c r="H301" t="s">
        <v>699</v>
      </c>
      <c r="J301" s="18" t="s">
        <v>4327</v>
      </c>
      <c r="K301" s="18"/>
      <c r="L301" s="14"/>
      <c r="N301" s="14"/>
    </row>
    <row r="302" spans="1:14" x14ac:dyDescent="0.25">
      <c r="A302" s="4"/>
      <c r="B302" s="14"/>
      <c r="C302" s="17" t="str">
        <f t="shared" si="5"/>
        <v>28.801011.-8136.988..CLEAR SCHEDULE.</v>
      </c>
      <c r="D302" s="14"/>
      <c r="E302">
        <v>28</v>
      </c>
      <c r="F302">
        <v>801011</v>
      </c>
      <c r="G302" s="1">
        <v>-81.36</v>
      </c>
      <c r="H302" t="s">
        <v>700</v>
      </c>
      <c r="J302" s="18" t="s">
        <v>4327</v>
      </c>
      <c r="K302" s="18"/>
      <c r="L302" s="14"/>
      <c r="N302" s="14"/>
    </row>
    <row r="303" spans="1:14" x14ac:dyDescent="0.25">
      <c r="A303" s="4"/>
      <c r="B303" s="14"/>
      <c r="C303" s="17" t="str">
        <f t="shared" si="5"/>
        <v>28.801011.-1773.989..CLEAR SCHEDULE.</v>
      </c>
      <c r="D303" s="14"/>
      <c r="E303">
        <v>28</v>
      </c>
      <c r="F303">
        <v>801011</v>
      </c>
      <c r="G303" s="2">
        <v>-17.73</v>
      </c>
      <c r="H303" t="s">
        <v>701</v>
      </c>
      <c r="J303" s="18" t="s">
        <v>4327</v>
      </c>
      <c r="K303" s="18"/>
      <c r="L303" s="14"/>
      <c r="N303" s="14"/>
    </row>
    <row r="304" spans="1:14" x14ac:dyDescent="0.25">
      <c r="A304" s="4"/>
      <c r="B304" s="14"/>
      <c r="C304" s="17" t="str">
        <f t="shared" si="5"/>
        <v>28.801011.-4264.990..CLEAR SCHEDULE.</v>
      </c>
      <c r="D304" s="14"/>
      <c r="E304">
        <v>28</v>
      </c>
      <c r="F304">
        <v>801011</v>
      </c>
      <c r="G304" s="1">
        <v>-42.64</v>
      </c>
      <c r="H304" t="s">
        <v>702</v>
      </c>
      <c r="J304" s="18" t="s">
        <v>4327</v>
      </c>
      <c r="K304" s="18"/>
      <c r="L304" s="14"/>
      <c r="N304" s="14"/>
    </row>
    <row r="305" spans="1:14" x14ac:dyDescent="0.25">
      <c r="A305" s="4"/>
      <c r="B305" s="14"/>
      <c r="C305" s="17" t="str">
        <f t="shared" si="5"/>
        <v>28.801011.-641.991..CLEAR SCHEDULE.</v>
      </c>
      <c r="D305" s="14"/>
      <c r="E305">
        <v>28</v>
      </c>
      <c r="F305">
        <v>801011</v>
      </c>
      <c r="G305" s="2">
        <v>-6.41</v>
      </c>
      <c r="H305" t="s">
        <v>703</v>
      </c>
      <c r="J305" s="18" t="s">
        <v>4327</v>
      </c>
      <c r="K305" s="18"/>
      <c r="L305" s="14"/>
      <c r="N305" s="14"/>
    </row>
    <row r="306" spans="1:14" x14ac:dyDescent="0.25">
      <c r="A306" s="4"/>
      <c r="B306" s="14"/>
      <c r="C306" s="17" t="str">
        <f t="shared" si="5"/>
        <v>28.801011.-7483.992..CLEAR SCHEDULE.</v>
      </c>
      <c r="D306" s="14"/>
      <c r="E306">
        <v>28</v>
      </c>
      <c r="F306">
        <v>801011</v>
      </c>
      <c r="G306" s="1">
        <v>-74.83</v>
      </c>
      <c r="H306" t="s">
        <v>704</v>
      </c>
      <c r="J306" s="18" t="s">
        <v>4327</v>
      </c>
      <c r="K306" s="18"/>
      <c r="L306" s="14"/>
      <c r="N306" s="14"/>
    </row>
    <row r="307" spans="1:14" x14ac:dyDescent="0.25">
      <c r="A307" s="4"/>
      <c r="B307" s="14"/>
      <c r="C307" s="17" t="str">
        <f t="shared" si="5"/>
        <v>28.801011.-7184.993..CLEAR SCHEDULE.</v>
      </c>
      <c r="D307" s="14"/>
      <c r="E307">
        <v>28</v>
      </c>
      <c r="F307">
        <v>801011</v>
      </c>
      <c r="G307" s="2">
        <v>-71.84</v>
      </c>
      <c r="H307" t="s">
        <v>705</v>
      </c>
      <c r="J307" s="18" t="s">
        <v>4327</v>
      </c>
      <c r="K307" s="18"/>
      <c r="L307" s="14"/>
      <c r="N307" s="14"/>
    </row>
    <row r="308" spans="1:14" x14ac:dyDescent="0.25">
      <c r="A308" s="4"/>
      <c r="B308" s="14"/>
      <c r="C308" s="17" t="str">
        <f t="shared" si="5"/>
        <v>28.801011.-1014.994..CLEAR SCHEDULE.</v>
      </c>
      <c r="D308" s="14"/>
      <c r="E308">
        <v>28</v>
      </c>
      <c r="F308">
        <v>801011</v>
      </c>
      <c r="G308" s="1">
        <v>-10.14</v>
      </c>
      <c r="H308" t="s">
        <v>706</v>
      </c>
      <c r="J308" s="18" t="s">
        <v>4327</v>
      </c>
      <c r="K308" s="18"/>
      <c r="L308" s="14"/>
      <c r="N308" s="14"/>
    </row>
    <row r="309" spans="1:14" x14ac:dyDescent="0.25">
      <c r="A309" s="4"/>
      <c r="B309" s="14"/>
      <c r="C309" s="17" t="str">
        <f t="shared" si="5"/>
        <v>28.801011.-23257.995..CLEAR SCHEDULE.</v>
      </c>
      <c r="D309" s="14"/>
      <c r="E309">
        <v>28</v>
      </c>
      <c r="F309">
        <v>801011</v>
      </c>
      <c r="G309" s="2">
        <v>-232.57</v>
      </c>
      <c r="H309" t="s">
        <v>707</v>
      </c>
      <c r="J309" s="18" t="s">
        <v>4327</v>
      </c>
      <c r="K309" s="18"/>
      <c r="L309" s="14"/>
      <c r="N309" s="14"/>
    </row>
    <row r="310" spans="1:14" x14ac:dyDescent="0.25">
      <c r="A310" s="4"/>
      <c r="B310" s="14"/>
      <c r="C310" s="17" t="str">
        <f t="shared" si="5"/>
        <v>28.801011.-7719.998..CLEAR SCHEDULE.</v>
      </c>
      <c r="D310" s="14"/>
      <c r="E310">
        <v>28</v>
      </c>
      <c r="F310">
        <v>801011</v>
      </c>
      <c r="G310" s="1">
        <v>-77.19</v>
      </c>
      <c r="H310" t="s">
        <v>708</v>
      </c>
      <c r="J310" s="18" t="s">
        <v>4327</v>
      </c>
      <c r="K310" s="18"/>
      <c r="L310" s="14"/>
      <c r="N310" s="14"/>
    </row>
    <row r="311" spans="1:14" x14ac:dyDescent="0.25">
      <c r="A311" s="4"/>
      <c r="B311" s="14"/>
      <c r="C311" s="17" t="str">
        <f t="shared" si="5"/>
        <v>28.801011.-3878.999..CLEAR SCHEDULE.</v>
      </c>
      <c r="D311" s="14"/>
      <c r="E311">
        <v>28</v>
      </c>
      <c r="F311">
        <v>801011</v>
      </c>
      <c r="G311" s="2">
        <v>-38.78</v>
      </c>
      <c r="H311" t="s">
        <v>709</v>
      </c>
      <c r="J311" s="18" t="s">
        <v>4327</v>
      </c>
      <c r="K311" s="18"/>
      <c r="L311" s="14"/>
      <c r="N311" s="14"/>
    </row>
    <row r="312" spans="1:14" x14ac:dyDescent="0.25">
      <c r="A312" s="4"/>
      <c r="B312" s="14"/>
      <c r="C312" s="17" t="str">
        <f t="shared" si="5"/>
        <v>28.801011.-45999.1000..CLEAR SCHEDULE.</v>
      </c>
      <c r="D312" s="14"/>
      <c r="E312">
        <v>28</v>
      </c>
      <c r="F312">
        <v>801011</v>
      </c>
      <c r="G312" s="1">
        <v>-459.99</v>
      </c>
      <c r="H312" t="s">
        <v>710</v>
      </c>
      <c r="J312" s="18" t="s">
        <v>4327</v>
      </c>
      <c r="K312" s="18"/>
      <c r="L312" s="14"/>
      <c r="N312" s="14"/>
    </row>
    <row r="313" spans="1:14" x14ac:dyDescent="0.25">
      <c r="A313" s="4"/>
      <c r="B313" s="14"/>
      <c r="C313" s="17" t="str">
        <f t="shared" si="5"/>
        <v>28.801011.406482.1001..CLEAR SCHEDULE.</v>
      </c>
      <c r="D313" s="14"/>
      <c r="E313">
        <v>28</v>
      </c>
      <c r="F313">
        <v>801011</v>
      </c>
      <c r="G313" s="2">
        <v>4064.82</v>
      </c>
      <c r="H313" t="s">
        <v>711</v>
      </c>
      <c r="J313" s="18" t="s">
        <v>4327</v>
      </c>
      <c r="K313" s="18"/>
      <c r="L313" s="14"/>
      <c r="N313" s="14"/>
    </row>
    <row r="314" spans="1:14" x14ac:dyDescent="0.25">
      <c r="A314" s="4"/>
      <c r="B314" s="14"/>
      <c r="C314" s="17" t="str">
        <f t="shared" si="5"/>
        <v>28.801011.-4288.1002..CLEAR SCHEDULE.</v>
      </c>
      <c r="D314" s="14"/>
      <c r="E314">
        <v>28</v>
      </c>
      <c r="F314">
        <v>801011</v>
      </c>
      <c r="G314" s="1">
        <v>-42.88</v>
      </c>
      <c r="H314" t="s">
        <v>712</v>
      </c>
      <c r="J314" s="18" t="s">
        <v>4327</v>
      </c>
      <c r="K314" s="18"/>
      <c r="L314" s="14"/>
      <c r="N314" s="14"/>
    </row>
    <row r="315" spans="1:14" x14ac:dyDescent="0.25">
      <c r="A315" s="4"/>
      <c r="B315" s="14"/>
      <c r="C315" s="17" t="str">
        <f t="shared" si="5"/>
        <v>28.801011.260443.1003..CLEAR SCHEDULE.</v>
      </c>
      <c r="D315" s="14"/>
      <c r="E315">
        <v>28</v>
      </c>
      <c r="F315">
        <v>801011</v>
      </c>
      <c r="G315" s="2">
        <v>2604.4299999999998</v>
      </c>
      <c r="H315" t="s">
        <v>713</v>
      </c>
      <c r="J315" s="18" t="s">
        <v>4327</v>
      </c>
      <c r="K315" s="18"/>
      <c r="L315" s="14"/>
      <c r="N315" s="14"/>
    </row>
    <row r="316" spans="1:14" x14ac:dyDescent="0.25">
      <c r="A316" s="4"/>
      <c r="B316" s="14"/>
      <c r="C316" s="17" t="str">
        <f t="shared" si="5"/>
        <v>28.801011.-2302.1004..CLEAR SCHEDULE.</v>
      </c>
      <c r="D316" s="14"/>
      <c r="E316">
        <v>28</v>
      </c>
      <c r="F316">
        <v>801011</v>
      </c>
      <c r="G316" s="1">
        <v>-23.02</v>
      </c>
      <c r="H316" t="s">
        <v>714</v>
      </c>
      <c r="J316" s="18" t="s">
        <v>4327</v>
      </c>
      <c r="K316" s="18"/>
      <c r="L316" s="14"/>
      <c r="N316" s="14"/>
    </row>
    <row r="317" spans="1:14" x14ac:dyDescent="0.25">
      <c r="A317" s="4"/>
      <c r="B317" s="14"/>
      <c r="C317" s="17" t="str">
        <f t="shared" si="5"/>
        <v>28.801011.-30799.1006..CLEAR SCHEDULE.</v>
      </c>
      <c r="D317" s="14"/>
      <c r="E317">
        <v>28</v>
      </c>
      <c r="F317">
        <v>801011</v>
      </c>
      <c r="G317" s="2">
        <v>-307.99</v>
      </c>
      <c r="H317" t="s">
        <v>715</v>
      </c>
      <c r="J317" s="18" t="s">
        <v>4327</v>
      </c>
      <c r="K317" s="18"/>
      <c r="L317" s="14"/>
      <c r="N317" s="14"/>
    </row>
    <row r="318" spans="1:14" x14ac:dyDescent="0.25">
      <c r="A318" s="4"/>
      <c r="B318" s="14"/>
      <c r="C318" s="17" t="str">
        <f t="shared" si="5"/>
        <v>28.801011.-4334.1007..CLEAR SCHEDULE.</v>
      </c>
      <c r="D318" s="14"/>
      <c r="E318">
        <v>28</v>
      </c>
      <c r="F318">
        <v>801011</v>
      </c>
      <c r="G318" s="1">
        <v>-43.34</v>
      </c>
      <c r="H318" t="s">
        <v>716</v>
      </c>
      <c r="J318" s="18" t="s">
        <v>4327</v>
      </c>
      <c r="K318" s="18"/>
      <c r="L318" s="14"/>
      <c r="N318" s="14"/>
    </row>
    <row r="319" spans="1:14" x14ac:dyDescent="0.25">
      <c r="A319" s="4"/>
      <c r="B319" s="14"/>
      <c r="C319" s="17" t="str">
        <f t="shared" si="5"/>
        <v>28.801011.-801.1008..CLEAR SCHEDULE.</v>
      </c>
      <c r="D319" s="14"/>
      <c r="E319">
        <v>28</v>
      </c>
      <c r="F319">
        <v>801011</v>
      </c>
      <c r="G319" s="2">
        <v>-8.01</v>
      </c>
      <c r="H319" t="s">
        <v>717</v>
      </c>
      <c r="J319" s="18" t="s">
        <v>4327</v>
      </c>
      <c r="K319" s="18"/>
      <c r="L319" s="14"/>
      <c r="N319" s="14"/>
    </row>
    <row r="320" spans="1:14" x14ac:dyDescent="0.25">
      <c r="A320" s="4"/>
      <c r="B320" s="14"/>
      <c r="C320" s="17" t="str">
        <f t="shared" si="5"/>
        <v>28.801011.-1693.1009..CLEAR SCHEDULE.</v>
      </c>
      <c r="D320" s="14"/>
      <c r="E320">
        <v>28</v>
      </c>
      <c r="F320">
        <v>801011</v>
      </c>
      <c r="G320" s="1">
        <v>-16.93</v>
      </c>
      <c r="H320" t="s">
        <v>718</v>
      </c>
      <c r="J320" s="18" t="s">
        <v>4327</v>
      </c>
      <c r="K320" s="18"/>
      <c r="L320" s="14"/>
      <c r="N320" s="14"/>
    </row>
    <row r="321" spans="1:14" x14ac:dyDescent="0.25">
      <c r="A321" s="4"/>
      <c r="B321" s="14"/>
      <c r="C321" s="17" t="str">
        <f t="shared" si="5"/>
        <v>28.801011.-200383.1010..CLEAR SCHEDULE.</v>
      </c>
      <c r="D321" s="14"/>
      <c r="E321">
        <v>28</v>
      </c>
      <c r="F321">
        <v>801011</v>
      </c>
      <c r="G321" s="2">
        <v>-2003.83</v>
      </c>
      <c r="H321" t="s">
        <v>719</v>
      </c>
      <c r="J321" s="18" t="s">
        <v>4327</v>
      </c>
      <c r="K321" s="18"/>
      <c r="L321" s="14"/>
      <c r="N321" s="14"/>
    </row>
    <row r="322" spans="1:14" x14ac:dyDescent="0.25">
      <c r="A322" s="4"/>
      <c r="B322" s="14"/>
      <c r="C322" s="17" t="str">
        <f t="shared" si="5"/>
        <v>28.801011.-2028.1012..CLEAR SCHEDULE.</v>
      </c>
      <c r="D322" s="14"/>
      <c r="E322">
        <v>28</v>
      </c>
      <c r="F322">
        <v>801011</v>
      </c>
      <c r="G322" s="1">
        <v>-20.28</v>
      </c>
      <c r="H322" t="s">
        <v>720</v>
      </c>
      <c r="J322" s="18" t="s">
        <v>4327</v>
      </c>
      <c r="K322" s="18"/>
      <c r="L322" s="14"/>
      <c r="N322" s="14"/>
    </row>
    <row r="323" spans="1:14" x14ac:dyDescent="0.25">
      <c r="A323" s="4"/>
      <c r="B323" s="14"/>
      <c r="C323" s="17" t="str">
        <f t="shared" si="5"/>
        <v>28.801011.-665509.1013..CLEAR SCHEDULE.</v>
      </c>
      <c r="D323" s="14"/>
      <c r="E323">
        <v>28</v>
      </c>
      <c r="F323">
        <v>801011</v>
      </c>
      <c r="G323" s="2">
        <v>-6655.09</v>
      </c>
      <c r="H323" t="s">
        <v>721</v>
      </c>
      <c r="J323" s="18" t="s">
        <v>4327</v>
      </c>
      <c r="K323" s="18"/>
      <c r="L323" s="14"/>
      <c r="N323" s="14"/>
    </row>
    <row r="324" spans="1:14" x14ac:dyDescent="0.25">
      <c r="A324" s="4"/>
      <c r="B324" s="14"/>
      <c r="C324" s="17" t="str">
        <f t="shared" si="5"/>
        <v>28.801011.-3757.1014..CLEAR SCHEDULE.</v>
      </c>
      <c r="D324" s="14"/>
      <c r="E324">
        <v>28</v>
      </c>
      <c r="F324">
        <v>801011</v>
      </c>
      <c r="G324" s="1">
        <v>-37.57</v>
      </c>
      <c r="H324" t="s">
        <v>722</v>
      </c>
      <c r="J324" s="18" t="s">
        <v>4327</v>
      </c>
      <c r="K324" s="18"/>
      <c r="L324" s="14"/>
      <c r="N324" s="14"/>
    </row>
    <row r="325" spans="1:14" x14ac:dyDescent="0.25">
      <c r="A325" s="4"/>
      <c r="B325" s="14"/>
      <c r="C325" s="17" t="str">
        <f t="shared" si="5"/>
        <v>28.801011.-801.1015..CLEAR SCHEDULE.</v>
      </c>
      <c r="D325" s="14"/>
      <c r="E325">
        <v>28</v>
      </c>
      <c r="F325">
        <v>801011</v>
      </c>
      <c r="G325" s="2">
        <v>-8.01</v>
      </c>
      <c r="H325" t="s">
        <v>723</v>
      </c>
      <c r="J325" s="18" t="s">
        <v>4327</v>
      </c>
      <c r="K325" s="18"/>
      <c r="L325" s="14"/>
      <c r="N325" s="14"/>
    </row>
    <row r="326" spans="1:14" x14ac:dyDescent="0.25">
      <c r="A326" s="4"/>
      <c r="B326" s="14"/>
      <c r="C326" s="17" t="str">
        <f t="shared" si="5"/>
        <v>28.801011.-300396.1017..CLEAR SCHEDULE.</v>
      </c>
      <c r="D326" s="14"/>
      <c r="E326">
        <v>28</v>
      </c>
      <c r="F326">
        <v>801011</v>
      </c>
      <c r="G326" s="1">
        <v>-3003.96</v>
      </c>
      <c r="H326" t="s">
        <v>724</v>
      </c>
      <c r="J326" s="18" t="s">
        <v>4327</v>
      </c>
      <c r="K326" s="18"/>
      <c r="L326" s="14"/>
      <c r="N326" s="14"/>
    </row>
    <row r="327" spans="1:14" x14ac:dyDescent="0.25">
      <c r="A327" s="4"/>
      <c r="B327" s="14"/>
      <c r="C327" s="17" t="str">
        <f t="shared" si="5"/>
        <v>28.801011.36226.1018..CLEAR SCHEDULE.</v>
      </c>
      <c r="D327" s="14"/>
      <c r="E327">
        <v>28</v>
      </c>
      <c r="F327">
        <v>801011</v>
      </c>
      <c r="G327" s="2">
        <v>362.26</v>
      </c>
      <c r="H327" t="s">
        <v>725</v>
      </c>
      <c r="J327" s="18" t="s">
        <v>4327</v>
      </c>
      <c r="K327" s="18"/>
      <c r="L327" s="14"/>
      <c r="N327" s="14"/>
    </row>
    <row r="328" spans="1:14" x14ac:dyDescent="0.25">
      <c r="A328" s="4"/>
      <c r="B328" s="14"/>
      <c r="C328" s="17" t="str">
        <f t="shared" si="5"/>
        <v>28.801011.-14116.1019..CLEAR SCHEDULE.</v>
      </c>
      <c r="D328" s="14"/>
      <c r="E328">
        <v>28</v>
      </c>
      <c r="F328">
        <v>801011</v>
      </c>
      <c r="G328" s="1">
        <v>-141.16</v>
      </c>
      <c r="H328" t="s">
        <v>726</v>
      </c>
      <c r="J328" s="18" t="s">
        <v>4327</v>
      </c>
      <c r="K328" s="18"/>
      <c r="L328" s="14"/>
      <c r="N328" s="14"/>
    </row>
    <row r="329" spans="1:14" x14ac:dyDescent="0.25">
      <c r="A329" s="4"/>
      <c r="B329" s="14"/>
      <c r="C329" s="17" t="str">
        <f t="shared" si="5"/>
        <v>28.801011.-1014.1020..CLEAR SCHEDULE.</v>
      </c>
      <c r="D329" s="14"/>
      <c r="E329">
        <v>28</v>
      </c>
      <c r="F329">
        <v>801011</v>
      </c>
      <c r="G329" s="2">
        <v>-10.14</v>
      </c>
      <c r="H329" t="s">
        <v>727</v>
      </c>
      <c r="J329" s="18" t="s">
        <v>4327</v>
      </c>
      <c r="K329" s="18"/>
      <c r="L329" s="14"/>
      <c r="N329" s="14"/>
    </row>
    <row r="330" spans="1:14" x14ac:dyDescent="0.25">
      <c r="A330" s="4"/>
      <c r="B330" s="14"/>
      <c r="C330" s="17" t="str">
        <f t="shared" si="5"/>
        <v>28.801011.-39979.1021..CLEAR SCHEDULE.</v>
      </c>
      <c r="D330" s="14"/>
      <c r="E330">
        <v>28</v>
      </c>
      <c r="F330">
        <v>801011</v>
      </c>
      <c r="G330" s="1">
        <v>-399.79</v>
      </c>
      <c r="H330" t="s">
        <v>728</v>
      </c>
      <c r="J330" s="18" t="s">
        <v>4327</v>
      </c>
      <c r="K330" s="18"/>
      <c r="L330" s="14"/>
      <c r="N330" s="14"/>
    </row>
    <row r="331" spans="1:14" x14ac:dyDescent="0.25">
      <c r="A331" s="4"/>
      <c r="B331" s="14"/>
      <c r="C331" s="17" t="str">
        <f t="shared" ref="C331:C394" si="6">IF(G331=0,"",(E331&amp;"."&amp;F331&amp;"."&amp;G331*100&amp;"."&amp;H331&amp;"."&amp;I331&amp;"."&amp;J331&amp;"."&amp;K331))</f>
        <v>28.801011.-1438.1022..CLEAR SCHEDULE.</v>
      </c>
      <c r="D331" s="14"/>
      <c r="E331">
        <v>28</v>
      </c>
      <c r="F331">
        <v>801011</v>
      </c>
      <c r="G331" s="2">
        <v>-14.38</v>
      </c>
      <c r="H331" t="s">
        <v>729</v>
      </c>
      <c r="J331" s="18" t="s">
        <v>4327</v>
      </c>
      <c r="K331" s="18"/>
      <c r="L331" s="14"/>
      <c r="N331" s="14"/>
    </row>
    <row r="332" spans="1:14" x14ac:dyDescent="0.25">
      <c r="A332" s="4"/>
      <c r="B332" s="14"/>
      <c r="C332" s="17" t="str">
        <f t="shared" si="6"/>
        <v>28.801011.-801.1023..CLEAR SCHEDULE.</v>
      </c>
      <c r="D332" s="14"/>
      <c r="E332">
        <v>28</v>
      </c>
      <c r="F332">
        <v>801011</v>
      </c>
      <c r="G332" s="1">
        <v>-8.01</v>
      </c>
      <c r="H332" t="s">
        <v>730</v>
      </c>
      <c r="J332" s="18" t="s">
        <v>4327</v>
      </c>
      <c r="K332" s="18"/>
      <c r="L332" s="14"/>
      <c r="N332" s="14"/>
    </row>
    <row r="333" spans="1:14" x14ac:dyDescent="0.25">
      <c r="A333" s="4"/>
      <c r="B333" s="14"/>
      <c r="C333" s="17" t="str">
        <f t="shared" si="6"/>
        <v>28.801011.-4011.1024..CLEAR SCHEDULE.</v>
      </c>
      <c r="D333" s="14"/>
      <c r="E333">
        <v>28</v>
      </c>
      <c r="F333">
        <v>801011</v>
      </c>
      <c r="G333" s="2">
        <v>-40.11</v>
      </c>
      <c r="H333" t="s">
        <v>731</v>
      </c>
      <c r="J333" s="18" t="s">
        <v>4327</v>
      </c>
      <c r="K333" s="18"/>
      <c r="L333" s="14"/>
      <c r="N333" s="14"/>
    </row>
    <row r="334" spans="1:14" x14ac:dyDescent="0.25">
      <c r="A334" s="4"/>
      <c r="B334" s="14"/>
      <c r="C334" s="17" t="str">
        <f t="shared" si="6"/>
        <v>28.801011.-1489.1026..CLEAR SCHEDULE.</v>
      </c>
      <c r="D334" s="14"/>
      <c r="E334">
        <v>28</v>
      </c>
      <c r="F334">
        <v>801011</v>
      </c>
      <c r="G334" s="1">
        <v>-14.89</v>
      </c>
      <c r="H334" t="s">
        <v>732</v>
      </c>
      <c r="J334" s="18" t="s">
        <v>4327</v>
      </c>
      <c r="K334" s="18"/>
      <c r="L334" s="14"/>
      <c r="N334" s="14"/>
    </row>
    <row r="335" spans="1:14" x14ac:dyDescent="0.25">
      <c r="A335" s="4"/>
      <c r="B335" s="14"/>
      <c r="C335" s="17" t="str">
        <f t="shared" si="6"/>
        <v>28.801011.-2199.1028..CLEAR SCHEDULE.</v>
      </c>
      <c r="D335" s="14"/>
      <c r="E335">
        <v>28</v>
      </c>
      <c r="F335">
        <v>801011</v>
      </c>
      <c r="G335" s="2">
        <v>-21.99</v>
      </c>
      <c r="H335" t="s">
        <v>733</v>
      </c>
      <c r="J335" s="18" t="s">
        <v>4327</v>
      </c>
      <c r="K335" s="18"/>
      <c r="L335" s="14"/>
      <c r="N335" s="14"/>
    </row>
    <row r="336" spans="1:14" x14ac:dyDescent="0.25">
      <c r="A336" s="4"/>
      <c r="B336" s="14"/>
      <c r="C336" s="17" t="str">
        <f t="shared" si="6"/>
        <v>28.801011.-11985.1029..CLEAR SCHEDULE.</v>
      </c>
      <c r="D336" s="14"/>
      <c r="E336">
        <v>28</v>
      </c>
      <c r="F336">
        <v>801011</v>
      </c>
      <c r="G336" s="1">
        <v>-119.85</v>
      </c>
      <c r="H336" t="s">
        <v>734</v>
      </c>
      <c r="J336" s="18" t="s">
        <v>4327</v>
      </c>
      <c r="K336" s="18"/>
      <c r="L336" s="14"/>
      <c r="N336" s="14"/>
    </row>
    <row r="337" spans="1:14" x14ac:dyDescent="0.25">
      <c r="A337" s="4"/>
      <c r="B337" s="14"/>
      <c r="C337" s="17" t="str">
        <f t="shared" si="6"/>
        <v>28.801011.-3858.1030..CLEAR SCHEDULE.</v>
      </c>
      <c r="D337" s="14"/>
      <c r="E337">
        <v>28</v>
      </c>
      <c r="F337">
        <v>801011</v>
      </c>
      <c r="G337" s="2">
        <v>-38.58</v>
      </c>
      <c r="H337" t="s">
        <v>735</v>
      </c>
      <c r="J337" s="18" t="s">
        <v>4327</v>
      </c>
      <c r="K337" s="18"/>
      <c r="L337" s="14"/>
      <c r="N337" s="14"/>
    </row>
    <row r="338" spans="1:14" x14ac:dyDescent="0.25">
      <c r="A338" s="4"/>
      <c r="B338" s="14"/>
      <c r="C338" s="17" t="str">
        <f t="shared" si="6"/>
        <v>28.801011.-17827.1032..CLEAR SCHEDULE.</v>
      </c>
      <c r="D338" s="14"/>
      <c r="E338">
        <v>28</v>
      </c>
      <c r="F338">
        <v>801011</v>
      </c>
      <c r="G338" s="1">
        <v>-178.27</v>
      </c>
      <c r="H338" t="s">
        <v>736</v>
      </c>
      <c r="J338" s="18" t="s">
        <v>4327</v>
      </c>
      <c r="K338" s="18"/>
      <c r="L338" s="14"/>
      <c r="N338" s="14"/>
    </row>
    <row r="339" spans="1:14" x14ac:dyDescent="0.25">
      <c r="A339" s="4"/>
      <c r="B339" s="14"/>
      <c r="C339" s="17" t="str">
        <f t="shared" si="6"/>
        <v>28.801011.-5338.1033..CLEAR SCHEDULE.</v>
      </c>
      <c r="D339" s="14"/>
      <c r="E339">
        <v>28</v>
      </c>
      <c r="F339">
        <v>801011</v>
      </c>
      <c r="G339" s="2">
        <v>-53.38</v>
      </c>
      <c r="H339" t="s">
        <v>737</v>
      </c>
      <c r="J339" s="18" t="s">
        <v>4327</v>
      </c>
      <c r="K339" s="18"/>
      <c r="L339" s="14"/>
      <c r="N339" s="14"/>
    </row>
    <row r="340" spans="1:14" x14ac:dyDescent="0.25">
      <c r="A340" s="4"/>
      <c r="B340" s="14"/>
      <c r="C340" s="17" t="str">
        <f t="shared" si="6"/>
        <v>28.801011.-801.1034..CLEAR SCHEDULE.</v>
      </c>
      <c r="D340" s="14"/>
      <c r="E340">
        <v>28</v>
      </c>
      <c r="F340">
        <v>801011</v>
      </c>
      <c r="G340" s="1">
        <v>-8.01</v>
      </c>
      <c r="H340" t="s">
        <v>738</v>
      </c>
      <c r="J340" s="18" t="s">
        <v>4327</v>
      </c>
      <c r="K340" s="18"/>
      <c r="L340" s="14"/>
      <c r="N340" s="14"/>
    </row>
    <row r="341" spans="1:14" x14ac:dyDescent="0.25">
      <c r="A341" s="4"/>
      <c r="B341" s="14"/>
      <c r="C341" s="17" t="str">
        <f t="shared" si="6"/>
        <v>28.801011.-1601.1035..CLEAR SCHEDULE.</v>
      </c>
      <c r="D341" s="14"/>
      <c r="E341">
        <v>28</v>
      </c>
      <c r="F341">
        <v>801011</v>
      </c>
      <c r="G341" s="2">
        <v>-16.010000000000002</v>
      </c>
      <c r="H341" t="s">
        <v>739</v>
      </c>
      <c r="J341" s="18" t="s">
        <v>4327</v>
      </c>
      <c r="K341" s="18"/>
      <c r="L341" s="14"/>
      <c r="N341" s="14"/>
    </row>
    <row r="342" spans="1:14" x14ac:dyDescent="0.25">
      <c r="A342" s="4"/>
      <c r="B342" s="14"/>
      <c r="C342" s="17" t="str">
        <f t="shared" si="6"/>
        <v>28.801011.-6531.1036..CLEAR SCHEDULE.</v>
      </c>
      <c r="D342" s="14"/>
      <c r="E342">
        <v>28</v>
      </c>
      <c r="F342">
        <v>801011</v>
      </c>
      <c r="G342" s="1">
        <v>-65.31</v>
      </c>
      <c r="H342" t="s">
        <v>740</v>
      </c>
      <c r="J342" s="18" t="s">
        <v>4327</v>
      </c>
      <c r="K342" s="18"/>
      <c r="L342" s="14"/>
      <c r="N342" s="14"/>
    </row>
    <row r="343" spans="1:14" x14ac:dyDescent="0.25">
      <c r="A343" s="4"/>
      <c r="B343" s="14"/>
      <c r="C343" s="17" t="str">
        <f t="shared" si="6"/>
        <v>28.801011.-6725.1037..CLEAR SCHEDULE.</v>
      </c>
      <c r="D343" s="14"/>
      <c r="E343">
        <v>28</v>
      </c>
      <c r="F343">
        <v>801011</v>
      </c>
      <c r="G343" s="2">
        <v>-67.25</v>
      </c>
      <c r="H343" t="s">
        <v>741</v>
      </c>
      <c r="J343" s="18" t="s">
        <v>4327</v>
      </c>
      <c r="K343" s="18"/>
      <c r="L343" s="14"/>
      <c r="N343" s="14"/>
    </row>
    <row r="344" spans="1:14" x14ac:dyDescent="0.25">
      <c r="A344" s="4"/>
      <c r="B344" s="14"/>
      <c r="C344" s="17" t="str">
        <f t="shared" si="6"/>
        <v>28.801011.-6640.1038..CLEAR SCHEDULE.</v>
      </c>
      <c r="D344" s="14"/>
      <c r="E344">
        <v>28</v>
      </c>
      <c r="F344">
        <v>801011</v>
      </c>
      <c r="G344" s="1">
        <v>-66.400000000000006</v>
      </c>
      <c r="H344" t="s">
        <v>742</v>
      </c>
      <c r="J344" s="18" t="s">
        <v>4327</v>
      </c>
      <c r="K344" s="18"/>
      <c r="L344" s="14"/>
      <c r="N344" s="14"/>
    </row>
    <row r="345" spans="1:14" x14ac:dyDescent="0.25">
      <c r="A345" s="4"/>
      <c r="B345" s="14"/>
      <c r="C345" s="17" t="str">
        <f t="shared" si="6"/>
        <v>28.801011.-801.1039..CLEAR SCHEDULE.</v>
      </c>
      <c r="D345" s="14"/>
      <c r="E345">
        <v>28</v>
      </c>
      <c r="F345">
        <v>801011</v>
      </c>
      <c r="G345" s="2">
        <v>-8.01</v>
      </c>
      <c r="H345" t="s">
        <v>743</v>
      </c>
      <c r="J345" s="18" t="s">
        <v>4327</v>
      </c>
      <c r="K345" s="18"/>
      <c r="L345" s="14"/>
      <c r="N345" s="14"/>
    </row>
    <row r="346" spans="1:14" x14ac:dyDescent="0.25">
      <c r="A346" s="4"/>
      <c r="B346" s="14"/>
      <c r="C346" s="17" t="str">
        <f t="shared" si="6"/>
        <v>28.801011.-18826.1040..CLEAR SCHEDULE.</v>
      </c>
      <c r="D346" s="14"/>
      <c r="E346">
        <v>28</v>
      </c>
      <c r="F346">
        <v>801011</v>
      </c>
      <c r="G346" s="1">
        <v>-188.26</v>
      </c>
      <c r="H346" t="s">
        <v>744</v>
      </c>
      <c r="J346" s="18" t="s">
        <v>4327</v>
      </c>
      <c r="K346" s="18"/>
      <c r="L346" s="14"/>
      <c r="N346" s="14"/>
    </row>
    <row r="347" spans="1:14" x14ac:dyDescent="0.25">
      <c r="A347" s="4"/>
      <c r="B347" s="14"/>
      <c r="C347" s="17" t="str">
        <f t="shared" si="6"/>
        <v>28.801011.-1928.1042..CLEAR SCHEDULE.</v>
      </c>
      <c r="D347" s="14"/>
      <c r="E347">
        <v>28</v>
      </c>
      <c r="F347">
        <v>801011</v>
      </c>
      <c r="G347" s="2">
        <v>-19.28</v>
      </c>
      <c r="H347" t="s">
        <v>745</v>
      </c>
      <c r="J347" s="18" t="s">
        <v>4327</v>
      </c>
      <c r="K347" s="18"/>
      <c r="L347" s="14"/>
      <c r="N347" s="14"/>
    </row>
    <row r="348" spans="1:14" x14ac:dyDescent="0.25">
      <c r="A348" s="4"/>
      <c r="B348" s="14"/>
      <c r="C348" s="17" t="str">
        <f t="shared" si="6"/>
        <v>28.801011.-6000589.1045..CLEAR SCHEDULE.</v>
      </c>
      <c r="D348" s="14"/>
      <c r="E348">
        <v>28</v>
      </c>
      <c r="F348">
        <v>801011</v>
      </c>
      <c r="G348" s="1">
        <v>-60005.89</v>
      </c>
      <c r="H348" t="s">
        <v>746</v>
      </c>
      <c r="J348" s="18" t="s">
        <v>4327</v>
      </c>
      <c r="K348" s="18"/>
      <c r="L348" s="14"/>
      <c r="N348" s="14"/>
    </row>
    <row r="349" spans="1:14" x14ac:dyDescent="0.25">
      <c r="A349" s="4"/>
      <c r="B349" s="14"/>
      <c r="C349" s="17" t="str">
        <f t="shared" si="6"/>
        <v>28.801011.-366567.1046..CLEAR SCHEDULE.</v>
      </c>
      <c r="D349" s="14"/>
      <c r="E349">
        <v>28</v>
      </c>
      <c r="F349">
        <v>801011</v>
      </c>
      <c r="G349" s="2">
        <v>-3665.67</v>
      </c>
      <c r="H349" t="s">
        <v>747</v>
      </c>
      <c r="J349" s="18" t="s">
        <v>4327</v>
      </c>
      <c r="K349" s="18"/>
      <c r="L349" s="14"/>
      <c r="N349" s="14"/>
    </row>
    <row r="350" spans="1:14" x14ac:dyDescent="0.25">
      <c r="A350" s="4"/>
      <c r="B350" s="14"/>
      <c r="C350" s="17" t="str">
        <f t="shared" si="6"/>
        <v>28.801011.-82344.1047..CLEAR SCHEDULE.</v>
      </c>
      <c r="D350" s="14"/>
      <c r="E350">
        <v>28</v>
      </c>
      <c r="F350">
        <v>801011</v>
      </c>
      <c r="G350" s="1">
        <v>-823.44</v>
      </c>
      <c r="H350" t="s">
        <v>748</v>
      </c>
      <c r="J350" s="18" t="s">
        <v>4327</v>
      </c>
      <c r="K350" s="18"/>
      <c r="L350" s="14"/>
      <c r="N350" s="14"/>
    </row>
    <row r="351" spans="1:14" x14ac:dyDescent="0.25">
      <c r="A351" s="4"/>
      <c r="B351" s="14"/>
      <c r="C351" s="17" t="str">
        <f t="shared" si="6"/>
        <v>28.801011.108846.1048..CLEAR SCHEDULE.</v>
      </c>
      <c r="D351" s="14"/>
      <c r="E351">
        <v>28</v>
      </c>
      <c r="F351">
        <v>801011</v>
      </c>
      <c r="G351" s="2">
        <v>1088.46</v>
      </c>
      <c r="H351" t="s">
        <v>749</v>
      </c>
      <c r="J351" s="18" t="s">
        <v>4327</v>
      </c>
      <c r="K351" s="18"/>
      <c r="L351" s="14"/>
      <c r="N351" s="14"/>
    </row>
    <row r="352" spans="1:14" x14ac:dyDescent="0.25">
      <c r="A352" s="4"/>
      <c r="B352" s="14"/>
      <c r="C352" s="17" t="str">
        <f t="shared" si="6"/>
        <v>28.801011.-1752402.1049..CLEAR SCHEDULE.</v>
      </c>
      <c r="D352" s="14"/>
      <c r="E352">
        <v>28</v>
      </c>
      <c r="F352">
        <v>801011</v>
      </c>
      <c r="G352" s="1">
        <v>-17524.02</v>
      </c>
      <c r="H352" t="s">
        <v>750</v>
      </c>
      <c r="J352" s="18" t="s">
        <v>4327</v>
      </c>
      <c r="K352" s="18"/>
      <c r="L352" s="14"/>
      <c r="N352" s="14"/>
    </row>
    <row r="353" spans="1:14" x14ac:dyDescent="0.25">
      <c r="A353" s="4"/>
      <c r="B353" s="14"/>
      <c r="C353" s="17" t="str">
        <f t="shared" si="6"/>
        <v>28.801011.-2073232.1050..CLEAR SCHEDULE.</v>
      </c>
      <c r="D353" s="14"/>
      <c r="E353">
        <v>28</v>
      </c>
      <c r="F353">
        <v>801011</v>
      </c>
      <c r="G353" s="2">
        <v>-20732.32</v>
      </c>
      <c r="H353" t="s">
        <v>751</v>
      </c>
      <c r="J353" s="18" t="s">
        <v>4327</v>
      </c>
      <c r="K353" s="18"/>
      <c r="L353" s="14"/>
      <c r="N353" s="14"/>
    </row>
    <row r="354" spans="1:14" x14ac:dyDescent="0.25">
      <c r="A354" s="4"/>
      <c r="B354" s="14"/>
      <c r="C354" s="17" t="str">
        <f t="shared" si="6"/>
        <v>28.801011.-400000.1051..CLEAR SCHEDULE.</v>
      </c>
      <c r="D354" s="14"/>
      <c r="E354">
        <v>28</v>
      </c>
      <c r="F354">
        <v>801011</v>
      </c>
      <c r="G354" s="1">
        <v>-4000</v>
      </c>
      <c r="H354" t="s">
        <v>752</v>
      </c>
      <c r="J354" s="18" t="s">
        <v>4327</v>
      </c>
      <c r="K354" s="18"/>
      <c r="L354" s="14"/>
      <c r="N354" s="14"/>
    </row>
    <row r="355" spans="1:14" x14ac:dyDescent="0.25">
      <c r="A355" s="4"/>
      <c r="B355" s="14"/>
      <c r="C355" s="17" t="str">
        <f t="shared" si="6"/>
        <v>28.801011.8930921.1052..CLEAR SCHEDULE.</v>
      </c>
      <c r="D355" s="14"/>
      <c r="E355">
        <v>28</v>
      </c>
      <c r="F355">
        <v>801011</v>
      </c>
      <c r="G355" s="2">
        <v>89309.21</v>
      </c>
      <c r="H355" t="s">
        <v>753</v>
      </c>
      <c r="J355" s="18" t="s">
        <v>4327</v>
      </c>
      <c r="K355" s="18"/>
      <c r="L355" s="14"/>
      <c r="N355" s="14"/>
    </row>
    <row r="356" spans="1:14" x14ac:dyDescent="0.25">
      <c r="A356" s="4"/>
      <c r="B356" s="14"/>
      <c r="C356" s="17" t="str">
        <f t="shared" si="6"/>
        <v>28.801011.-1668383.1053..CLEAR SCHEDULE.</v>
      </c>
      <c r="D356" s="14"/>
      <c r="E356">
        <v>28</v>
      </c>
      <c r="F356">
        <v>801011</v>
      </c>
      <c r="G356" s="1">
        <v>-16683.830000000002</v>
      </c>
      <c r="H356" t="s">
        <v>754</v>
      </c>
      <c r="J356" s="18" t="s">
        <v>4327</v>
      </c>
      <c r="K356" s="18"/>
      <c r="L356" s="14"/>
      <c r="N356" s="14"/>
    </row>
    <row r="357" spans="1:14" x14ac:dyDescent="0.25">
      <c r="A357" s="4"/>
      <c r="B357" s="14"/>
      <c r="C357" s="17" t="str">
        <f t="shared" si="6"/>
        <v>28.801011.-50000.1054..CLEAR SCHEDULE.</v>
      </c>
      <c r="D357" s="14"/>
      <c r="E357">
        <v>28</v>
      </c>
      <c r="F357">
        <v>801011</v>
      </c>
      <c r="G357" s="2">
        <v>-500</v>
      </c>
      <c r="H357" t="s">
        <v>755</v>
      </c>
      <c r="J357" s="18" t="s">
        <v>4327</v>
      </c>
      <c r="K357" s="18"/>
      <c r="L357" s="14"/>
      <c r="N357" s="14"/>
    </row>
    <row r="358" spans="1:14" x14ac:dyDescent="0.25">
      <c r="A358" s="4"/>
      <c r="B358" s="14"/>
      <c r="C358" s="17" t="str">
        <f t="shared" si="6"/>
        <v>28.801011.-2809394.1055..CLEAR SCHEDULE.</v>
      </c>
      <c r="D358" s="14"/>
      <c r="E358">
        <v>28</v>
      </c>
      <c r="F358">
        <v>801011</v>
      </c>
      <c r="G358" s="1">
        <v>-28093.94</v>
      </c>
      <c r="H358" t="s">
        <v>756</v>
      </c>
      <c r="J358" s="18" t="s">
        <v>4327</v>
      </c>
      <c r="K358" s="18"/>
      <c r="L358" s="14"/>
      <c r="N358" s="14"/>
    </row>
    <row r="359" spans="1:14" x14ac:dyDescent="0.25">
      <c r="A359" s="4"/>
      <c r="B359" s="14"/>
      <c r="C359" s="17" t="str">
        <f t="shared" si="6"/>
        <v>28.801011.8257465.1056..CLEAR SCHEDULE.</v>
      </c>
      <c r="D359" s="14"/>
      <c r="E359">
        <v>28</v>
      </c>
      <c r="F359">
        <v>801011</v>
      </c>
      <c r="G359" s="2">
        <v>82574.649999999994</v>
      </c>
      <c r="H359" t="s">
        <v>757</v>
      </c>
      <c r="J359" s="18" t="s">
        <v>4327</v>
      </c>
      <c r="K359" s="18"/>
      <c r="L359" s="14"/>
      <c r="N359" s="14"/>
    </row>
    <row r="360" spans="1:14" x14ac:dyDescent="0.25">
      <c r="A360" s="4"/>
      <c r="B360" s="14"/>
      <c r="C360" s="17" t="str">
        <f t="shared" si="6"/>
        <v>28.801011.-224201.1057..CLEAR SCHEDULE.</v>
      </c>
      <c r="D360" s="14"/>
      <c r="E360">
        <v>28</v>
      </c>
      <c r="F360">
        <v>801011</v>
      </c>
      <c r="G360" s="1">
        <v>-2242.0100000000002</v>
      </c>
      <c r="H360" t="s">
        <v>758</v>
      </c>
      <c r="J360" s="18" t="s">
        <v>4327</v>
      </c>
      <c r="K360" s="18"/>
      <c r="L360" s="14"/>
      <c r="N360" s="14"/>
    </row>
    <row r="361" spans="1:14" x14ac:dyDescent="0.25">
      <c r="A361" s="4"/>
      <c r="B361" s="14"/>
      <c r="C361" s="17" t="str">
        <f t="shared" si="6"/>
        <v>28.801011.49199.1058..CLEAR SCHEDULE.</v>
      </c>
      <c r="D361" s="14"/>
      <c r="E361">
        <v>28</v>
      </c>
      <c r="F361">
        <v>801011</v>
      </c>
      <c r="G361" s="2">
        <v>491.99</v>
      </c>
      <c r="H361" t="s">
        <v>759</v>
      </c>
      <c r="J361" s="18" t="s">
        <v>4327</v>
      </c>
      <c r="K361" s="18"/>
      <c r="L361" s="14"/>
      <c r="N361" s="14"/>
    </row>
    <row r="362" spans="1:14" x14ac:dyDescent="0.25">
      <c r="A362" s="4"/>
      <c r="B362" s="14"/>
      <c r="C362" s="17" t="str">
        <f t="shared" si="6"/>
        <v>28.801011.-50000.1059..CLEAR SCHEDULE.</v>
      </c>
      <c r="D362" s="14"/>
      <c r="E362">
        <v>28</v>
      </c>
      <c r="F362">
        <v>801011</v>
      </c>
      <c r="G362" s="1">
        <v>-500</v>
      </c>
      <c r="H362" t="s">
        <v>760</v>
      </c>
      <c r="J362" s="18" t="s">
        <v>4327</v>
      </c>
      <c r="K362" s="18"/>
      <c r="L362" s="14"/>
      <c r="N362" s="14"/>
    </row>
    <row r="363" spans="1:14" x14ac:dyDescent="0.25">
      <c r="A363" s="4"/>
      <c r="B363" s="14"/>
      <c r="C363" s="17" t="str">
        <f t="shared" si="6"/>
        <v>28.801011.-1017589.1060..CLEAR SCHEDULE.</v>
      </c>
      <c r="D363" s="14"/>
      <c r="E363">
        <v>28</v>
      </c>
      <c r="F363">
        <v>801011</v>
      </c>
      <c r="G363" s="2">
        <v>-10175.89</v>
      </c>
      <c r="H363" t="s">
        <v>761</v>
      </c>
      <c r="J363" s="18" t="s">
        <v>4327</v>
      </c>
      <c r="K363" s="18"/>
      <c r="L363" s="14"/>
      <c r="N363" s="14"/>
    </row>
    <row r="364" spans="1:14" x14ac:dyDescent="0.25">
      <c r="A364" s="4"/>
      <c r="B364" s="14"/>
      <c r="C364" s="17" t="str">
        <f t="shared" si="6"/>
        <v>28.801011.-2008819.1061..CLEAR SCHEDULE.</v>
      </c>
      <c r="D364" s="14"/>
      <c r="E364">
        <v>28</v>
      </c>
      <c r="F364">
        <v>801011</v>
      </c>
      <c r="G364" s="1">
        <v>-20088.189999999999</v>
      </c>
      <c r="H364" t="s">
        <v>762</v>
      </c>
      <c r="J364" s="18" t="s">
        <v>4327</v>
      </c>
      <c r="K364" s="18"/>
      <c r="L364" s="14"/>
      <c r="N364" s="14"/>
    </row>
    <row r="365" spans="1:14" x14ac:dyDescent="0.25">
      <c r="A365" s="4"/>
      <c r="B365" s="14"/>
      <c r="C365" s="17" t="str">
        <f t="shared" si="6"/>
        <v>28.801011.-2838091.1062..CLEAR SCHEDULE.</v>
      </c>
      <c r="D365" s="14"/>
      <c r="E365">
        <v>28</v>
      </c>
      <c r="F365">
        <v>801011</v>
      </c>
      <c r="G365" s="2">
        <v>-28380.91</v>
      </c>
      <c r="H365" t="s">
        <v>763</v>
      </c>
      <c r="J365" s="18" t="s">
        <v>4327</v>
      </c>
      <c r="K365" s="18"/>
      <c r="L365" s="14"/>
      <c r="N365" s="14"/>
    </row>
    <row r="366" spans="1:14" x14ac:dyDescent="0.25">
      <c r="A366" s="4"/>
      <c r="B366" s="14"/>
      <c r="C366" s="17" t="str">
        <f t="shared" si="6"/>
        <v>28.801011.-5300.1063..CLEAR SCHEDULE.</v>
      </c>
      <c r="D366" s="14"/>
      <c r="E366">
        <v>28</v>
      </c>
      <c r="F366">
        <v>801011</v>
      </c>
      <c r="G366" s="1">
        <v>-53</v>
      </c>
      <c r="H366" t="s">
        <v>764</v>
      </c>
      <c r="J366" s="18" t="s">
        <v>4327</v>
      </c>
      <c r="K366" s="18"/>
      <c r="L366" s="14"/>
      <c r="N366" s="14"/>
    </row>
    <row r="367" spans="1:14" x14ac:dyDescent="0.25">
      <c r="A367" s="4"/>
      <c r="B367" s="14"/>
      <c r="C367" s="17" t="str">
        <f t="shared" si="6"/>
        <v>28.801011.-50801.1064..CLEAR SCHEDULE.</v>
      </c>
      <c r="D367" s="14"/>
      <c r="E367">
        <v>28</v>
      </c>
      <c r="F367">
        <v>801011</v>
      </c>
      <c r="G367" s="2">
        <v>-508.01</v>
      </c>
      <c r="H367" t="s">
        <v>765</v>
      </c>
      <c r="J367" s="18" t="s">
        <v>4327</v>
      </c>
      <c r="K367" s="18"/>
      <c r="L367" s="14"/>
      <c r="N367" s="14"/>
    </row>
    <row r="368" spans="1:14" x14ac:dyDescent="0.25">
      <c r="A368" s="4"/>
      <c r="B368" s="14"/>
      <c r="C368" s="17" t="str">
        <f t="shared" si="6"/>
        <v>28.801011.-1000000.1065..CLEAR SCHEDULE.</v>
      </c>
      <c r="D368" s="14"/>
      <c r="E368">
        <v>28</v>
      </c>
      <c r="F368">
        <v>801011</v>
      </c>
      <c r="G368" s="1">
        <v>-10000</v>
      </c>
      <c r="H368" t="s">
        <v>766</v>
      </c>
      <c r="J368" s="18" t="s">
        <v>4327</v>
      </c>
      <c r="K368" s="18"/>
      <c r="L368" s="14"/>
      <c r="N368" s="14"/>
    </row>
    <row r="369" spans="1:14" x14ac:dyDescent="0.25">
      <c r="A369" s="4"/>
      <c r="B369" s="14"/>
      <c r="C369" s="17" t="str">
        <f t="shared" si="6"/>
        <v>28.801011.1956393.1066..CLEAR SCHEDULE.</v>
      </c>
      <c r="D369" s="14"/>
      <c r="E369">
        <v>28</v>
      </c>
      <c r="F369">
        <v>801011</v>
      </c>
      <c r="G369" s="2">
        <v>19563.93</v>
      </c>
      <c r="H369" t="s">
        <v>767</v>
      </c>
      <c r="J369" s="18" t="s">
        <v>4327</v>
      </c>
      <c r="K369" s="18"/>
      <c r="L369" s="14"/>
      <c r="N369" s="14"/>
    </row>
    <row r="370" spans="1:14" x14ac:dyDescent="0.25">
      <c r="A370" s="4"/>
      <c r="B370" s="14"/>
      <c r="C370" s="17" t="str">
        <f t="shared" si="6"/>
        <v>28.801011.5552450.1067..CLEAR SCHEDULE.</v>
      </c>
      <c r="D370" s="14"/>
      <c r="E370">
        <v>28</v>
      </c>
      <c r="F370">
        <v>801011</v>
      </c>
      <c r="G370" s="1">
        <v>55524.5</v>
      </c>
      <c r="H370" t="s">
        <v>768</v>
      </c>
      <c r="J370" s="18" t="s">
        <v>4327</v>
      </c>
      <c r="K370" s="18"/>
      <c r="L370" s="14"/>
      <c r="N370" s="14"/>
    </row>
    <row r="371" spans="1:14" x14ac:dyDescent="0.25">
      <c r="A371" s="4"/>
      <c r="B371" s="14"/>
      <c r="C371" s="17" t="str">
        <f t="shared" si="6"/>
        <v>28.801011.-1577209.1068..CLEAR SCHEDULE.</v>
      </c>
      <c r="D371" s="14"/>
      <c r="E371">
        <v>28</v>
      </c>
      <c r="F371">
        <v>801011</v>
      </c>
      <c r="G371" s="2">
        <v>-15772.09</v>
      </c>
      <c r="H371" t="s">
        <v>769</v>
      </c>
      <c r="J371" s="18" t="s">
        <v>4327</v>
      </c>
      <c r="K371" s="18"/>
      <c r="L371" s="14"/>
      <c r="N371" s="14"/>
    </row>
    <row r="372" spans="1:14" x14ac:dyDescent="0.25">
      <c r="A372" s="4"/>
      <c r="B372" s="14"/>
      <c r="C372" s="17" t="str">
        <f t="shared" si="6"/>
        <v>28.801011.-4945480.1069..CLEAR SCHEDULE.</v>
      </c>
      <c r="D372" s="14"/>
      <c r="E372">
        <v>28</v>
      </c>
      <c r="F372">
        <v>801011</v>
      </c>
      <c r="G372" s="1">
        <v>-49454.8</v>
      </c>
      <c r="H372" t="s">
        <v>770</v>
      </c>
      <c r="J372" s="18" t="s">
        <v>4327</v>
      </c>
      <c r="K372" s="18"/>
      <c r="L372" s="14"/>
      <c r="N372" s="14"/>
    </row>
    <row r="373" spans="1:14" x14ac:dyDescent="0.25">
      <c r="A373" s="4"/>
      <c r="B373" s="14"/>
      <c r="C373" s="17" t="str">
        <f t="shared" si="6"/>
        <v>28.801011.3843552.1070..CLEAR SCHEDULE.</v>
      </c>
      <c r="D373" s="14"/>
      <c r="E373">
        <v>28</v>
      </c>
      <c r="F373">
        <v>801011</v>
      </c>
      <c r="G373" s="2">
        <v>38435.519999999997</v>
      </c>
      <c r="H373" t="s">
        <v>771</v>
      </c>
      <c r="J373" s="18" t="s">
        <v>4327</v>
      </c>
      <c r="K373" s="18"/>
      <c r="L373" s="14"/>
      <c r="N373" s="14"/>
    </row>
    <row r="374" spans="1:14" x14ac:dyDescent="0.25">
      <c r="A374" s="4"/>
      <c r="B374" s="14"/>
      <c r="C374" s="17" t="str">
        <f t="shared" si="6"/>
        <v>28.801011.-3351601.1071..CLEAR SCHEDULE.</v>
      </c>
      <c r="D374" s="14"/>
      <c r="E374">
        <v>28</v>
      </c>
      <c r="F374">
        <v>801011</v>
      </c>
      <c r="G374" s="1">
        <v>-33516.01</v>
      </c>
      <c r="H374" t="s">
        <v>772</v>
      </c>
      <c r="J374" s="18" t="s">
        <v>4327</v>
      </c>
      <c r="K374" s="18"/>
      <c r="L374" s="14"/>
      <c r="N374" s="14"/>
    </row>
    <row r="375" spans="1:14" x14ac:dyDescent="0.25">
      <c r="A375" s="4"/>
      <c r="B375" s="14"/>
      <c r="C375" s="17" t="str">
        <f t="shared" si="6"/>
        <v>28.801011.-200000.1072..CLEAR SCHEDULE.</v>
      </c>
      <c r="D375" s="14"/>
      <c r="E375">
        <v>28</v>
      </c>
      <c r="F375">
        <v>801011</v>
      </c>
      <c r="G375" s="2">
        <v>-2000</v>
      </c>
      <c r="H375" t="s">
        <v>773</v>
      </c>
      <c r="J375" s="18" t="s">
        <v>4327</v>
      </c>
      <c r="K375" s="18"/>
      <c r="L375" s="14"/>
      <c r="N375" s="14"/>
    </row>
    <row r="376" spans="1:14" x14ac:dyDescent="0.25">
      <c r="A376" s="4"/>
      <c r="B376" s="14"/>
      <c r="C376" s="17" t="str">
        <f t="shared" si="6"/>
        <v>28.801011.-800801.1073..CLEAR SCHEDULE.</v>
      </c>
      <c r="D376" s="14"/>
      <c r="E376">
        <v>28</v>
      </c>
      <c r="F376">
        <v>801011</v>
      </c>
      <c r="G376" s="1">
        <v>-8008.01</v>
      </c>
      <c r="H376" t="s">
        <v>774</v>
      </c>
      <c r="J376" s="18" t="s">
        <v>4327</v>
      </c>
      <c r="K376" s="18"/>
      <c r="L376" s="14"/>
      <c r="N376" s="14"/>
    </row>
    <row r="377" spans="1:14" x14ac:dyDescent="0.25">
      <c r="A377" s="4"/>
      <c r="B377" s="14"/>
      <c r="C377" s="17" t="str">
        <f t="shared" si="6"/>
        <v>28.801011.-1971030.1074..CLEAR SCHEDULE.</v>
      </c>
      <c r="D377" s="14"/>
      <c r="E377">
        <v>28</v>
      </c>
      <c r="F377">
        <v>801011</v>
      </c>
      <c r="G377" s="2">
        <v>-19710.3</v>
      </c>
      <c r="H377" t="s">
        <v>775</v>
      </c>
      <c r="J377" s="18" t="s">
        <v>4327</v>
      </c>
      <c r="K377" s="18"/>
      <c r="L377" s="14"/>
      <c r="N377" s="14"/>
    </row>
    <row r="378" spans="1:14" x14ac:dyDescent="0.25">
      <c r="A378" s="4"/>
      <c r="B378" s="14"/>
      <c r="C378" s="17" t="str">
        <f t="shared" si="6"/>
        <v>28.801011.-2003279.1075..CLEAR SCHEDULE.</v>
      </c>
      <c r="D378" s="14"/>
      <c r="E378">
        <v>28</v>
      </c>
      <c r="F378">
        <v>801011</v>
      </c>
      <c r="G378" s="1">
        <v>-20032.79</v>
      </c>
      <c r="H378" t="s">
        <v>776</v>
      </c>
      <c r="J378" s="18" t="s">
        <v>4327</v>
      </c>
      <c r="K378" s="18"/>
      <c r="L378" s="14"/>
      <c r="N378" s="14"/>
    </row>
    <row r="379" spans="1:14" x14ac:dyDescent="0.25">
      <c r="A379" s="4"/>
      <c r="B379" s="14"/>
      <c r="C379" s="17" t="str">
        <f t="shared" si="6"/>
        <v>28.801011.-336400.1076..CLEAR SCHEDULE.</v>
      </c>
      <c r="D379" s="14"/>
      <c r="E379">
        <v>28</v>
      </c>
      <c r="F379">
        <v>801011</v>
      </c>
      <c r="G379" s="2">
        <v>-3364</v>
      </c>
      <c r="H379" t="s">
        <v>777</v>
      </c>
      <c r="J379" s="18" t="s">
        <v>4327</v>
      </c>
      <c r="K379" s="18"/>
      <c r="L379" s="14"/>
      <c r="N379" s="14"/>
    </row>
    <row r="380" spans="1:14" x14ac:dyDescent="0.25">
      <c r="A380" s="4"/>
      <c r="B380" s="14"/>
      <c r="C380" s="17" t="str">
        <f t="shared" si="6"/>
        <v>28.801011.-195000.1077..CLEAR SCHEDULE.</v>
      </c>
      <c r="D380" s="14"/>
      <c r="E380">
        <v>28</v>
      </c>
      <c r="F380">
        <v>801011</v>
      </c>
      <c r="G380" s="1">
        <v>-1950</v>
      </c>
      <c r="H380" t="s">
        <v>778</v>
      </c>
      <c r="J380" s="18" t="s">
        <v>4327</v>
      </c>
      <c r="K380" s="18"/>
      <c r="L380" s="14"/>
      <c r="N380" s="14"/>
    </row>
    <row r="381" spans="1:14" x14ac:dyDescent="0.25">
      <c r="A381" s="4"/>
      <c r="B381" s="14"/>
      <c r="C381" s="17" t="str">
        <f t="shared" si="6"/>
        <v>28.801011.-72000.1078..CLEAR SCHEDULE.</v>
      </c>
      <c r="D381" s="14"/>
      <c r="E381">
        <v>28</v>
      </c>
      <c r="F381">
        <v>801011</v>
      </c>
      <c r="G381" s="2">
        <v>-720</v>
      </c>
      <c r="H381" t="s">
        <v>779</v>
      </c>
      <c r="J381" s="18" t="s">
        <v>4327</v>
      </c>
      <c r="K381" s="18"/>
      <c r="L381" s="14"/>
      <c r="N381" s="14"/>
    </row>
    <row r="382" spans="1:14" x14ac:dyDescent="0.25">
      <c r="A382" s="4"/>
      <c r="B382" s="14"/>
      <c r="C382" s="17" t="str">
        <f t="shared" si="6"/>
        <v>28.801011.10034417.1079..CLEAR SCHEDULE.</v>
      </c>
      <c r="D382" s="14"/>
      <c r="E382">
        <v>28</v>
      </c>
      <c r="F382">
        <v>801011</v>
      </c>
      <c r="G382" s="1">
        <v>100344.17</v>
      </c>
      <c r="H382" t="s">
        <v>780</v>
      </c>
      <c r="J382" s="18" t="s">
        <v>4327</v>
      </c>
      <c r="K382" s="18"/>
      <c r="L382" s="14"/>
      <c r="N382" s="14"/>
    </row>
    <row r="383" spans="1:14" x14ac:dyDescent="0.25">
      <c r="A383" s="4"/>
      <c r="B383" s="14"/>
      <c r="C383" s="17" t="str">
        <f t="shared" si="6"/>
        <v>28.801011.-303363.1080..CLEAR SCHEDULE.</v>
      </c>
      <c r="D383" s="14"/>
      <c r="E383">
        <v>28</v>
      </c>
      <c r="F383">
        <v>801011</v>
      </c>
      <c r="G383" s="2">
        <v>-3033.63</v>
      </c>
      <c r="H383" t="s">
        <v>781</v>
      </c>
      <c r="J383" s="18" t="s">
        <v>4327</v>
      </c>
      <c r="K383" s="18"/>
      <c r="L383" s="14"/>
      <c r="N383" s="14"/>
    </row>
    <row r="384" spans="1:14" x14ac:dyDescent="0.25">
      <c r="A384" s="4"/>
      <c r="B384" s="14"/>
      <c r="C384" s="17" t="str">
        <f t="shared" si="6"/>
        <v>28.801011.-4859936.1081..CLEAR SCHEDULE.</v>
      </c>
      <c r="D384" s="14"/>
      <c r="E384">
        <v>28</v>
      </c>
      <c r="F384">
        <v>801011</v>
      </c>
      <c r="G384" s="1">
        <v>-48599.360000000001</v>
      </c>
      <c r="H384" t="s">
        <v>782</v>
      </c>
      <c r="J384" s="18" t="s">
        <v>4327</v>
      </c>
      <c r="K384" s="18"/>
      <c r="L384" s="14"/>
      <c r="N384" s="14"/>
    </row>
    <row r="385" spans="1:14" x14ac:dyDescent="0.25">
      <c r="A385" s="4"/>
      <c r="B385" s="14"/>
      <c r="C385" s="17" t="str">
        <f t="shared" si="6"/>
        <v>28.801011.-534454.1082..CLEAR SCHEDULE.</v>
      </c>
      <c r="D385" s="14"/>
      <c r="E385">
        <v>28</v>
      </c>
      <c r="F385">
        <v>801011</v>
      </c>
      <c r="G385" s="2">
        <v>-5344.54</v>
      </c>
      <c r="H385" t="s">
        <v>783</v>
      </c>
      <c r="J385" s="18" t="s">
        <v>4327</v>
      </c>
      <c r="K385" s="18"/>
      <c r="L385" s="14"/>
      <c r="N385" s="14"/>
    </row>
    <row r="386" spans="1:14" x14ac:dyDescent="0.25">
      <c r="A386" s="4"/>
      <c r="B386" s="14"/>
      <c r="C386" s="17" t="str">
        <f t="shared" si="6"/>
        <v>28.801011.-2000801.1083..CLEAR SCHEDULE.</v>
      </c>
      <c r="D386" s="14"/>
      <c r="E386">
        <v>28</v>
      </c>
      <c r="F386">
        <v>801011</v>
      </c>
      <c r="G386" s="1">
        <v>-20008.009999999998</v>
      </c>
      <c r="H386" t="s">
        <v>784</v>
      </c>
      <c r="J386" s="18" t="s">
        <v>4327</v>
      </c>
      <c r="K386" s="18"/>
      <c r="L386" s="14"/>
      <c r="N386" s="14"/>
    </row>
    <row r="387" spans="1:14" x14ac:dyDescent="0.25">
      <c r="A387" s="4"/>
      <c r="B387" s="14"/>
      <c r="C387" s="17" t="str">
        <f t="shared" si="6"/>
        <v>28.801011.-1500906.1084..CLEAR SCHEDULE.</v>
      </c>
      <c r="D387" s="14"/>
      <c r="E387">
        <v>28</v>
      </c>
      <c r="F387">
        <v>801011</v>
      </c>
      <c r="G387" s="2">
        <v>-15009.06</v>
      </c>
      <c r="H387" t="s">
        <v>785</v>
      </c>
      <c r="J387" s="18" t="s">
        <v>4327</v>
      </c>
      <c r="K387" s="18"/>
      <c r="L387" s="14"/>
      <c r="N387" s="14"/>
    </row>
    <row r="388" spans="1:14" x14ac:dyDescent="0.25">
      <c r="A388" s="4"/>
      <c r="B388" s="14"/>
      <c r="C388" s="17" t="str">
        <f t="shared" si="6"/>
        <v>28.801011.-103386.1086..CLEAR SCHEDULE.</v>
      </c>
      <c r="D388" s="14"/>
      <c r="E388">
        <v>28</v>
      </c>
      <c r="F388">
        <v>801011</v>
      </c>
      <c r="G388" s="1">
        <v>-1033.8599999999999</v>
      </c>
      <c r="H388" t="s">
        <v>786</v>
      </c>
      <c r="J388" s="18" t="s">
        <v>4327</v>
      </c>
      <c r="K388" s="18"/>
      <c r="L388" s="14"/>
      <c r="N388" s="14"/>
    </row>
    <row r="389" spans="1:14" x14ac:dyDescent="0.25">
      <c r="A389" s="4"/>
      <c r="B389" s="14"/>
      <c r="C389" s="17" t="str">
        <f t="shared" si="6"/>
        <v>28.801011.-472082.1087..CLEAR SCHEDULE.</v>
      </c>
      <c r="D389" s="14"/>
      <c r="E389">
        <v>28</v>
      </c>
      <c r="F389">
        <v>801011</v>
      </c>
      <c r="G389" s="2">
        <v>-4720.82</v>
      </c>
      <c r="H389" t="s">
        <v>787</v>
      </c>
      <c r="J389" s="18" t="s">
        <v>4327</v>
      </c>
      <c r="K389" s="18"/>
      <c r="L389" s="14"/>
      <c r="N389" s="14"/>
    </row>
    <row r="390" spans="1:14" x14ac:dyDescent="0.25">
      <c r="A390" s="4"/>
      <c r="B390" s="14"/>
      <c r="C390" s="17" t="str">
        <f t="shared" si="6"/>
        <v>28.801011.-1252494.1088..CLEAR SCHEDULE.</v>
      </c>
      <c r="D390" s="14"/>
      <c r="E390">
        <v>28</v>
      </c>
      <c r="F390">
        <v>801011</v>
      </c>
      <c r="G390" s="1">
        <v>-12524.94</v>
      </c>
      <c r="H390" t="s">
        <v>788</v>
      </c>
      <c r="J390" s="18" t="s">
        <v>4327</v>
      </c>
      <c r="K390" s="18"/>
      <c r="L390" s="14"/>
      <c r="N390" s="14"/>
    </row>
    <row r="391" spans="1:14" x14ac:dyDescent="0.25">
      <c r="A391" s="4"/>
      <c r="B391" s="14"/>
      <c r="C391" s="17" t="str">
        <f t="shared" si="6"/>
        <v>28.801011.-90103.1089..CLEAR SCHEDULE.</v>
      </c>
      <c r="D391" s="14"/>
      <c r="E391">
        <v>28</v>
      </c>
      <c r="F391">
        <v>801011</v>
      </c>
      <c r="G391" s="2">
        <v>-901.03</v>
      </c>
      <c r="H391" t="s">
        <v>789</v>
      </c>
      <c r="J391" s="18" t="s">
        <v>4327</v>
      </c>
      <c r="K391" s="18"/>
      <c r="L391" s="14"/>
      <c r="N391" s="14"/>
    </row>
    <row r="392" spans="1:14" x14ac:dyDescent="0.25">
      <c r="A392" s="4"/>
      <c r="B392" s="14"/>
      <c r="C392" s="17" t="str">
        <f t="shared" si="6"/>
        <v>28.801011.-208527.1090..CLEAR SCHEDULE.</v>
      </c>
      <c r="D392" s="14"/>
      <c r="E392">
        <v>28</v>
      </c>
      <c r="F392">
        <v>801011</v>
      </c>
      <c r="G392" s="1">
        <v>-2085.27</v>
      </c>
      <c r="H392" t="s">
        <v>790</v>
      </c>
      <c r="J392" s="18" t="s">
        <v>4327</v>
      </c>
      <c r="K392" s="18"/>
      <c r="L392" s="14"/>
      <c r="N392" s="14"/>
    </row>
    <row r="393" spans="1:14" x14ac:dyDescent="0.25">
      <c r="A393" s="4"/>
      <c r="B393" s="14"/>
      <c r="C393" s="17" t="str">
        <f t="shared" si="6"/>
        <v>28.801011.-207863.1091..CLEAR SCHEDULE.</v>
      </c>
      <c r="D393" s="14"/>
      <c r="E393">
        <v>28</v>
      </c>
      <c r="F393">
        <v>801011</v>
      </c>
      <c r="G393" s="2">
        <v>-2078.63</v>
      </c>
      <c r="H393" t="s">
        <v>791</v>
      </c>
      <c r="J393" s="18" t="s">
        <v>4327</v>
      </c>
      <c r="K393" s="18"/>
      <c r="L393" s="14"/>
      <c r="N393" s="14"/>
    </row>
    <row r="394" spans="1:14" x14ac:dyDescent="0.25">
      <c r="A394" s="4"/>
      <c r="B394" s="14"/>
      <c r="C394" s="17" t="str">
        <f t="shared" si="6"/>
        <v>28.801011.-3081245.1092..CLEAR SCHEDULE.</v>
      </c>
      <c r="D394" s="14"/>
      <c r="E394">
        <v>28</v>
      </c>
      <c r="F394">
        <v>801011</v>
      </c>
      <c r="G394" s="1">
        <v>-30812.45</v>
      </c>
      <c r="H394" t="s">
        <v>792</v>
      </c>
      <c r="J394" s="18" t="s">
        <v>4327</v>
      </c>
      <c r="K394" s="18"/>
      <c r="L394" s="14"/>
      <c r="N394" s="14"/>
    </row>
    <row r="395" spans="1:14" x14ac:dyDescent="0.25">
      <c r="A395" s="4"/>
      <c r="B395" s="14"/>
      <c r="C395" s="17" t="str">
        <f t="shared" ref="C395:C458" si="7">IF(G395=0,"",(E395&amp;"."&amp;F395&amp;"."&amp;G395*100&amp;"."&amp;H395&amp;"."&amp;I395&amp;"."&amp;J395&amp;"."&amp;K395))</f>
        <v>28.801011.-1593178.1093..CLEAR SCHEDULE.</v>
      </c>
      <c r="D395" s="14"/>
      <c r="E395">
        <v>28</v>
      </c>
      <c r="F395">
        <v>801011</v>
      </c>
      <c r="G395" s="2">
        <v>-15931.78</v>
      </c>
      <c r="H395" t="s">
        <v>793</v>
      </c>
      <c r="J395" s="18" t="s">
        <v>4327</v>
      </c>
      <c r="K395" s="18"/>
      <c r="L395" s="14"/>
      <c r="N395" s="14"/>
    </row>
    <row r="396" spans="1:14" x14ac:dyDescent="0.25">
      <c r="A396" s="4"/>
      <c r="B396" s="14"/>
      <c r="C396" s="17" t="str">
        <f t="shared" si="7"/>
        <v>28.801011.-153414.1094..CLEAR SCHEDULE.</v>
      </c>
      <c r="D396" s="14"/>
      <c r="E396">
        <v>28</v>
      </c>
      <c r="F396">
        <v>801011</v>
      </c>
      <c r="G396" s="1">
        <v>-1534.14</v>
      </c>
      <c r="H396" t="s">
        <v>794</v>
      </c>
      <c r="J396" s="18" t="s">
        <v>4327</v>
      </c>
      <c r="K396" s="18"/>
      <c r="L396" s="14"/>
      <c r="N396" s="14"/>
    </row>
    <row r="397" spans="1:14" x14ac:dyDescent="0.25">
      <c r="A397" s="4"/>
      <c r="B397" s="14"/>
      <c r="C397" s="17" t="str">
        <f t="shared" si="7"/>
        <v>28.801011.-1593772.1095..CLEAR SCHEDULE.</v>
      </c>
      <c r="D397" s="14"/>
      <c r="E397">
        <v>28</v>
      </c>
      <c r="F397">
        <v>801011</v>
      </c>
      <c r="G397" s="2">
        <v>-15937.72</v>
      </c>
      <c r="H397" t="s">
        <v>795</v>
      </c>
      <c r="J397" s="18" t="s">
        <v>4327</v>
      </c>
      <c r="K397" s="18"/>
      <c r="L397" s="14"/>
      <c r="N397" s="14"/>
    </row>
    <row r="398" spans="1:14" x14ac:dyDescent="0.25">
      <c r="A398" s="4"/>
      <c r="B398" s="14"/>
      <c r="C398" s="17" t="str">
        <f t="shared" si="7"/>
        <v>28.801011.12469747.1096..CLEAR SCHEDULE.</v>
      </c>
      <c r="D398" s="14"/>
      <c r="E398">
        <v>28</v>
      </c>
      <c r="F398">
        <v>801011</v>
      </c>
      <c r="G398" s="1">
        <v>124697.47</v>
      </c>
      <c r="H398" t="s">
        <v>796</v>
      </c>
      <c r="J398" s="18" t="s">
        <v>4327</v>
      </c>
      <c r="K398" s="18"/>
      <c r="L398" s="14"/>
      <c r="N398" s="14"/>
    </row>
    <row r="399" spans="1:14" x14ac:dyDescent="0.25">
      <c r="A399" s="4"/>
      <c r="B399" s="14"/>
      <c r="C399" s="17" t="str">
        <f t="shared" si="7"/>
        <v>28.801011.5061269.1097..CLEAR SCHEDULE.</v>
      </c>
      <c r="D399" s="14"/>
      <c r="E399">
        <v>28</v>
      </c>
      <c r="F399">
        <v>801011</v>
      </c>
      <c r="G399" s="2">
        <v>50612.69</v>
      </c>
      <c r="H399" t="s">
        <v>797</v>
      </c>
      <c r="J399" s="18" t="s">
        <v>4327</v>
      </c>
      <c r="K399" s="18"/>
      <c r="L399" s="14"/>
      <c r="N399" s="14"/>
    </row>
    <row r="400" spans="1:14" x14ac:dyDescent="0.25">
      <c r="A400" s="4"/>
      <c r="B400" s="14"/>
      <c r="C400" s="17" t="str">
        <f t="shared" si="7"/>
        <v>28.801011.-2402402.1098..CLEAR SCHEDULE.</v>
      </c>
      <c r="D400" s="14"/>
      <c r="E400">
        <v>28</v>
      </c>
      <c r="F400">
        <v>801011</v>
      </c>
      <c r="G400" s="1">
        <v>-24024.02</v>
      </c>
      <c r="H400" t="s">
        <v>798</v>
      </c>
      <c r="J400" s="18" t="s">
        <v>4327</v>
      </c>
      <c r="K400" s="18"/>
      <c r="L400" s="14"/>
      <c r="N400" s="14"/>
    </row>
    <row r="401" spans="1:14" x14ac:dyDescent="0.25">
      <c r="A401" s="4"/>
      <c r="B401" s="14"/>
      <c r="C401" s="17" t="str">
        <f t="shared" si="7"/>
        <v>28.801011.5981194.1099..CLEAR SCHEDULE.</v>
      </c>
      <c r="D401" s="14"/>
      <c r="E401">
        <v>28</v>
      </c>
      <c r="F401">
        <v>801011</v>
      </c>
      <c r="G401" s="2">
        <v>59811.94</v>
      </c>
      <c r="H401" t="s">
        <v>799</v>
      </c>
      <c r="J401" s="18" t="s">
        <v>4327</v>
      </c>
      <c r="K401" s="18"/>
      <c r="L401" s="14"/>
      <c r="N401" s="14"/>
    </row>
    <row r="402" spans="1:14" x14ac:dyDescent="0.25">
      <c r="A402" s="4"/>
      <c r="B402" s="14"/>
      <c r="C402" s="17" t="str">
        <f t="shared" si="7"/>
        <v>28.801011.-4002970.1100..CLEAR SCHEDULE.</v>
      </c>
      <c r="D402" s="14"/>
      <c r="E402">
        <v>28</v>
      </c>
      <c r="F402">
        <v>801011</v>
      </c>
      <c r="G402" s="1">
        <v>-40029.699999999997</v>
      </c>
      <c r="H402" t="s">
        <v>800</v>
      </c>
      <c r="J402" s="18" t="s">
        <v>4327</v>
      </c>
      <c r="K402" s="18"/>
      <c r="L402" s="14"/>
      <c r="N402" s="14"/>
    </row>
    <row r="403" spans="1:14" x14ac:dyDescent="0.25">
      <c r="A403" s="4"/>
      <c r="B403" s="14"/>
      <c r="C403" s="17" t="str">
        <f t="shared" si="7"/>
        <v>28.801011.-195745.1101..CLEAR SCHEDULE.</v>
      </c>
      <c r="D403" s="14"/>
      <c r="E403">
        <v>28</v>
      </c>
      <c r="F403">
        <v>801011</v>
      </c>
      <c r="G403" s="2">
        <v>-1957.45</v>
      </c>
      <c r="H403" t="s">
        <v>801</v>
      </c>
      <c r="J403" s="18" t="s">
        <v>4327</v>
      </c>
      <c r="K403" s="18"/>
      <c r="L403" s="14"/>
      <c r="N403" s="14"/>
    </row>
    <row r="404" spans="1:14" x14ac:dyDescent="0.25">
      <c r="A404" s="4"/>
      <c r="B404" s="14"/>
      <c r="C404" s="17" t="str">
        <f t="shared" si="7"/>
        <v>28.801011.-612561.1102..CLEAR SCHEDULE.</v>
      </c>
      <c r="D404" s="14"/>
      <c r="E404">
        <v>28</v>
      </c>
      <c r="F404">
        <v>801011</v>
      </c>
      <c r="G404" s="1">
        <v>-6125.61</v>
      </c>
      <c r="H404" t="s">
        <v>802</v>
      </c>
      <c r="J404" s="18" t="s">
        <v>4327</v>
      </c>
      <c r="K404" s="18"/>
      <c r="L404" s="14"/>
      <c r="N404" s="14"/>
    </row>
    <row r="405" spans="1:14" x14ac:dyDescent="0.25">
      <c r="A405" s="4"/>
      <c r="B405" s="14"/>
      <c r="C405" s="17" t="str">
        <f t="shared" si="7"/>
        <v>28.801011.-4433080.1103..CLEAR SCHEDULE.</v>
      </c>
      <c r="D405" s="14"/>
      <c r="E405">
        <v>28</v>
      </c>
      <c r="F405">
        <v>801011</v>
      </c>
      <c r="G405" s="2">
        <v>-44330.8</v>
      </c>
      <c r="H405" t="s">
        <v>803</v>
      </c>
      <c r="J405" s="18" t="s">
        <v>4327</v>
      </c>
      <c r="K405" s="18"/>
      <c r="L405" s="14"/>
      <c r="N405" s="14"/>
    </row>
    <row r="406" spans="1:14" x14ac:dyDescent="0.25">
      <c r="A406" s="4"/>
      <c r="B406" s="14"/>
      <c r="C406" s="17" t="str">
        <f t="shared" si="7"/>
        <v>28.801011.-1500000.1104..CLEAR SCHEDULE.</v>
      </c>
      <c r="D406" s="14"/>
      <c r="E406">
        <v>28</v>
      </c>
      <c r="F406">
        <v>801011</v>
      </c>
      <c r="G406" s="1">
        <v>-15000</v>
      </c>
      <c r="H406" t="s">
        <v>804</v>
      </c>
      <c r="J406" s="18" t="s">
        <v>4327</v>
      </c>
      <c r="K406" s="18"/>
      <c r="L406" s="14"/>
      <c r="N406" s="14"/>
    </row>
    <row r="407" spans="1:14" x14ac:dyDescent="0.25">
      <c r="A407" s="4"/>
      <c r="B407" s="14"/>
      <c r="C407" s="17" t="str">
        <f t="shared" si="7"/>
        <v>28.801011.-3800955.1105..CLEAR SCHEDULE.</v>
      </c>
      <c r="D407" s="14"/>
      <c r="E407">
        <v>28</v>
      </c>
      <c r="F407">
        <v>801011</v>
      </c>
      <c r="G407" s="2">
        <v>-38009.550000000003</v>
      </c>
      <c r="H407" t="s">
        <v>805</v>
      </c>
      <c r="J407" s="18" t="s">
        <v>4327</v>
      </c>
      <c r="K407" s="18"/>
      <c r="L407" s="14"/>
      <c r="N407" s="14"/>
    </row>
    <row r="408" spans="1:14" x14ac:dyDescent="0.25">
      <c r="A408" s="4"/>
      <c r="B408" s="14"/>
      <c r="C408" s="17" t="str">
        <f t="shared" si="7"/>
        <v>28.801011.-321983.1106..CLEAR SCHEDULE.</v>
      </c>
      <c r="D408" s="14"/>
      <c r="E408">
        <v>28</v>
      </c>
      <c r="F408">
        <v>801011</v>
      </c>
      <c r="G408" s="1">
        <v>-3219.83</v>
      </c>
      <c r="H408" s="14" t="s">
        <v>806</v>
      </c>
      <c r="I408" s="14"/>
      <c r="J408" s="18" t="s">
        <v>4327</v>
      </c>
      <c r="K408" s="14"/>
      <c r="L408" s="14"/>
      <c r="M408" s="14"/>
      <c r="N408" s="14"/>
    </row>
    <row r="409" spans="1:14" x14ac:dyDescent="0.25">
      <c r="C409" s="17" t="str">
        <f t="shared" si="7"/>
        <v>28.801011.17051131.1107..CLEAR SCHEDULE.</v>
      </c>
      <c r="E409">
        <v>28</v>
      </c>
      <c r="F409">
        <v>801011</v>
      </c>
      <c r="G409" s="2">
        <v>170511.31</v>
      </c>
      <c r="H409" t="s">
        <v>807</v>
      </c>
      <c r="J409" s="18" t="s">
        <v>4327</v>
      </c>
    </row>
    <row r="410" spans="1:14" x14ac:dyDescent="0.25">
      <c r="C410" s="17" t="str">
        <f t="shared" si="7"/>
        <v>28.801011.1106606.1108..CLEAR SCHEDULE.</v>
      </c>
      <c r="E410">
        <v>28</v>
      </c>
      <c r="F410">
        <v>801011</v>
      </c>
      <c r="G410" s="1">
        <v>11066.06</v>
      </c>
      <c r="H410" t="s">
        <v>808</v>
      </c>
      <c r="J410" s="18" t="s">
        <v>4327</v>
      </c>
    </row>
    <row r="411" spans="1:14" x14ac:dyDescent="0.25">
      <c r="C411" s="17" t="str">
        <f t="shared" si="7"/>
        <v>28.801011.-301118.1109..CLEAR SCHEDULE.</v>
      </c>
      <c r="E411">
        <v>28</v>
      </c>
      <c r="F411">
        <v>801011</v>
      </c>
      <c r="G411" s="2">
        <v>-3011.18</v>
      </c>
      <c r="H411" t="s">
        <v>809</v>
      </c>
      <c r="J411" s="18" t="s">
        <v>4327</v>
      </c>
    </row>
    <row r="412" spans="1:14" x14ac:dyDescent="0.25">
      <c r="C412" s="17" t="str">
        <f t="shared" si="7"/>
        <v>28.801011.-2357030.1110..CLEAR SCHEDULE.</v>
      </c>
      <c r="E412">
        <v>28</v>
      </c>
      <c r="F412">
        <v>801011</v>
      </c>
      <c r="G412" s="1">
        <v>-23570.3</v>
      </c>
      <c r="H412" t="s">
        <v>810</v>
      </c>
      <c r="J412" s="18" t="s">
        <v>4327</v>
      </c>
    </row>
    <row r="413" spans="1:14" x14ac:dyDescent="0.25">
      <c r="C413" s="17" t="str">
        <f t="shared" si="7"/>
        <v>28.801011.-3796494.1111..CLEAR SCHEDULE.</v>
      </c>
      <c r="E413">
        <v>28</v>
      </c>
      <c r="F413">
        <v>801011</v>
      </c>
      <c r="G413" s="2">
        <v>-37964.94</v>
      </c>
      <c r="H413" t="s">
        <v>811</v>
      </c>
      <c r="J413" s="18" t="s">
        <v>4327</v>
      </c>
    </row>
    <row r="414" spans="1:14" x14ac:dyDescent="0.25">
      <c r="C414" s="17" t="str">
        <f t="shared" si="7"/>
        <v>28.801011.3789489.1112..CLEAR SCHEDULE.</v>
      </c>
      <c r="E414">
        <v>28</v>
      </c>
      <c r="F414">
        <v>801011</v>
      </c>
      <c r="G414" s="1">
        <v>37894.89</v>
      </c>
      <c r="H414" t="s">
        <v>812</v>
      </c>
      <c r="J414" s="18" t="s">
        <v>4327</v>
      </c>
    </row>
    <row r="415" spans="1:14" x14ac:dyDescent="0.25">
      <c r="C415" s="17" t="str">
        <f t="shared" si="7"/>
        <v>28.801011.5454462.1113..CLEAR SCHEDULE.</v>
      </c>
      <c r="E415">
        <v>28</v>
      </c>
      <c r="F415">
        <v>801011</v>
      </c>
      <c r="G415" s="2">
        <v>54544.62</v>
      </c>
      <c r="H415" t="s">
        <v>813</v>
      </c>
      <c r="J415" s="18" t="s">
        <v>4327</v>
      </c>
    </row>
    <row r="416" spans="1:14" x14ac:dyDescent="0.25">
      <c r="C416" s="17" t="str">
        <f t="shared" si="7"/>
        <v>28.801011.-193935.1114..CLEAR SCHEDULE.</v>
      </c>
      <c r="E416">
        <v>28</v>
      </c>
      <c r="F416">
        <v>801011</v>
      </c>
      <c r="G416" s="1">
        <v>-1939.35</v>
      </c>
      <c r="H416" t="s">
        <v>814</v>
      </c>
      <c r="J416" s="18" t="s">
        <v>4327</v>
      </c>
    </row>
    <row r="417" spans="3:10" x14ac:dyDescent="0.25">
      <c r="C417" s="17" t="str">
        <f t="shared" si="7"/>
        <v>28.801011.-3363.1115..CLEAR SCHEDULE.</v>
      </c>
      <c r="E417">
        <v>28</v>
      </c>
      <c r="F417">
        <v>801011</v>
      </c>
      <c r="G417" s="2">
        <v>-33.630000000000003</v>
      </c>
      <c r="H417" t="s">
        <v>815</v>
      </c>
      <c r="J417" s="18" t="s">
        <v>4327</v>
      </c>
    </row>
    <row r="418" spans="3:10" x14ac:dyDescent="0.25">
      <c r="C418" s="17" t="str">
        <f t="shared" si="7"/>
        <v>28.801011.-2437001.1116..CLEAR SCHEDULE.</v>
      </c>
      <c r="E418">
        <v>28</v>
      </c>
      <c r="F418">
        <v>801011</v>
      </c>
      <c r="G418" s="1">
        <v>-24370.01</v>
      </c>
      <c r="H418" t="s">
        <v>816</v>
      </c>
      <c r="J418" s="18" t="s">
        <v>4327</v>
      </c>
    </row>
    <row r="419" spans="3:10" x14ac:dyDescent="0.25">
      <c r="C419" s="17" t="str">
        <f t="shared" si="7"/>
        <v>28.801011.-1000461.1117..CLEAR SCHEDULE.</v>
      </c>
      <c r="E419">
        <v>28</v>
      </c>
      <c r="F419">
        <v>801011</v>
      </c>
      <c r="G419" s="2">
        <v>-10004.61</v>
      </c>
      <c r="H419" t="s">
        <v>817</v>
      </c>
      <c r="J419" s="18" t="s">
        <v>4327</v>
      </c>
    </row>
    <row r="420" spans="3:10" x14ac:dyDescent="0.25">
      <c r="C420" s="17" t="str">
        <f t="shared" si="7"/>
        <v>28.801011.-54496.1118..CLEAR SCHEDULE.</v>
      </c>
      <c r="E420">
        <v>28</v>
      </c>
      <c r="F420">
        <v>801011</v>
      </c>
      <c r="G420" s="1">
        <v>-544.96</v>
      </c>
      <c r="H420" t="s">
        <v>818</v>
      </c>
      <c r="J420" s="18" t="s">
        <v>4327</v>
      </c>
    </row>
    <row r="421" spans="3:10" x14ac:dyDescent="0.25">
      <c r="C421" s="17" t="str">
        <f t="shared" si="7"/>
        <v>28.801011.-105925.1119..CLEAR SCHEDULE.</v>
      </c>
      <c r="E421">
        <v>28</v>
      </c>
      <c r="F421">
        <v>801011</v>
      </c>
      <c r="G421" s="2">
        <v>-1059.25</v>
      </c>
      <c r="H421" t="s">
        <v>819</v>
      </c>
      <c r="J421" s="18" t="s">
        <v>4327</v>
      </c>
    </row>
    <row r="422" spans="3:10" x14ac:dyDescent="0.25">
      <c r="C422" s="17" t="str">
        <f t="shared" si="7"/>
        <v>28.801011.8106397.1120..CLEAR SCHEDULE.</v>
      </c>
      <c r="E422">
        <v>28</v>
      </c>
      <c r="F422">
        <v>801011</v>
      </c>
      <c r="G422" s="1">
        <v>81063.97</v>
      </c>
      <c r="H422" t="s">
        <v>820</v>
      </c>
      <c r="J422" s="18" t="s">
        <v>4327</v>
      </c>
    </row>
    <row r="423" spans="3:10" x14ac:dyDescent="0.25">
      <c r="C423" s="17" t="str">
        <f t="shared" si="7"/>
        <v>28.801011.-326672.1121..CLEAR SCHEDULE.</v>
      </c>
      <c r="E423">
        <v>28</v>
      </c>
      <c r="F423">
        <v>801011</v>
      </c>
      <c r="G423" s="2">
        <v>-3266.72</v>
      </c>
      <c r="H423" t="s">
        <v>821</v>
      </c>
      <c r="J423" s="18" t="s">
        <v>4327</v>
      </c>
    </row>
    <row r="424" spans="3:10" x14ac:dyDescent="0.25">
      <c r="C424" s="17" t="str">
        <f t="shared" si="7"/>
        <v>28.801011.-500544.1122..CLEAR SCHEDULE.</v>
      </c>
      <c r="E424">
        <v>28</v>
      </c>
      <c r="F424">
        <v>801011</v>
      </c>
      <c r="G424" s="1">
        <v>-5005.4399999999996</v>
      </c>
      <c r="H424" t="s">
        <v>822</v>
      </c>
      <c r="J424" s="18" t="s">
        <v>4327</v>
      </c>
    </row>
    <row r="425" spans="3:10" x14ac:dyDescent="0.25">
      <c r="C425" s="17" t="str">
        <f t="shared" si="7"/>
        <v>28.801011.-2357331.1123..CLEAR SCHEDULE.</v>
      </c>
      <c r="E425">
        <v>28</v>
      </c>
      <c r="F425">
        <v>801011</v>
      </c>
      <c r="G425" s="2">
        <v>-23573.31</v>
      </c>
      <c r="H425" t="s">
        <v>823</v>
      </c>
      <c r="J425" s="18" t="s">
        <v>4327</v>
      </c>
    </row>
    <row r="426" spans="3:10" x14ac:dyDescent="0.25">
      <c r="C426" s="17" t="str">
        <f t="shared" si="7"/>
        <v>28.801011.-150000.1124..CLEAR SCHEDULE.</v>
      </c>
      <c r="E426">
        <v>28</v>
      </c>
      <c r="F426">
        <v>801011</v>
      </c>
      <c r="G426" s="1">
        <v>-1500</v>
      </c>
      <c r="H426" t="s">
        <v>824</v>
      </c>
      <c r="J426" s="18" t="s">
        <v>4327</v>
      </c>
    </row>
    <row r="427" spans="3:10" x14ac:dyDescent="0.25">
      <c r="C427" s="17" t="str">
        <f t="shared" si="7"/>
        <v>28.801011.-341473.1125..CLEAR SCHEDULE.</v>
      </c>
      <c r="E427">
        <v>28</v>
      </c>
      <c r="F427">
        <v>801011</v>
      </c>
      <c r="G427" s="2">
        <v>-3414.73</v>
      </c>
      <c r="H427" t="s">
        <v>825</v>
      </c>
      <c r="J427" s="18" t="s">
        <v>4327</v>
      </c>
    </row>
    <row r="428" spans="3:10" x14ac:dyDescent="0.25">
      <c r="C428" s="17" t="str">
        <f t="shared" si="7"/>
        <v>28.801011.-3753144.1126..CLEAR SCHEDULE.</v>
      </c>
      <c r="E428">
        <v>28</v>
      </c>
      <c r="F428">
        <v>801011</v>
      </c>
      <c r="G428" s="1">
        <v>-37531.440000000002</v>
      </c>
      <c r="H428" t="s">
        <v>826</v>
      </c>
      <c r="J428" s="18" t="s">
        <v>4327</v>
      </c>
    </row>
    <row r="429" spans="3:10" x14ac:dyDescent="0.25">
      <c r="C429" s="17" t="str">
        <f t="shared" si="7"/>
        <v>28.801011.1295544.1127..CLEAR SCHEDULE.</v>
      </c>
      <c r="E429">
        <v>28</v>
      </c>
      <c r="F429">
        <v>801011</v>
      </c>
      <c r="G429" s="2">
        <v>12955.44</v>
      </c>
      <c r="H429" t="s">
        <v>827</v>
      </c>
      <c r="J429" s="18" t="s">
        <v>4327</v>
      </c>
    </row>
    <row r="430" spans="3:10" x14ac:dyDescent="0.25">
      <c r="C430" s="17" t="str">
        <f t="shared" si="7"/>
        <v>28.801011.2394517.1128..CLEAR SCHEDULE.</v>
      </c>
      <c r="E430">
        <v>28</v>
      </c>
      <c r="F430">
        <v>801011</v>
      </c>
      <c r="G430" s="1">
        <v>23945.17</v>
      </c>
      <c r="H430" t="s">
        <v>828</v>
      </c>
      <c r="J430" s="18" t="s">
        <v>4327</v>
      </c>
    </row>
    <row r="431" spans="3:10" x14ac:dyDescent="0.25">
      <c r="C431" s="17" t="str">
        <f t="shared" si="7"/>
        <v>28.801011.-50000.1129..CLEAR SCHEDULE.</v>
      </c>
      <c r="E431">
        <v>28</v>
      </c>
      <c r="F431">
        <v>801011</v>
      </c>
      <c r="G431" s="2">
        <v>-500</v>
      </c>
      <c r="H431" t="s">
        <v>829</v>
      </c>
      <c r="J431" s="18" t="s">
        <v>4327</v>
      </c>
    </row>
    <row r="432" spans="3:10" x14ac:dyDescent="0.25">
      <c r="C432" s="17" t="str">
        <f t="shared" si="7"/>
        <v>28.801011.-83715.1130..CLEAR SCHEDULE.</v>
      </c>
      <c r="E432">
        <v>28</v>
      </c>
      <c r="F432">
        <v>801011</v>
      </c>
      <c r="G432" s="1">
        <v>-837.15</v>
      </c>
      <c r="H432" t="s">
        <v>830</v>
      </c>
      <c r="J432" s="18" t="s">
        <v>4327</v>
      </c>
    </row>
    <row r="433" spans="3:10" x14ac:dyDescent="0.25">
      <c r="C433" s="17" t="str">
        <f t="shared" si="7"/>
        <v>28.801011.-52509.1131..CLEAR SCHEDULE.</v>
      </c>
      <c r="E433">
        <v>28</v>
      </c>
      <c r="F433">
        <v>801011</v>
      </c>
      <c r="G433" s="2">
        <v>-525.09</v>
      </c>
      <c r="H433" t="s">
        <v>831</v>
      </c>
      <c r="J433" s="18" t="s">
        <v>4327</v>
      </c>
    </row>
    <row r="434" spans="3:10" x14ac:dyDescent="0.25">
      <c r="C434" s="17" t="str">
        <f t="shared" si="7"/>
        <v>28.801011.-1130900.1132..CLEAR SCHEDULE.</v>
      </c>
      <c r="E434">
        <v>28</v>
      </c>
      <c r="F434">
        <v>801011</v>
      </c>
      <c r="G434" s="1">
        <v>-11309</v>
      </c>
      <c r="H434" t="s">
        <v>832</v>
      </c>
      <c r="J434" s="18" t="s">
        <v>4327</v>
      </c>
    </row>
    <row r="435" spans="3:10" x14ac:dyDescent="0.25">
      <c r="C435" s="17" t="str">
        <f t="shared" si="7"/>
        <v>28.801011.10242972.1133..CLEAR SCHEDULE.</v>
      </c>
      <c r="E435">
        <v>28</v>
      </c>
      <c r="F435">
        <v>801011</v>
      </c>
      <c r="G435" s="2">
        <v>102429.72</v>
      </c>
      <c r="H435" t="s">
        <v>833</v>
      </c>
      <c r="J435" s="18" t="s">
        <v>4327</v>
      </c>
    </row>
    <row r="436" spans="3:10" x14ac:dyDescent="0.25">
      <c r="C436" s="17" t="str">
        <f t="shared" si="7"/>
        <v>28.801011.-300000.1134..CLEAR SCHEDULE.</v>
      </c>
      <c r="E436">
        <v>28</v>
      </c>
      <c r="F436">
        <v>801011</v>
      </c>
      <c r="G436" s="1">
        <v>-3000</v>
      </c>
      <c r="H436" t="s">
        <v>834</v>
      </c>
      <c r="J436" s="18" t="s">
        <v>4327</v>
      </c>
    </row>
    <row r="437" spans="3:10" x14ac:dyDescent="0.25">
      <c r="C437" s="17" t="str">
        <f t="shared" si="7"/>
        <v>28.801011.-2589830.1135..CLEAR SCHEDULE.</v>
      </c>
      <c r="E437">
        <v>28</v>
      </c>
      <c r="F437">
        <v>801011</v>
      </c>
      <c r="G437" s="2">
        <v>-25898.3</v>
      </c>
      <c r="H437" t="s">
        <v>835</v>
      </c>
      <c r="J437" s="18" t="s">
        <v>4327</v>
      </c>
    </row>
    <row r="438" spans="3:10" x14ac:dyDescent="0.25">
      <c r="C438" s="17" t="str">
        <f t="shared" si="7"/>
        <v>28.801011.-4535901.1136..CLEAR SCHEDULE.</v>
      </c>
      <c r="E438">
        <v>28</v>
      </c>
      <c r="F438">
        <v>801011</v>
      </c>
      <c r="G438" s="1">
        <v>-45359.01</v>
      </c>
      <c r="H438" t="s">
        <v>836</v>
      </c>
      <c r="J438" s="18" t="s">
        <v>4327</v>
      </c>
    </row>
    <row r="439" spans="3:10" x14ac:dyDescent="0.25">
      <c r="C439" s="17" t="str">
        <f t="shared" si="7"/>
        <v>28.801011.6988386.1137..CLEAR SCHEDULE.</v>
      </c>
      <c r="E439">
        <v>28</v>
      </c>
      <c r="F439">
        <v>801011</v>
      </c>
      <c r="G439" s="2">
        <v>69883.86</v>
      </c>
      <c r="H439" t="s">
        <v>837</v>
      </c>
      <c r="J439" s="18" t="s">
        <v>4327</v>
      </c>
    </row>
    <row r="440" spans="3:10" x14ac:dyDescent="0.25">
      <c r="C440" s="17" t="str">
        <f t="shared" si="7"/>
        <v>28.801011.-1419431.1138..CLEAR SCHEDULE.</v>
      </c>
      <c r="E440">
        <v>28</v>
      </c>
      <c r="F440">
        <v>801011</v>
      </c>
      <c r="G440" s="1">
        <v>-14194.31</v>
      </c>
      <c r="H440" t="s">
        <v>838</v>
      </c>
      <c r="J440" s="18" t="s">
        <v>4327</v>
      </c>
    </row>
    <row r="441" spans="3:10" x14ac:dyDescent="0.25">
      <c r="C441" s="17" t="str">
        <f t="shared" si="7"/>
        <v>28.801011.-1105443.1139..CLEAR SCHEDULE.</v>
      </c>
      <c r="E441">
        <v>28</v>
      </c>
      <c r="F441">
        <v>801011</v>
      </c>
      <c r="G441" s="2">
        <v>-11054.43</v>
      </c>
      <c r="H441" t="s">
        <v>839</v>
      </c>
      <c r="J441" s="18" t="s">
        <v>4327</v>
      </c>
    </row>
    <row r="442" spans="3:10" x14ac:dyDescent="0.25">
      <c r="C442" s="17" t="str">
        <f t="shared" si="7"/>
        <v>28.801011.-506869.1140..CLEAR SCHEDULE.</v>
      </c>
      <c r="E442">
        <v>28</v>
      </c>
      <c r="F442">
        <v>801011</v>
      </c>
      <c r="G442" s="1">
        <v>-5068.6899999999996</v>
      </c>
      <c r="H442" t="s">
        <v>840</v>
      </c>
      <c r="J442" s="18" t="s">
        <v>4327</v>
      </c>
    </row>
    <row r="443" spans="3:10" x14ac:dyDescent="0.25">
      <c r="C443" s="17" t="str">
        <f t="shared" si="7"/>
        <v>28.801011.-97589.1142..CLEAR SCHEDULE.</v>
      </c>
      <c r="E443">
        <v>28</v>
      </c>
      <c r="F443">
        <v>801011</v>
      </c>
      <c r="G443" s="2">
        <v>-975.89</v>
      </c>
      <c r="H443" t="s">
        <v>841</v>
      </c>
      <c r="J443" s="18" t="s">
        <v>4327</v>
      </c>
    </row>
    <row r="444" spans="3:10" x14ac:dyDescent="0.25">
      <c r="C444" s="17" t="str">
        <f t="shared" si="7"/>
        <v>28.801011.-799424.1143..CLEAR SCHEDULE.</v>
      </c>
      <c r="E444">
        <v>28</v>
      </c>
      <c r="F444">
        <v>801011</v>
      </c>
      <c r="G444" s="1">
        <v>-7994.24</v>
      </c>
      <c r="H444" t="s">
        <v>842</v>
      </c>
      <c r="J444" s="18" t="s">
        <v>4327</v>
      </c>
    </row>
    <row r="445" spans="3:10" x14ac:dyDescent="0.25">
      <c r="C445" s="17" t="str">
        <f t="shared" si="7"/>
        <v>28.801011.-56500.1144..CLEAR SCHEDULE.</v>
      </c>
      <c r="E445">
        <v>28</v>
      </c>
      <c r="F445">
        <v>801011</v>
      </c>
      <c r="G445" s="2">
        <v>-565</v>
      </c>
      <c r="H445" t="s">
        <v>843</v>
      </c>
      <c r="J445" s="18" t="s">
        <v>4327</v>
      </c>
    </row>
    <row r="446" spans="3:10" x14ac:dyDescent="0.25">
      <c r="C446" s="17" t="str">
        <f t="shared" si="7"/>
        <v>28.801011.4146416.1145..CLEAR SCHEDULE.</v>
      </c>
      <c r="E446">
        <v>28</v>
      </c>
      <c r="F446">
        <v>801011</v>
      </c>
      <c r="G446" s="1">
        <v>41464.160000000003</v>
      </c>
      <c r="H446" t="s">
        <v>844</v>
      </c>
      <c r="J446" s="18" t="s">
        <v>4327</v>
      </c>
    </row>
    <row r="447" spans="3:10" x14ac:dyDescent="0.25">
      <c r="C447" s="17" t="str">
        <f t="shared" si="7"/>
        <v>28.801011.-900000.1146..CLEAR SCHEDULE.</v>
      </c>
      <c r="E447">
        <v>28</v>
      </c>
      <c r="F447">
        <v>801011</v>
      </c>
      <c r="G447" s="2">
        <v>-9000</v>
      </c>
      <c r="H447" t="s">
        <v>845</v>
      </c>
      <c r="J447" s="18" t="s">
        <v>4327</v>
      </c>
    </row>
    <row r="448" spans="3:10" x14ac:dyDescent="0.25">
      <c r="C448" s="17" t="str">
        <f t="shared" si="7"/>
        <v>28.801011.2445029.1147..CLEAR SCHEDULE.</v>
      </c>
      <c r="E448">
        <v>28</v>
      </c>
      <c r="F448">
        <v>801011</v>
      </c>
      <c r="G448" s="1">
        <v>24450.29</v>
      </c>
      <c r="H448" t="s">
        <v>846</v>
      </c>
      <c r="J448" s="18" t="s">
        <v>4327</v>
      </c>
    </row>
    <row r="449" spans="3:10" x14ac:dyDescent="0.25">
      <c r="C449" s="17" t="str">
        <f t="shared" si="7"/>
        <v>28.801011.-1017115.1148..CLEAR SCHEDULE.</v>
      </c>
      <c r="E449">
        <v>28</v>
      </c>
      <c r="F449">
        <v>801011</v>
      </c>
      <c r="G449" s="2">
        <v>-10171.15</v>
      </c>
      <c r="H449" t="s">
        <v>847</v>
      </c>
      <c r="J449" s="18" t="s">
        <v>4327</v>
      </c>
    </row>
    <row r="450" spans="3:10" x14ac:dyDescent="0.25">
      <c r="C450" s="17" t="str">
        <f t="shared" si="7"/>
        <v>28.801011.-650000.1149..CLEAR SCHEDULE.</v>
      </c>
      <c r="E450">
        <v>28</v>
      </c>
      <c r="F450">
        <v>801011</v>
      </c>
      <c r="G450" s="1">
        <v>-6500</v>
      </c>
      <c r="H450" t="s">
        <v>848</v>
      </c>
      <c r="J450" s="18" t="s">
        <v>4327</v>
      </c>
    </row>
    <row r="451" spans="3:10" x14ac:dyDescent="0.25">
      <c r="C451" s="17" t="str">
        <f t="shared" si="7"/>
        <v>28.801011.-84529.1150..CLEAR SCHEDULE.</v>
      </c>
      <c r="E451">
        <v>28</v>
      </c>
      <c r="F451">
        <v>801011</v>
      </c>
      <c r="G451" s="2">
        <v>-845.29</v>
      </c>
      <c r="H451" t="s">
        <v>849</v>
      </c>
      <c r="J451" s="18" t="s">
        <v>4327</v>
      </c>
    </row>
    <row r="452" spans="3:10" x14ac:dyDescent="0.25">
      <c r="C452" s="17" t="str">
        <f t="shared" si="7"/>
        <v>28.801011.-1820752.1151..CLEAR SCHEDULE.</v>
      </c>
      <c r="E452">
        <v>28</v>
      </c>
      <c r="F452">
        <v>801011</v>
      </c>
      <c r="G452" s="1">
        <v>-18207.52</v>
      </c>
      <c r="H452" t="s">
        <v>850</v>
      </c>
      <c r="J452" s="18" t="s">
        <v>4327</v>
      </c>
    </row>
    <row r="453" spans="3:10" x14ac:dyDescent="0.25">
      <c r="C453" s="17" t="str">
        <f t="shared" si="7"/>
        <v>28.801011.-156061.1152..CLEAR SCHEDULE.</v>
      </c>
      <c r="E453">
        <v>28</v>
      </c>
      <c r="F453">
        <v>801011</v>
      </c>
      <c r="G453" s="2">
        <v>-1560.61</v>
      </c>
      <c r="H453" t="s">
        <v>851</v>
      </c>
      <c r="J453" s="18" t="s">
        <v>4327</v>
      </c>
    </row>
    <row r="454" spans="3:10" x14ac:dyDescent="0.25">
      <c r="C454" s="17" t="str">
        <f t="shared" si="7"/>
        <v>28.801011.-105222.1153..CLEAR SCHEDULE.</v>
      </c>
      <c r="E454">
        <v>28</v>
      </c>
      <c r="F454">
        <v>801011</v>
      </c>
      <c r="G454" s="1">
        <v>-1052.22</v>
      </c>
      <c r="H454" t="s">
        <v>852</v>
      </c>
      <c r="J454" s="18" t="s">
        <v>4327</v>
      </c>
    </row>
    <row r="455" spans="3:10" x14ac:dyDescent="0.25">
      <c r="C455" s="17" t="str">
        <f t="shared" si="7"/>
        <v>28.801011.1869580.1154..CLEAR SCHEDULE.</v>
      </c>
      <c r="E455">
        <v>28</v>
      </c>
      <c r="F455">
        <v>801011</v>
      </c>
      <c r="G455" s="2">
        <v>18695.8</v>
      </c>
      <c r="H455" t="s">
        <v>853</v>
      </c>
      <c r="J455" s="18" t="s">
        <v>4327</v>
      </c>
    </row>
    <row r="456" spans="3:10" x14ac:dyDescent="0.25">
      <c r="C456" s="17" t="str">
        <f t="shared" si="7"/>
        <v>28.801011.-50000.1155..CLEAR SCHEDULE.</v>
      </c>
      <c r="E456">
        <v>28</v>
      </c>
      <c r="F456">
        <v>801011</v>
      </c>
      <c r="G456" s="1">
        <v>-500</v>
      </c>
      <c r="H456" t="s">
        <v>854</v>
      </c>
      <c r="J456" s="18" t="s">
        <v>4327</v>
      </c>
    </row>
    <row r="457" spans="3:10" x14ac:dyDescent="0.25">
      <c r="C457" s="17" t="str">
        <f t="shared" si="7"/>
        <v>28.801011.-7271324.1156..CLEAR SCHEDULE.</v>
      </c>
      <c r="E457">
        <v>28</v>
      </c>
      <c r="F457">
        <v>801011</v>
      </c>
      <c r="G457" s="2">
        <v>-72713.240000000005</v>
      </c>
      <c r="H457" t="s">
        <v>855</v>
      </c>
      <c r="J457" s="18" t="s">
        <v>4327</v>
      </c>
    </row>
    <row r="458" spans="3:10" x14ac:dyDescent="0.25">
      <c r="C458" s="17" t="str">
        <f t="shared" si="7"/>
        <v>28.801011.-3373462.1157..CLEAR SCHEDULE.</v>
      </c>
      <c r="E458">
        <v>28</v>
      </c>
      <c r="F458">
        <v>801011</v>
      </c>
      <c r="G458" s="1">
        <v>-33734.620000000003</v>
      </c>
      <c r="H458" t="s">
        <v>856</v>
      </c>
      <c r="J458" s="18" t="s">
        <v>4327</v>
      </c>
    </row>
    <row r="459" spans="3:10" x14ac:dyDescent="0.25">
      <c r="C459" s="17" t="str">
        <f t="shared" ref="C459:C522" si="8">IF(G459=0,"",(E459&amp;"."&amp;F459&amp;"."&amp;G459*100&amp;"."&amp;H459&amp;"."&amp;I459&amp;"."&amp;J459&amp;"."&amp;K459))</f>
        <v>28.801011.13570100.1158..CLEAR SCHEDULE.</v>
      </c>
      <c r="E459">
        <v>28</v>
      </c>
      <c r="F459">
        <v>801011</v>
      </c>
      <c r="G459" s="2">
        <v>135701</v>
      </c>
      <c r="H459" t="s">
        <v>857</v>
      </c>
      <c r="J459" s="18" t="s">
        <v>4327</v>
      </c>
    </row>
    <row r="460" spans="3:10" x14ac:dyDescent="0.25">
      <c r="C460" s="17" t="str">
        <f t="shared" si="8"/>
        <v>28.801011.-218204.1159..CLEAR SCHEDULE.</v>
      </c>
      <c r="E460">
        <v>28</v>
      </c>
      <c r="F460">
        <v>801011</v>
      </c>
      <c r="G460" s="1">
        <v>-2182.04</v>
      </c>
      <c r="H460" t="s">
        <v>858</v>
      </c>
      <c r="J460" s="18" t="s">
        <v>4327</v>
      </c>
    </row>
    <row r="461" spans="3:10" x14ac:dyDescent="0.25">
      <c r="C461" s="17" t="str">
        <f t="shared" si="8"/>
        <v>28.801011.-177282.1160..CLEAR SCHEDULE.</v>
      </c>
      <c r="E461">
        <v>28</v>
      </c>
      <c r="F461">
        <v>801011</v>
      </c>
      <c r="G461" s="2">
        <v>-1772.82</v>
      </c>
      <c r="H461" t="s">
        <v>859</v>
      </c>
      <c r="J461" s="18" t="s">
        <v>4327</v>
      </c>
    </row>
    <row r="462" spans="3:10" x14ac:dyDescent="0.25">
      <c r="C462" s="17" t="str">
        <f t="shared" si="8"/>
        <v>28.801011.-4771959.1161..CLEAR SCHEDULE.</v>
      </c>
      <c r="E462">
        <v>28</v>
      </c>
      <c r="F462">
        <v>801011</v>
      </c>
      <c r="G462" s="1">
        <v>-47719.59</v>
      </c>
      <c r="H462" t="s">
        <v>860</v>
      </c>
      <c r="J462" s="18" t="s">
        <v>4327</v>
      </c>
    </row>
    <row r="463" spans="3:10" x14ac:dyDescent="0.25">
      <c r="C463" s="17" t="str">
        <f t="shared" si="8"/>
        <v>28.801011.-1423673.1162..CLEAR SCHEDULE.</v>
      </c>
      <c r="E463">
        <v>28</v>
      </c>
      <c r="F463">
        <v>801011</v>
      </c>
      <c r="G463" s="2">
        <v>-14236.73</v>
      </c>
      <c r="H463" t="s">
        <v>861</v>
      </c>
      <c r="J463" s="18" t="s">
        <v>4327</v>
      </c>
    </row>
    <row r="464" spans="3:10" x14ac:dyDescent="0.25">
      <c r="C464" s="17" t="str">
        <f t="shared" si="8"/>
        <v>28.801011.-2690456.1163..CLEAR SCHEDULE.</v>
      </c>
      <c r="E464">
        <v>28</v>
      </c>
      <c r="F464">
        <v>801011</v>
      </c>
      <c r="G464" s="1">
        <v>-26904.560000000001</v>
      </c>
      <c r="H464" t="s">
        <v>862</v>
      </c>
      <c r="J464" s="18" t="s">
        <v>4327</v>
      </c>
    </row>
    <row r="465" spans="3:10" x14ac:dyDescent="0.25">
      <c r="C465" s="17" t="str">
        <f t="shared" si="8"/>
        <v>28.801011.-1994979.1164..CLEAR SCHEDULE.</v>
      </c>
      <c r="E465">
        <v>28</v>
      </c>
      <c r="F465">
        <v>801011</v>
      </c>
      <c r="G465" s="2">
        <v>-19949.79</v>
      </c>
      <c r="H465" t="s">
        <v>863</v>
      </c>
      <c r="J465" s="18" t="s">
        <v>4327</v>
      </c>
    </row>
    <row r="466" spans="3:10" x14ac:dyDescent="0.25">
      <c r="C466" s="17" t="str">
        <f t="shared" si="8"/>
        <v>28.801011.-52378.1165..CLEAR SCHEDULE.</v>
      </c>
      <c r="E466">
        <v>28</v>
      </c>
      <c r="F466">
        <v>801011</v>
      </c>
      <c r="G466" s="1">
        <v>-523.78</v>
      </c>
      <c r="H466" t="s">
        <v>864</v>
      </c>
      <c r="J466" s="18" t="s">
        <v>4327</v>
      </c>
    </row>
    <row r="467" spans="3:10" x14ac:dyDescent="0.25">
      <c r="C467" s="17" t="str">
        <f t="shared" si="8"/>
        <v>28.801011.1577524.1166..CLEAR SCHEDULE.</v>
      </c>
      <c r="E467">
        <v>28</v>
      </c>
      <c r="F467">
        <v>801011</v>
      </c>
      <c r="G467" s="2">
        <v>15775.24</v>
      </c>
      <c r="H467" t="s">
        <v>865</v>
      </c>
      <c r="J467" s="18" t="s">
        <v>4327</v>
      </c>
    </row>
    <row r="468" spans="3:10" x14ac:dyDescent="0.25">
      <c r="C468" s="17" t="str">
        <f t="shared" si="8"/>
        <v>28.801011.-317856.1167..CLEAR SCHEDULE.</v>
      </c>
      <c r="E468">
        <v>28</v>
      </c>
      <c r="F468">
        <v>801011</v>
      </c>
      <c r="G468" s="1">
        <v>-3178.56</v>
      </c>
      <c r="H468" t="s">
        <v>866</v>
      </c>
      <c r="J468" s="18" t="s">
        <v>4327</v>
      </c>
    </row>
    <row r="469" spans="3:10" x14ac:dyDescent="0.25">
      <c r="C469" s="17" t="str">
        <f t="shared" si="8"/>
        <v>28.801011.6178355.1168..CLEAR SCHEDULE.</v>
      </c>
      <c r="E469">
        <v>28</v>
      </c>
      <c r="F469">
        <v>801011</v>
      </c>
      <c r="G469" s="2">
        <v>61783.55</v>
      </c>
      <c r="H469" t="s">
        <v>867</v>
      </c>
      <c r="J469" s="18" t="s">
        <v>4327</v>
      </c>
    </row>
    <row r="470" spans="3:10" x14ac:dyDescent="0.25">
      <c r="C470" s="17" t="str">
        <f t="shared" si="8"/>
        <v>28.801011.-1005165.1169..CLEAR SCHEDULE.</v>
      </c>
      <c r="E470">
        <v>28</v>
      </c>
      <c r="F470">
        <v>801011</v>
      </c>
      <c r="G470" s="1">
        <v>-10051.65</v>
      </c>
      <c r="H470" t="s">
        <v>868</v>
      </c>
      <c r="J470" s="18" t="s">
        <v>4327</v>
      </c>
    </row>
    <row r="471" spans="3:10" x14ac:dyDescent="0.25">
      <c r="C471" s="17" t="str">
        <f t="shared" si="8"/>
        <v>28.801011.7658772.1170..CLEAR SCHEDULE.</v>
      </c>
      <c r="E471">
        <v>28</v>
      </c>
      <c r="F471">
        <v>801011</v>
      </c>
      <c r="G471" s="2">
        <v>76587.72</v>
      </c>
      <c r="H471" t="s">
        <v>869</v>
      </c>
      <c r="J471" s="18" t="s">
        <v>4327</v>
      </c>
    </row>
    <row r="472" spans="3:10" x14ac:dyDescent="0.25">
      <c r="C472" s="17" t="str">
        <f t="shared" si="8"/>
        <v>28.801011.-577371.1171..CLEAR SCHEDULE.</v>
      </c>
      <c r="E472">
        <v>28</v>
      </c>
      <c r="F472">
        <v>801011</v>
      </c>
      <c r="G472" s="1">
        <v>-5773.71</v>
      </c>
      <c r="H472" t="s">
        <v>870</v>
      </c>
      <c r="J472" s="18" t="s">
        <v>4327</v>
      </c>
    </row>
    <row r="473" spans="3:10" x14ac:dyDescent="0.25">
      <c r="C473" s="17" t="str">
        <f t="shared" si="8"/>
        <v>28.801011.-3000801.1172..CLEAR SCHEDULE.</v>
      </c>
      <c r="E473">
        <v>28</v>
      </c>
      <c r="F473">
        <v>801011</v>
      </c>
      <c r="G473" s="2">
        <v>-30008.01</v>
      </c>
      <c r="H473" t="s">
        <v>871</v>
      </c>
      <c r="J473" s="18" t="s">
        <v>4327</v>
      </c>
    </row>
    <row r="474" spans="3:10" x14ac:dyDescent="0.25">
      <c r="C474" s="17" t="str">
        <f t="shared" si="8"/>
        <v>28.801011.-163159.1173..CLEAR SCHEDULE.</v>
      </c>
      <c r="E474">
        <v>28</v>
      </c>
      <c r="F474">
        <v>801011</v>
      </c>
      <c r="G474" s="1">
        <v>-1631.59</v>
      </c>
      <c r="H474" t="s">
        <v>872</v>
      </c>
      <c r="J474" s="18" t="s">
        <v>4327</v>
      </c>
    </row>
    <row r="475" spans="3:10" x14ac:dyDescent="0.25">
      <c r="C475" s="17" t="str">
        <f t="shared" si="8"/>
        <v>28.801011.-3051.1174..CLEAR SCHEDULE.</v>
      </c>
      <c r="E475">
        <v>28</v>
      </c>
      <c r="F475">
        <v>801011</v>
      </c>
      <c r="G475" s="2">
        <v>-30.51</v>
      </c>
      <c r="H475" t="s">
        <v>873</v>
      </c>
      <c r="J475" s="18" t="s">
        <v>4327</v>
      </c>
    </row>
    <row r="476" spans="3:10" x14ac:dyDescent="0.25">
      <c r="C476" s="17" t="str">
        <f t="shared" si="8"/>
        <v>28.801011.-676991.1175..CLEAR SCHEDULE.</v>
      </c>
      <c r="E476">
        <v>28</v>
      </c>
      <c r="F476">
        <v>801011</v>
      </c>
      <c r="G476" s="1">
        <v>-6769.91</v>
      </c>
      <c r="H476" t="s">
        <v>874</v>
      </c>
      <c r="J476" s="18" t="s">
        <v>4327</v>
      </c>
    </row>
    <row r="477" spans="3:10" x14ac:dyDescent="0.25">
      <c r="C477" s="17" t="str">
        <f t="shared" si="8"/>
        <v>28.801011.-3407285.1176..CLEAR SCHEDULE.</v>
      </c>
      <c r="E477">
        <v>28</v>
      </c>
      <c r="F477">
        <v>801011</v>
      </c>
      <c r="G477" s="2">
        <v>-34072.85</v>
      </c>
      <c r="H477" t="s">
        <v>875</v>
      </c>
      <c r="J477" s="18" t="s">
        <v>4327</v>
      </c>
    </row>
    <row r="478" spans="3:10" x14ac:dyDescent="0.25">
      <c r="C478" s="17" t="str">
        <f t="shared" si="8"/>
        <v>28.801011.6670876.1177..CLEAR SCHEDULE.</v>
      </c>
      <c r="E478">
        <v>28</v>
      </c>
      <c r="F478">
        <v>801011</v>
      </c>
      <c r="G478" s="1">
        <v>66708.759999999995</v>
      </c>
      <c r="H478" t="s">
        <v>876</v>
      </c>
      <c r="J478" s="18" t="s">
        <v>4327</v>
      </c>
    </row>
    <row r="479" spans="3:10" x14ac:dyDescent="0.25">
      <c r="C479" s="17" t="str">
        <f t="shared" si="8"/>
        <v>28.801011.-5138819.1178..CLEAR SCHEDULE.</v>
      </c>
      <c r="E479">
        <v>28</v>
      </c>
      <c r="F479">
        <v>801011</v>
      </c>
      <c r="G479" s="2">
        <v>-51388.19</v>
      </c>
      <c r="H479" t="s">
        <v>877</v>
      </c>
      <c r="J479" s="18" t="s">
        <v>4327</v>
      </c>
    </row>
    <row r="480" spans="3:10" x14ac:dyDescent="0.25">
      <c r="C480" s="17" t="str">
        <f t="shared" si="8"/>
        <v>28.801011.-1786489.1179..CLEAR SCHEDULE.</v>
      </c>
      <c r="E480">
        <v>28</v>
      </c>
      <c r="F480">
        <v>801011</v>
      </c>
      <c r="G480" s="1">
        <v>-17864.89</v>
      </c>
      <c r="H480" t="s">
        <v>878</v>
      </c>
      <c r="J480" s="18" t="s">
        <v>4327</v>
      </c>
    </row>
    <row r="481" spans="3:10" x14ac:dyDescent="0.25">
      <c r="C481" s="17" t="str">
        <f t="shared" si="8"/>
        <v>28.801011.-2000000.1180..CLEAR SCHEDULE.</v>
      </c>
      <c r="E481">
        <v>28</v>
      </c>
      <c r="F481">
        <v>801011</v>
      </c>
      <c r="G481" s="2">
        <v>-20000</v>
      </c>
      <c r="H481" t="s">
        <v>879</v>
      </c>
      <c r="J481" s="18" t="s">
        <v>4327</v>
      </c>
    </row>
    <row r="482" spans="3:10" x14ac:dyDescent="0.25">
      <c r="C482" s="17" t="str">
        <f t="shared" si="8"/>
        <v>28.801011.-70300.1181..CLEAR SCHEDULE.</v>
      </c>
      <c r="E482">
        <v>28</v>
      </c>
      <c r="F482">
        <v>801011</v>
      </c>
      <c r="G482" s="1">
        <v>-703</v>
      </c>
      <c r="H482" t="s">
        <v>880</v>
      </c>
      <c r="J482" s="18" t="s">
        <v>4327</v>
      </c>
    </row>
    <row r="483" spans="3:10" x14ac:dyDescent="0.25">
      <c r="C483" s="17" t="str">
        <f t="shared" si="8"/>
        <v>28.801011.-320381.1182..CLEAR SCHEDULE.</v>
      </c>
      <c r="E483">
        <v>28</v>
      </c>
      <c r="F483">
        <v>801011</v>
      </c>
      <c r="G483" s="2">
        <v>-3203.81</v>
      </c>
      <c r="H483" t="s">
        <v>881</v>
      </c>
      <c r="J483" s="18" t="s">
        <v>4327</v>
      </c>
    </row>
    <row r="484" spans="3:10" x14ac:dyDescent="0.25">
      <c r="C484" s="17" t="str">
        <f t="shared" si="8"/>
        <v>28.801011.-2889031.1183..CLEAR SCHEDULE.</v>
      </c>
      <c r="E484">
        <v>28</v>
      </c>
      <c r="F484">
        <v>801011</v>
      </c>
      <c r="G484" s="1">
        <v>-28890.31</v>
      </c>
      <c r="H484" t="s">
        <v>882</v>
      </c>
      <c r="J484" s="18" t="s">
        <v>4327</v>
      </c>
    </row>
    <row r="485" spans="3:10" x14ac:dyDescent="0.25">
      <c r="C485" s="17" t="str">
        <f t="shared" si="8"/>
        <v>28.801011.9967950.1184..CLEAR SCHEDULE.</v>
      </c>
      <c r="E485">
        <v>28</v>
      </c>
      <c r="F485">
        <v>801011</v>
      </c>
      <c r="G485" s="2">
        <v>99679.5</v>
      </c>
      <c r="H485" t="s">
        <v>883</v>
      </c>
      <c r="J485" s="18" t="s">
        <v>4327</v>
      </c>
    </row>
    <row r="486" spans="3:10" x14ac:dyDescent="0.25">
      <c r="C486" s="17" t="str">
        <f t="shared" si="8"/>
        <v>28.801011.-185001.1185..CLEAR SCHEDULE.</v>
      </c>
      <c r="E486">
        <v>28</v>
      </c>
      <c r="F486">
        <v>801011</v>
      </c>
      <c r="G486" s="1">
        <v>-1850.01</v>
      </c>
      <c r="H486" t="s">
        <v>884</v>
      </c>
      <c r="J486" s="18" t="s">
        <v>4327</v>
      </c>
    </row>
    <row r="487" spans="3:10" x14ac:dyDescent="0.25">
      <c r="C487" s="17" t="str">
        <f t="shared" si="8"/>
        <v>28.801011.3734860.1186..CLEAR SCHEDULE.</v>
      </c>
      <c r="E487">
        <v>28</v>
      </c>
      <c r="F487">
        <v>801011</v>
      </c>
      <c r="G487" s="2">
        <v>37348.6</v>
      </c>
      <c r="H487" t="s">
        <v>885</v>
      </c>
      <c r="J487" s="18" t="s">
        <v>4327</v>
      </c>
    </row>
    <row r="488" spans="3:10" x14ac:dyDescent="0.25">
      <c r="C488" s="17" t="str">
        <f t="shared" si="8"/>
        <v>28.801011.4312587.1187..CLEAR SCHEDULE.</v>
      </c>
      <c r="E488">
        <v>28</v>
      </c>
      <c r="F488">
        <v>801011</v>
      </c>
      <c r="G488" s="1">
        <v>43125.87</v>
      </c>
      <c r="H488" t="s">
        <v>886</v>
      </c>
      <c r="J488" s="18" t="s">
        <v>4327</v>
      </c>
    </row>
    <row r="489" spans="3:10" x14ac:dyDescent="0.25">
      <c r="C489" s="17" t="str">
        <f t="shared" si="8"/>
        <v>28.801011.-1428311.1188..CLEAR SCHEDULE.</v>
      </c>
      <c r="E489">
        <v>28</v>
      </c>
      <c r="F489">
        <v>801011</v>
      </c>
      <c r="G489" s="2">
        <v>-14283.11</v>
      </c>
      <c r="H489" t="s">
        <v>887</v>
      </c>
      <c r="J489" s="18" t="s">
        <v>4327</v>
      </c>
    </row>
    <row r="490" spans="3:10" x14ac:dyDescent="0.25">
      <c r="C490" s="17" t="str">
        <f t="shared" si="8"/>
        <v>28.801011.-3209608.1189..CLEAR SCHEDULE.</v>
      </c>
      <c r="E490">
        <v>28</v>
      </c>
      <c r="F490">
        <v>801011</v>
      </c>
      <c r="G490" s="1">
        <v>-32096.080000000002</v>
      </c>
      <c r="H490" t="s">
        <v>888</v>
      </c>
      <c r="J490" s="18" t="s">
        <v>4327</v>
      </c>
    </row>
    <row r="491" spans="3:10" x14ac:dyDescent="0.25">
      <c r="C491" s="17" t="str">
        <f t="shared" si="8"/>
        <v>28.801011.-283374.1190..CLEAR SCHEDULE.</v>
      </c>
      <c r="E491">
        <v>28</v>
      </c>
      <c r="F491">
        <v>801011</v>
      </c>
      <c r="G491" s="2">
        <v>-2833.74</v>
      </c>
      <c r="H491" t="s">
        <v>889</v>
      </c>
      <c r="J491" s="18" t="s">
        <v>4327</v>
      </c>
    </row>
    <row r="492" spans="3:10" x14ac:dyDescent="0.25">
      <c r="C492" s="17" t="str">
        <f t="shared" si="8"/>
        <v>28.801011.-2764326.1191..CLEAR SCHEDULE.</v>
      </c>
      <c r="E492">
        <v>28</v>
      </c>
      <c r="F492">
        <v>801011</v>
      </c>
      <c r="G492" s="1">
        <v>-27643.26</v>
      </c>
      <c r="H492" t="s">
        <v>890</v>
      </c>
      <c r="J492" s="18" t="s">
        <v>4327</v>
      </c>
    </row>
    <row r="493" spans="3:10" x14ac:dyDescent="0.25">
      <c r="C493" s="17" t="str">
        <f t="shared" si="8"/>
        <v>28.801011.-4856142.1192..CLEAR SCHEDULE.</v>
      </c>
      <c r="E493">
        <v>28</v>
      </c>
      <c r="F493">
        <v>801011</v>
      </c>
      <c r="G493" s="2">
        <v>-48561.42</v>
      </c>
      <c r="H493" t="s">
        <v>891</v>
      </c>
      <c r="J493" s="18" t="s">
        <v>4327</v>
      </c>
    </row>
    <row r="494" spans="3:10" x14ac:dyDescent="0.25">
      <c r="C494" s="17" t="str">
        <f t="shared" si="8"/>
        <v>28.801011.-1000801.1193..CLEAR SCHEDULE.</v>
      </c>
      <c r="E494">
        <v>28</v>
      </c>
      <c r="F494">
        <v>801011</v>
      </c>
      <c r="G494" s="1">
        <v>-10008.01</v>
      </c>
      <c r="H494" t="s">
        <v>892</v>
      </c>
      <c r="J494" s="18" t="s">
        <v>4327</v>
      </c>
    </row>
    <row r="495" spans="3:10" x14ac:dyDescent="0.25">
      <c r="C495" s="17" t="str">
        <f t="shared" si="8"/>
        <v>28.801011.-659418.1194..CLEAR SCHEDULE.</v>
      </c>
      <c r="E495">
        <v>28</v>
      </c>
      <c r="F495">
        <v>801011</v>
      </c>
      <c r="G495" s="2">
        <v>-6594.18</v>
      </c>
      <c r="H495" t="s">
        <v>893</v>
      </c>
      <c r="J495" s="18" t="s">
        <v>4327</v>
      </c>
    </row>
    <row r="496" spans="3:10" x14ac:dyDescent="0.25">
      <c r="C496" s="17" t="str">
        <f t="shared" si="8"/>
        <v>28.801011.-3001219.1195..CLEAR SCHEDULE.</v>
      </c>
      <c r="E496">
        <v>28</v>
      </c>
      <c r="F496">
        <v>801011</v>
      </c>
      <c r="G496" s="1">
        <v>-30012.19</v>
      </c>
      <c r="H496" t="s">
        <v>894</v>
      </c>
      <c r="J496" s="18" t="s">
        <v>4327</v>
      </c>
    </row>
    <row r="497" spans="3:10" x14ac:dyDescent="0.25">
      <c r="C497" s="17" t="str">
        <f t="shared" si="8"/>
        <v>28.801011.-1000984.1196..CLEAR SCHEDULE.</v>
      </c>
      <c r="E497">
        <v>28</v>
      </c>
      <c r="F497">
        <v>801011</v>
      </c>
      <c r="G497" s="2">
        <v>-10009.84</v>
      </c>
      <c r="H497" t="s">
        <v>895</v>
      </c>
      <c r="J497" s="18" t="s">
        <v>4327</v>
      </c>
    </row>
    <row r="498" spans="3:10" x14ac:dyDescent="0.25">
      <c r="C498" s="17" t="str">
        <f t="shared" si="8"/>
        <v>28.801011.-52054.1197..CLEAR SCHEDULE.</v>
      </c>
      <c r="E498">
        <v>28</v>
      </c>
      <c r="F498">
        <v>801011</v>
      </c>
      <c r="G498" s="1">
        <v>-520.54</v>
      </c>
      <c r="H498" t="s">
        <v>896</v>
      </c>
      <c r="J498" s="18" t="s">
        <v>4327</v>
      </c>
    </row>
    <row r="499" spans="3:10" x14ac:dyDescent="0.25">
      <c r="C499" s="17" t="str">
        <f t="shared" si="8"/>
        <v>28.801011.4353458.1198..CLEAR SCHEDULE.</v>
      </c>
      <c r="E499">
        <v>28</v>
      </c>
      <c r="F499">
        <v>801011</v>
      </c>
      <c r="G499" s="2">
        <v>43534.58</v>
      </c>
      <c r="H499" t="s">
        <v>897</v>
      </c>
      <c r="J499" s="18" t="s">
        <v>4327</v>
      </c>
    </row>
    <row r="500" spans="3:10" x14ac:dyDescent="0.25">
      <c r="C500" s="17" t="str">
        <f t="shared" si="8"/>
        <v>28.801011.-2903311.1199..CLEAR SCHEDULE.</v>
      </c>
      <c r="E500">
        <v>28</v>
      </c>
      <c r="F500">
        <v>801011</v>
      </c>
      <c r="G500" s="1">
        <v>-29033.11</v>
      </c>
      <c r="H500" t="s">
        <v>898</v>
      </c>
      <c r="J500" s="18" t="s">
        <v>4327</v>
      </c>
    </row>
    <row r="501" spans="3:10" x14ac:dyDescent="0.25">
      <c r="C501" s="17" t="str">
        <f t="shared" si="8"/>
        <v>28.801011.-178200.1200..CLEAR SCHEDULE.</v>
      </c>
      <c r="E501">
        <v>28</v>
      </c>
      <c r="F501">
        <v>801011</v>
      </c>
      <c r="G501" s="2">
        <v>-1782</v>
      </c>
      <c r="H501" t="s">
        <v>899</v>
      </c>
      <c r="J501" s="18" t="s">
        <v>4327</v>
      </c>
    </row>
    <row r="502" spans="3:10" x14ac:dyDescent="0.25">
      <c r="C502" s="17" t="str">
        <f t="shared" si="8"/>
        <v>28.801011.-2500801.1201..CLEAR SCHEDULE.</v>
      </c>
      <c r="E502">
        <v>28</v>
      </c>
      <c r="F502">
        <v>801011</v>
      </c>
      <c r="G502" s="1">
        <v>-25008.01</v>
      </c>
      <c r="H502" t="s">
        <v>900</v>
      </c>
      <c r="J502" s="18" t="s">
        <v>4327</v>
      </c>
    </row>
    <row r="503" spans="3:10" x14ac:dyDescent="0.25">
      <c r="C503" s="17" t="str">
        <f t="shared" si="8"/>
        <v>28.801011.-3564734.1202..CLEAR SCHEDULE.</v>
      </c>
      <c r="E503">
        <v>28</v>
      </c>
      <c r="F503">
        <v>801011</v>
      </c>
      <c r="G503" s="2">
        <v>-35647.339999999997</v>
      </c>
      <c r="H503" t="s">
        <v>901</v>
      </c>
      <c r="J503" s="18" t="s">
        <v>4327</v>
      </c>
    </row>
    <row r="504" spans="3:10" x14ac:dyDescent="0.25">
      <c r="C504" s="17" t="str">
        <f t="shared" si="8"/>
        <v>28.801011.-1000406.1203..CLEAR SCHEDULE.</v>
      </c>
      <c r="E504">
        <v>28</v>
      </c>
      <c r="F504">
        <v>801011</v>
      </c>
      <c r="G504" s="1">
        <v>-10004.06</v>
      </c>
      <c r="H504" t="s">
        <v>902</v>
      </c>
      <c r="J504" s="18" t="s">
        <v>4327</v>
      </c>
    </row>
    <row r="505" spans="3:10" x14ac:dyDescent="0.25">
      <c r="C505" s="17" t="str">
        <f t="shared" si="8"/>
        <v>28.801011.20499825.1204..CLEAR SCHEDULE.</v>
      </c>
      <c r="E505">
        <v>28</v>
      </c>
      <c r="F505">
        <v>801011</v>
      </c>
      <c r="G505" s="2">
        <v>204998.25</v>
      </c>
      <c r="H505" t="s">
        <v>903</v>
      </c>
      <c r="J505" s="18" t="s">
        <v>4327</v>
      </c>
    </row>
    <row r="506" spans="3:10" x14ac:dyDescent="0.25">
      <c r="C506" s="17" t="str">
        <f t="shared" si="8"/>
        <v>28.801011.-150000.1205..CLEAR SCHEDULE.</v>
      </c>
      <c r="E506">
        <v>28</v>
      </c>
      <c r="F506">
        <v>801011</v>
      </c>
      <c r="G506" s="1">
        <v>-1500</v>
      </c>
      <c r="H506" t="s">
        <v>904</v>
      </c>
      <c r="J506" s="18" t="s">
        <v>4327</v>
      </c>
    </row>
    <row r="507" spans="3:10" x14ac:dyDescent="0.25">
      <c r="C507" s="17" t="str">
        <f t="shared" si="8"/>
        <v>28.801011.-96112.1206..CLEAR SCHEDULE.</v>
      </c>
      <c r="E507">
        <v>28</v>
      </c>
      <c r="F507">
        <v>801011</v>
      </c>
      <c r="G507" s="2">
        <v>-961.12</v>
      </c>
      <c r="H507" t="s">
        <v>905</v>
      </c>
      <c r="J507" s="18" t="s">
        <v>4327</v>
      </c>
    </row>
    <row r="508" spans="3:10" x14ac:dyDescent="0.25">
      <c r="C508" s="17" t="str">
        <f t="shared" si="8"/>
        <v>28.801011.-184484.1207..CLEAR SCHEDULE.</v>
      </c>
      <c r="E508">
        <v>28</v>
      </c>
      <c r="F508">
        <v>801011</v>
      </c>
      <c r="G508" s="1">
        <v>-1844.84</v>
      </c>
      <c r="H508" t="s">
        <v>906</v>
      </c>
      <c r="J508" s="18" t="s">
        <v>4327</v>
      </c>
    </row>
    <row r="509" spans="3:10" x14ac:dyDescent="0.25">
      <c r="C509" s="17" t="str">
        <f t="shared" si="8"/>
        <v>28.801011.-127184.1208..CLEAR SCHEDULE.</v>
      </c>
      <c r="E509">
        <v>28</v>
      </c>
      <c r="F509">
        <v>801011</v>
      </c>
      <c r="G509" s="2">
        <v>-1271.8399999999999</v>
      </c>
      <c r="H509" t="s">
        <v>907</v>
      </c>
      <c r="J509" s="18" t="s">
        <v>4327</v>
      </c>
    </row>
    <row r="510" spans="3:10" x14ac:dyDescent="0.25">
      <c r="C510" s="17" t="str">
        <f t="shared" si="8"/>
        <v>28.801011.-2007056.1209..CLEAR SCHEDULE.</v>
      </c>
      <c r="E510">
        <v>28</v>
      </c>
      <c r="F510">
        <v>801011</v>
      </c>
      <c r="G510" s="1">
        <v>-20070.560000000001</v>
      </c>
      <c r="H510" t="s">
        <v>908</v>
      </c>
      <c r="J510" s="18" t="s">
        <v>4327</v>
      </c>
    </row>
    <row r="511" spans="3:10" x14ac:dyDescent="0.25">
      <c r="C511" s="17" t="str">
        <f t="shared" si="8"/>
        <v>28.801011.-2978.1210..CLEAR SCHEDULE.</v>
      </c>
      <c r="E511">
        <v>28</v>
      </c>
      <c r="F511">
        <v>801011</v>
      </c>
      <c r="G511" s="2">
        <v>-29.78</v>
      </c>
      <c r="H511" t="s">
        <v>909</v>
      </c>
      <c r="J511" s="18" t="s">
        <v>4327</v>
      </c>
    </row>
    <row r="512" spans="3:10" x14ac:dyDescent="0.25">
      <c r="C512" s="17" t="str">
        <f t="shared" si="8"/>
        <v>28.801011.-3000994.1211..CLEAR SCHEDULE.</v>
      </c>
      <c r="E512">
        <v>28</v>
      </c>
      <c r="F512">
        <v>801011</v>
      </c>
      <c r="G512" s="1">
        <v>-30009.94</v>
      </c>
      <c r="H512" t="s">
        <v>910</v>
      </c>
      <c r="J512" s="18" t="s">
        <v>4327</v>
      </c>
    </row>
    <row r="513" spans="3:10" x14ac:dyDescent="0.25">
      <c r="C513" s="17" t="str">
        <f t="shared" si="8"/>
        <v>28.801011.1403616.1212..CLEAR SCHEDULE.</v>
      </c>
      <c r="E513">
        <v>28</v>
      </c>
      <c r="F513">
        <v>801011</v>
      </c>
      <c r="G513" s="2">
        <v>14036.16</v>
      </c>
      <c r="H513" t="s">
        <v>911</v>
      </c>
      <c r="J513" s="18" t="s">
        <v>4327</v>
      </c>
    </row>
    <row r="514" spans="3:10" x14ac:dyDescent="0.25">
      <c r="C514" s="17" t="str">
        <f t="shared" si="8"/>
        <v>28.801011.-6335017.1213..CLEAR SCHEDULE.</v>
      </c>
      <c r="E514">
        <v>28</v>
      </c>
      <c r="F514">
        <v>801011</v>
      </c>
      <c r="G514" s="1">
        <v>-63350.17</v>
      </c>
      <c r="H514" t="s">
        <v>912</v>
      </c>
      <c r="J514" s="18" t="s">
        <v>4327</v>
      </c>
    </row>
    <row r="515" spans="3:10" x14ac:dyDescent="0.25">
      <c r="C515" s="17" t="str">
        <f t="shared" si="8"/>
        <v>28.801011.-2216990.1214..CLEAR SCHEDULE.</v>
      </c>
      <c r="E515">
        <v>28</v>
      </c>
      <c r="F515">
        <v>801011</v>
      </c>
      <c r="G515" s="2">
        <v>-22169.9</v>
      </c>
      <c r="H515" t="s">
        <v>913</v>
      </c>
      <c r="J515" s="18" t="s">
        <v>4327</v>
      </c>
    </row>
    <row r="516" spans="3:10" x14ac:dyDescent="0.25">
      <c r="C516" s="17" t="str">
        <f t="shared" si="8"/>
        <v>28.801011.10550792.1215..CLEAR SCHEDULE.</v>
      </c>
      <c r="E516">
        <v>28</v>
      </c>
      <c r="F516">
        <v>801011</v>
      </c>
      <c r="G516" s="1">
        <v>105507.92</v>
      </c>
      <c r="H516" t="s">
        <v>914</v>
      </c>
      <c r="J516" s="18" t="s">
        <v>4327</v>
      </c>
    </row>
    <row r="517" spans="3:10" x14ac:dyDescent="0.25">
      <c r="C517" s="17" t="str">
        <f t="shared" si="8"/>
        <v>28.801011.-200709.1216..CLEAR SCHEDULE.</v>
      </c>
      <c r="E517">
        <v>28</v>
      </c>
      <c r="F517">
        <v>801011</v>
      </c>
      <c r="G517" s="2">
        <v>-2007.09</v>
      </c>
      <c r="H517" t="s">
        <v>915</v>
      </c>
      <c r="J517" s="18" t="s">
        <v>4327</v>
      </c>
    </row>
    <row r="518" spans="3:10" x14ac:dyDescent="0.25">
      <c r="C518" s="17" t="str">
        <f t="shared" si="8"/>
        <v>28.801011.-2947665.1217..CLEAR SCHEDULE.</v>
      </c>
      <c r="E518">
        <v>28</v>
      </c>
      <c r="F518">
        <v>801011</v>
      </c>
      <c r="G518" s="1">
        <v>-29476.65</v>
      </c>
      <c r="H518" t="s">
        <v>916</v>
      </c>
      <c r="J518" s="18" t="s">
        <v>4327</v>
      </c>
    </row>
    <row r="519" spans="3:10" x14ac:dyDescent="0.25">
      <c r="C519" s="17" t="str">
        <f t="shared" si="8"/>
        <v>28.801011.-3073987.1218..CLEAR SCHEDULE.</v>
      </c>
      <c r="E519">
        <v>28</v>
      </c>
      <c r="F519">
        <v>801011</v>
      </c>
      <c r="G519" s="2">
        <v>-30739.87</v>
      </c>
      <c r="H519" t="s">
        <v>917</v>
      </c>
      <c r="J519" s="18" t="s">
        <v>4327</v>
      </c>
    </row>
    <row r="520" spans="3:10" x14ac:dyDescent="0.25">
      <c r="C520" s="17" t="str">
        <f t="shared" si="8"/>
        <v>28.801011.-3521509.1219..CLEAR SCHEDULE.</v>
      </c>
      <c r="E520">
        <v>28</v>
      </c>
      <c r="F520">
        <v>801011</v>
      </c>
      <c r="G520" s="1">
        <v>-35215.089999999997</v>
      </c>
      <c r="H520" t="s">
        <v>918</v>
      </c>
      <c r="J520" s="18" t="s">
        <v>4327</v>
      </c>
    </row>
    <row r="521" spans="3:10" x14ac:dyDescent="0.25">
      <c r="C521" s="17" t="str">
        <f t="shared" si="8"/>
        <v>28.801011.-1506725.1220..CLEAR SCHEDULE.</v>
      </c>
      <c r="E521">
        <v>28</v>
      </c>
      <c r="F521">
        <v>801011</v>
      </c>
      <c r="G521" s="2">
        <v>-15067.25</v>
      </c>
      <c r="H521" t="s">
        <v>919</v>
      </c>
      <c r="J521" s="18" t="s">
        <v>4327</v>
      </c>
    </row>
    <row r="522" spans="3:10" x14ac:dyDescent="0.25">
      <c r="C522" s="17" t="str">
        <f t="shared" si="8"/>
        <v>28.801011.-501547.1221..CLEAR SCHEDULE.</v>
      </c>
      <c r="E522">
        <v>28</v>
      </c>
      <c r="F522">
        <v>801011</v>
      </c>
      <c r="G522" s="1">
        <v>-5015.47</v>
      </c>
      <c r="H522" t="s">
        <v>920</v>
      </c>
      <c r="J522" s="18" t="s">
        <v>4327</v>
      </c>
    </row>
    <row r="523" spans="3:10" x14ac:dyDescent="0.25">
      <c r="C523" s="17" t="str">
        <f t="shared" ref="C523:C586" si="9">IF(G523=0,"",(E523&amp;"."&amp;F523&amp;"."&amp;G523*100&amp;"."&amp;H523&amp;"."&amp;I523&amp;"."&amp;J523&amp;"."&amp;K523))</f>
        <v>28.801011.-51014.1222..CLEAR SCHEDULE.</v>
      </c>
      <c r="E523">
        <v>28</v>
      </c>
      <c r="F523">
        <v>801011</v>
      </c>
      <c r="G523" s="2">
        <v>-510.14</v>
      </c>
      <c r="H523" t="s">
        <v>921</v>
      </c>
      <c r="J523" s="18" t="s">
        <v>4327</v>
      </c>
    </row>
    <row r="524" spans="3:10" x14ac:dyDescent="0.25">
      <c r="C524" s="17" t="str">
        <f t="shared" si="9"/>
        <v>28.801011.-2396800.1223..CLEAR SCHEDULE.</v>
      </c>
      <c r="E524">
        <v>28</v>
      </c>
      <c r="F524">
        <v>801011</v>
      </c>
      <c r="G524" s="1">
        <v>-23968</v>
      </c>
      <c r="H524" t="s">
        <v>922</v>
      </c>
      <c r="J524" s="18" t="s">
        <v>4327</v>
      </c>
    </row>
    <row r="525" spans="3:10" x14ac:dyDescent="0.25">
      <c r="C525" s="17" t="str">
        <f t="shared" si="9"/>
        <v>28.801011.-666969.1224..CLEAR SCHEDULE.</v>
      </c>
      <c r="E525">
        <v>28</v>
      </c>
      <c r="F525">
        <v>801011</v>
      </c>
      <c r="G525" s="2">
        <v>-6669.69</v>
      </c>
      <c r="H525" t="s">
        <v>923</v>
      </c>
      <c r="J525" s="18" t="s">
        <v>4327</v>
      </c>
    </row>
    <row r="526" spans="3:10" x14ac:dyDescent="0.25">
      <c r="C526" s="17" t="str">
        <f t="shared" si="9"/>
        <v>28.801011.-2652076.1225..CLEAR SCHEDULE.</v>
      </c>
      <c r="E526">
        <v>28</v>
      </c>
      <c r="F526">
        <v>801011</v>
      </c>
      <c r="G526" s="1">
        <v>-26520.76</v>
      </c>
      <c r="H526" t="s">
        <v>924</v>
      </c>
      <c r="J526" s="18" t="s">
        <v>4327</v>
      </c>
    </row>
    <row r="527" spans="3:10" x14ac:dyDescent="0.25">
      <c r="C527" s="17" t="str">
        <f t="shared" si="9"/>
        <v>28.801011.-1252978.1226..CLEAR SCHEDULE.</v>
      </c>
      <c r="E527">
        <v>28</v>
      </c>
      <c r="F527">
        <v>801011</v>
      </c>
      <c r="G527" s="2">
        <v>-12529.78</v>
      </c>
      <c r="H527" t="s">
        <v>925</v>
      </c>
      <c r="J527" s="18" t="s">
        <v>4327</v>
      </c>
    </row>
    <row r="528" spans="3:10" x14ac:dyDescent="0.25">
      <c r="C528" s="17" t="str">
        <f t="shared" si="9"/>
        <v>28.801011.-3478882.1227..CLEAR SCHEDULE.</v>
      </c>
      <c r="E528">
        <v>28</v>
      </c>
      <c r="F528">
        <v>801011</v>
      </c>
      <c r="G528" s="1">
        <v>-34788.82</v>
      </c>
      <c r="H528" t="s">
        <v>926</v>
      </c>
      <c r="J528" s="18" t="s">
        <v>4327</v>
      </c>
    </row>
    <row r="529" spans="3:10" x14ac:dyDescent="0.25">
      <c r="C529" s="17" t="str">
        <f t="shared" si="9"/>
        <v>28.801011.-499791.1228..CLEAR SCHEDULE.</v>
      </c>
      <c r="E529">
        <v>28</v>
      </c>
      <c r="F529">
        <v>801011</v>
      </c>
      <c r="G529" s="2">
        <v>-4997.91</v>
      </c>
      <c r="H529" t="s">
        <v>927</v>
      </c>
      <c r="J529" s="18" t="s">
        <v>4327</v>
      </c>
    </row>
    <row r="530" spans="3:10" x14ac:dyDescent="0.25">
      <c r="C530" s="17" t="str">
        <f t="shared" si="9"/>
        <v>28.801011.-2621547.1229..CLEAR SCHEDULE.</v>
      </c>
      <c r="E530">
        <v>28</v>
      </c>
      <c r="F530">
        <v>801011</v>
      </c>
      <c r="G530" s="1">
        <v>-26215.47</v>
      </c>
      <c r="H530" t="s">
        <v>928</v>
      </c>
      <c r="J530" s="18" t="s">
        <v>4327</v>
      </c>
    </row>
    <row r="531" spans="3:10" x14ac:dyDescent="0.25">
      <c r="C531" s="17" t="str">
        <f t="shared" si="9"/>
        <v>28.801011.-250000.1230..CLEAR SCHEDULE.</v>
      </c>
      <c r="E531">
        <v>28</v>
      </c>
      <c r="F531">
        <v>801011</v>
      </c>
      <c r="G531" s="2">
        <v>-2500</v>
      </c>
      <c r="H531" t="s">
        <v>929</v>
      </c>
      <c r="J531" s="18" t="s">
        <v>4327</v>
      </c>
    </row>
    <row r="532" spans="3:10" x14ac:dyDescent="0.25">
      <c r="C532" s="17" t="str">
        <f t="shared" si="9"/>
        <v>28.801011.20557177.1231..CLEAR SCHEDULE.</v>
      </c>
      <c r="E532">
        <v>28</v>
      </c>
      <c r="F532">
        <v>801011</v>
      </c>
      <c r="G532" s="1">
        <v>205571.77</v>
      </c>
      <c r="H532" t="s">
        <v>930</v>
      </c>
      <c r="J532" s="18" t="s">
        <v>4327</v>
      </c>
    </row>
    <row r="533" spans="3:10" x14ac:dyDescent="0.25">
      <c r="C533" s="17" t="str">
        <f t="shared" si="9"/>
        <v>28.801011.-293338.1232..CLEAR SCHEDULE.</v>
      </c>
      <c r="E533">
        <v>28</v>
      </c>
      <c r="F533">
        <v>801011</v>
      </c>
      <c r="G533" s="2">
        <v>-2933.38</v>
      </c>
      <c r="H533" t="s">
        <v>931</v>
      </c>
      <c r="J533" s="18" t="s">
        <v>4327</v>
      </c>
    </row>
    <row r="534" spans="3:10" x14ac:dyDescent="0.25">
      <c r="C534" s="17" t="str">
        <f t="shared" si="9"/>
        <v>28.801011.19151219.1233..CLEAR SCHEDULE.</v>
      </c>
      <c r="E534">
        <v>28</v>
      </c>
      <c r="F534">
        <v>801011</v>
      </c>
      <c r="G534" s="1">
        <v>191512.19</v>
      </c>
      <c r="H534" t="s">
        <v>932</v>
      </c>
      <c r="J534" s="18" t="s">
        <v>4327</v>
      </c>
    </row>
    <row r="535" spans="3:10" x14ac:dyDescent="0.25">
      <c r="C535" s="17" t="str">
        <f t="shared" si="9"/>
        <v>28.801011.-203260.1234..CLEAR SCHEDULE.</v>
      </c>
      <c r="E535">
        <v>28</v>
      </c>
      <c r="F535">
        <v>801011</v>
      </c>
      <c r="G535" s="2">
        <v>-2032.6</v>
      </c>
      <c r="H535" t="s">
        <v>933</v>
      </c>
      <c r="J535" s="18" t="s">
        <v>4327</v>
      </c>
    </row>
    <row r="536" spans="3:10" x14ac:dyDescent="0.25">
      <c r="C536" s="17" t="str">
        <f t="shared" si="9"/>
        <v>28.801011.-1212168.1235..CLEAR SCHEDULE.</v>
      </c>
      <c r="E536">
        <v>28</v>
      </c>
      <c r="F536">
        <v>801011</v>
      </c>
      <c r="G536" s="1">
        <v>-12121.68</v>
      </c>
      <c r="H536" t="s">
        <v>934</v>
      </c>
      <c r="J536" s="18" t="s">
        <v>4327</v>
      </c>
    </row>
    <row r="537" spans="3:10" x14ac:dyDescent="0.25">
      <c r="C537" s="17" t="str">
        <f t="shared" si="9"/>
        <v>28.801011.-1000445.1236..CLEAR SCHEDULE.</v>
      </c>
      <c r="E537">
        <v>28</v>
      </c>
      <c r="F537">
        <v>801011</v>
      </c>
      <c r="G537" s="2">
        <v>-10004.450000000001</v>
      </c>
      <c r="H537" t="s">
        <v>935</v>
      </c>
      <c r="J537" s="18" t="s">
        <v>4327</v>
      </c>
    </row>
    <row r="538" spans="3:10" x14ac:dyDescent="0.25">
      <c r="C538" s="17" t="str">
        <f t="shared" si="9"/>
        <v>28.801011.-2117915.1237..CLEAR SCHEDULE.</v>
      </c>
      <c r="E538">
        <v>28</v>
      </c>
      <c r="F538">
        <v>801011</v>
      </c>
      <c r="G538" s="1">
        <v>-21179.15</v>
      </c>
      <c r="H538" t="s">
        <v>936</v>
      </c>
      <c r="J538" s="18" t="s">
        <v>4327</v>
      </c>
    </row>
    <row r="539" spans="3:10" x14ac:dyDescent="0.25">
      <c r="C539" s="17" t="str">
        <f t="shared" si="9"/>
        <v>28.801011.-324238.1238..CLEAR SCHEDULE.</v>
      </c>
      <c r="E539">
        <v>28</v>
      </c>
      <c r="F539">
        <v>801011</v>
      </c>
      <c r="G539" s="2">
        <v>-3242.38</v>
      </c>
      <c r="H539" t="s">
        <v>937</v>
      </c>
      <c r="J539" s="18" t="s">
        <v>4327</v>
      </c>
    </row>
    <row r="540" spans="3:10" x14ac:dyDescent="0.25">
      <c r="C540" s="17" t="str">
        <f t="shared" si="9"/>
        <v>28.801011.-4101489.1239..CLEAR SCHEDULE.</v>
      </c>
      <c r="E540">
        <v>28</v>
      </c>
      <c r="F540">
        <v>801011</v>
      </c>
      <c r="G540" s="1">
        <v>-41014.89</v>
      </c>
      <c r="H540" t="s">
        <v>938</v>
      </c>
      <c r="J540" s="18" t="s">
        <v>4327</v>
      </c>
    </row>
    <row r="541" spans="3:10" x14ac:dyDescent="0.25">
      <c r="C541" s="17" t="str">
        <f t="shared" si="9"/>
        <v>28.801011.-493720.1240..CLEAR SCHEDULE.</v>
      </c>
      <c r="E541">
        <v>28</v>
      </c>
      <c r="F541">
        <v>801011</v>
      </c>
      <c r="G541" s="2">
        <v>-4937.2</v>
      </c>
      <c r="H541" t="s">
        <v>939</v>
      </c>
      <c r="J541" s="18" t="s">
        <v>4327</v>
      </c>
    </row>
    <row r="542" spans="3:10" x14ac:dyDescent="0.25">
      <c r="C542" s="17" t="str">
        <f t="shared" si="9"/>
        <v>28.801011.-801.1241..CLEAR SCHEDULE.</v>
      </c>
      <c r="E542">
        <v>28</v>
      </c>
      <c r="F542">
        <v>801011</v>
      </c>
      <c r="G542" s="1">
        <v>-8.01</v>
      </c>
      <c r="H542" t="s">
        <v>940</v>
      </c>
      <c r="J542" s="18" t="s">
        <v>4327</v>
      </c>
    </row>
    <row r="543" spans="3:10" x14ac:dyDescent="0.25">
      <c r="C543" s="17" t="str">
        <f t="shared" si="9"/>
        <v>28.801011.-23968.1242..CLEAR SCHEDULE.</v>
      </c>
      <c r="E543">
        <v>28</v>
      </c>
      <c r="F543">
        <v>801011</v>
      </c>
      <c r="G543" s="2">
        <v>-239.68</v>
      </c>
      <c r="H543" t="s">
        <v>941</v>
      </c>
      <c r="J543" s="18" t="s">
        <v>4327</v>
      </c>
    </row>
    <row r="544" spans="3:10" x14ac:dyDescent="0.25">
      <c r="C544" s="17" t="str">
        <f t="shared" si="9"/>
        <v>28.801011.-7525.1243..CLEAR SCHEDULE.</v>
      </c>
      <c r="E544">
        <v>28</v>
      </c>
      <c r="F544">
        <v>801011</v>
      </c>
      <c r="G544" s="1">
        <v>-75.25</v>
      </c>
      <c r="H544" t="s">
        <v>942</v>
      </c>
      <c r="J544" s="18" t="s">
        <v>4327</v>
      </c>
    </row>
    <row r="545" spans="3:10" x14ac:dyDescent="0.25">
      <c r="C545" s="17" t="str">
        <f t="shared" si="9"/>
        <v>28.801011.-2978.1244..CLEAR SCHEDULE.</v>
      </c>
      <c r="E545">
        <v>28</v>
      </c>
      <c r="F545">
        <v>801011</v>
      </c>
      <c r="G545" s="2">
        <v>-29.78</v>
      </c>
      <c r="H545" t="s">
        <v>943</v>
      </c>
      <c r="J545" s="18" t="s">
        <v>4327</v>
      </c>
    </row>
    <row r="546" spans="3:10" x14ac:dyDescent="0.25">
      <c r="C546" s="17" t="str">
        <f t="shared" si="9"/>
        <v>28.801011.-1614995.1245..CLEAR SCHEDULE.</v>
      </c>
      <c r="E546">
        <v>28</v>
      </c>
      <c r="F546">
        <v>801011</v>
      </c>
      <c r="G546" s="1">
        <v>-16149.95</v>
      </c>
      <c r="H546" t="s">
        <v>944</v>
      </c>
      <c r="J546" s="18" t="s">
        <v>4327</v>
      </c>
    </row>
    <row r="547" spans="3:10" x14ac:dyDescent="0.25">
      <c r="C547" s="17" t="str">
        <f t="shared" si="9"/>
        <v>28.801011.5427074.1246..CLEAR SCHEDULE.</v>
      </c>
      <c r="E547">
        <v>28</v>
      </c>
      <c r="F547">
        <v>801011</v>
      </c>
      <c r="G547" s="2">
        <v>54270.74</v>
      </c>
      <c r="H547" t="s">
        <v>945</v>
      </c>
      <c r="J547" s="18" t="s">
        <v>4327</v>
      </c>
    </row>
    <row r="548" spans="3:10" x14ac:dyDescent="0.25">
      <c r="C548" s="17" t="str">
        <f t="shared" si="9"/>
        <v>28.801011.4240159.1247..CLEAR SCHEDULE.</v>
      </c>
      <c r="E548">
        <v>28</v>
      </c>
      <c r="F548">
        <v>801011</v>
      </c>
      <c r="G548" s="1">
        <v>42401.59</v>
      </c>
      <c r="H548" t="s">
        <v>946</v>
      </c>
      <c r="J548" s="18" t="s">
        <v>4327</v>
      </c>
    </row>
    <row r="549" spans="3:10" x14ac:dyDescent="0.25">
      <c r="C549" s="17" t="str">
        <f t="shared" si="9"/>
        <v>28.801011.-3001179.1248..CLEAR SCHEDULE.</v>
      </c>
      <c r="E549">
        <v>28</v>
      </c>
      <c r="F549">
        <v>801011</v>
      </c>
      <c r="G549" s="2">
        <v>-30011.79</v>
      </c>
      <c r="H549" t="s">
        <v>947</v>
      </c>
      <c r="J549" s="18" t="s">
        <v>4327</v>
      </c>
    </row>
    <row r="550" spans="3:10" x14ac:dyDescent="0.25">
      <c r="C550" s="17" t="str">
        <f t="shared" si="9"/>
        <v>28.801011.11765989.1249..CLEAR SCHEDULE.</v>
      </c>
      <c r="E550">
        <v>28</v>
      </c>
      <c r="F550">
        <v>801011</v>
      </c>
      <c r="G550" s="1">
        <v>117659.89</v>
      </c>
      <c r="H550" t="s">
        <v>948</v>
      </c>
      <c r="J550" s="18" t="s">
        <v>4327</v>
      </c>
    </row>
    <row r="551" spans="3:10" x14ac:dyDescent="0.25">
      <c r="C551" s="17" t="str">
        <f t="shared" si="9"/>
        <v>28.801011.-1002582.1250..CLEAR SCHEDULE.</v>
      </c>
      <c r="E551">
        <v>28</v>
      </c>
      <c r="F551">
        <v>801011</v>
      </c>
      <c r="G551" s="2">
        <v>-10025.82</v>
      </c>
      <c r="H551" t="s">
        <v>949</v>
      </c>
      <c r="J551" s="18" t="s">
        <v>4327</v>
      </c>
    </row>
    <row r="552" spans="3:10" x14ac:dyDescent="0.25">
      <c r="C552" s="17" t="str">
        <f t="shared" si="9"/>
        <v>28.801011.-1212810.1251..CLEAR SCHEDULE.</v>
      </c>
      <c r="E552">
        <v>28</v>
      </c>
      <c r="F552">
        <v>801011</v>
      </c>
      <c r="G552" s="1">
        <v>-12128.1</v>
      </c>
      <c r="H552" t="s">
        <v>950</v>
      </c>
      <c r="J552" s="18" t="s">
        <v>4327</v>
      </c>
    </row>
    <row r="553" spans="3:10" x14ac:dyDescent="0.25">
      <c r="C553" s="17" t="str">
        <f t="shared" si="9"/>
        <v>28.801011.-51014.1252..CLEAR SCHEDULE.</v>
      </c>
      <c r="E553">
        <v>28</v>
      </c>
      <c r="F553">
        <v>801011</v>
      </c>
      <c r="G553" s="2">
        <v>-510.14</v>
      </c>
      <c r="H553" t="s">
        <v>951</v>
      </c>
      <c r="J553" s="18" t="s">
        <v>4327</v>
      </c>
    </row>
    <row r="554" spans="3:10" x14ac:dyDescent="0.25">
      <c r="C554" s="17" t="str">
        <f t="shared" si="9"/>
        <v>28.801011.-52194.1253..CLEAR SCHEDULE.</v>
      </c>
      <c r="E554">
        <v>28</v>
      </c>
      <c r="F554">
        <v>801011</v>
      </c>
      <c r="G554" s="1">
        <v>-521.94000000000005</v>
      </c>
      <c r="H554" t="s">
        <v>952</v>
      </c>
      <c r="J554" s="18" t="s">
        <v>4327</v>
      </c>
    </row>
    <row r="555" spans="3:10" x14ac:dyDescent="0.25">
      <c r="C555" s="17" t="str">
        <f t="shared" si="9"/>
        <v>28.801011.-202978.1254..CLEAR SCHEDULE.</v>
      </c>
      <c r="E555">
        <v>28</v>
      </c>
      <c r="F555">
        <v>801011</v>
      </c>
      <c r="G555" s="2">
        <v>-2029.78</v>
      </c>
      <c r="H555" t="s">
        <v>953</v>
      </c>
      <c r="J555" s="18" t="s">
        <v>4327</v>
      </c>
    </row>
    <row r="556" spans="3:10" x14ac:dyDescent="0.25">
      <c r="C556" s="17" t="str">
        <f t="shared" si="9"/>
        <v>28.801011.-400214.1255..CLEAR SCHEDULE.</v>
      </c>
      <c r="E556">
        <v>28</v>
      </c>
      <c r="F556">
        <v>801011</v>
      </c>
      <c r="G556" s="1">
        <v>-4002.14</v>
      </c>
      <c r="H556" t="s">
        <v>954</v>
      </c>
      <c r="J556" s="18" t="s">
        <v>4327</v>
      </c>
    </row>
    <row r="557" spans="3:10" x14ac:dyDescent="0.25">
      <c r="C557" s="17" t="str">
        <f t="shared" si="9"/>
        <v>28.801011.-46700.1256..CLEAR SCHEDULE.</v>
      </c>
      <c r="E557">
        <v>28</v>
      </c>
      <c r="F557">
        <v>801011</v>
      </c>
      <c r="G557" s="2">
        <v>-467</v>
      </c>
      <c r="H557" t="s">
        <v>955</v>
      </c>
      <c r="J557" s="18" t="s">
        <v>4327</v>
      </c>
    </row>
    <row r="558" spans="3:10" x14ac:dyDescent="0.25">
      <c r="C558" s="17" t="str">
        <f t="shared" si="9"/>
        <v>28.801011.-50801.1257..CLEAR SCHEDULE.</v>
      </c>
      <c r="E558">
        <v>28</v>
      </c>
      <c r="F558">
        <v>801011</v>
      </c>
      <c r="G558" s="1">
        <v>-508.01</v>
      </c>
      <c r="H558" t="s">
        <v>956</v>
      </c>
      <c r="J558" s="18" t="s">
        <v>4327</v>
      </c>
    </row>
    <row r="559" spans="3:10" x14ac:dyDescent="0.25">
      <c r="C559" s="17" t="str">
        <f t="shared" si="9"/>
        <v>28.801011.-73226.1258..CLEAR SCHEDULE.</v>
      </c>
      <c r="E559">
        <v>28</v>
      </c>
      <c r="F559">
        <v>801011</v>
      </c>
      <c r="G559" s="2">
        <v>-732.26</v>
      </c>
      <c r="H559" t="s">
        <v>957</v>
      </c>
      <c r="J559" s="18" t="s">
        <v>4327</v>
      </c>
    </row>
    <row r="560" spans="3:10" x14ac:dyDescent="0.25">
      <c r="C560" s="17" t="str">
        <f t="shared" si="9"/>
        <v>28.801011.-801.1259..CLEAR SCHEDULE.</v>
      </c>
      <c r="E560">
        <v>28</v>
      </c>
      <c r="F560">
        <v>801011</v>
      </c>
      <c r="G560" s="1">
        <v>-8.01</v>
      </c>
      <c r="H560" t="s">
        <v>958</v>
      </c>
      <c r="J560" s="18" t="s">
        <v>4327</v>
      </c>
    </row>
    <row r="561" spans="3:10" x14ac:dyDescent="0.25">
      <c r="C561" s="17" t="str">
        <f t="shared" si="9"/>
        <v>28.801011.-3126640.1260..CLEAR SCHEDULE.</v>
      </c>
      <c r="E561">
        <v>28</v>
      </c>
      <c r="F561">
        <v>801011</v>
      </c>
      <c r="G561" s="2">
        <v>-31266.400000000001</v>
      </c>
      <c r="H561" t="s">
        <v>959</v>
      </c>
      <c r="J561" s="18" t="s">
        <v>4327</v>
      </c>
    </row>
    <row r="562" spans="3:10" x14ac:dyDescent="0.25">
      <c r="C562" s="17" t="str">
        <f t="shared" si="9"/>
        <v>28.801011.-27101.1261..CLEAR SCHEDULE.</v>
      </c>
      <c r="E562">
        <v>28</v>
      </c>
      <c r="F562">
        <v>801011</v>
      </c>
      <c r="G562" s="1">
        <v>-271.01</v>
      </c>
      <c r="H562" t="s">
        <v>960</v>
      </c>
      <c r="J562" s="18" t="s">
        <v>4327</v>
      </c>
    </row>
    <row r="563" spans="3:10" x14ac:dyDescent="0.25">
      <c r="C563" s="17" t="str">
        <f t="shared" si="9"/>
        <v>28.801011.-19452.1262..CLEAR SCHEDULE.</v>
      </c>
      <c r="E563">
        <v>28</v>
      </c>
      <c r="F563">
        <v>801011</v>
      </c>
      <c r="G563" s="2">
        <v>-194.52</v>
      </c>
      <c r="H563" t="s">
        <v>961</v>
      </c>
      <c r="J563" s="18" t="s">
        <v>4327</v>
      </c>
    </row>
    <row r="564" spans="3:10" x14ac:dyDescent="0.25">
      <c r="C564" s="17" t="str">
        <f t="shared" si="9"/>
        <v>28.801011.-1500000.1263..CLEAR SCHEDULE.</v>
      </c>
      <c r="E564">
        <v>28</v>
      </c>
      <c r="F564">
        <v>801011</v>
      </c>
      <c r="G564" s="1">
        <v>-15000</v>
      </c>
      <c r="H564" t="s">
        <v>962</v>
      </c>
      <c r="J564" s="18" t="s">
        <v>4327</v>
      </c>
    </row>
    <row r="565" spans="3:10" x14ac:dyDescent="0.25">
      <c r="C565" s="17" t="str">
        <f t="shared" si="9"/>
        <v>28.801011.3176978.1264..CLEAR SCHEDULE.</v>
      </c>
      <c r="E565">
        <v>28</v>
      </c>
      <c r="F565">
        <v>801011</v>
      </c>
      <c r="G565" s="2">
        <v>31769.78</v>
      </c>
      <c r="H565" t="s">
        <v>963</v>
      </c>
      <c r="J565" s="18" t="s">
        <v>4327</v>
      </c>
    </row>
    <row r="566" spans="3:10" x14ac:dyDescent="0.25">
      <c r="C566" s="17" t="str">
        <f t="shared" si="9"/>
        <v>28.801011.-1733530.1265..CLEAR SCHEDULE.</v>
      </c>
      <c r="E566">
        <v>28</v>
      </c>
      <c r="F566">
        <v>801011</v>
      </c>
      <c r="G566" s="1">
        <v>-17335.3</v>
      </c>
      <c r="H566" t="s">
        <v>964</v>
      </c>
      <c r="J566" s="18" t="s">
        <v>4327</v>
      </c>
    </row>
    <row r="567" spans="3:10" x14ac:dyDescent="0.25">
      <c r="C567" s="17" t="str">
        <f t="shared" si="9"/>
        <v>28.801011.-550801.1266..CLEAR SCHEDULE.</v>
      </c>
      <c r="E567">
        <v>28</v>
      </c>
      <c r="F567">
        <v>801011</v>
      </c>
      <c r="G567" s="2">
        <v>-5508.01</v>
      </c>
      <c r="H567" t="s">
        <v>965</v>
      </c>
      <c r="J567" s="18" t="s">
        <v>4327</v>
      </c>
    </row>
    <row r="568" spans="3:10" x14ac:dyDescent="0.25">
      <c r="C568" s="17" t="str">
        <f t="shared" si="9"/>
        <v>28.801011.-450000.1267..CLEAR SCHEDULE.</v>
      </c>
      <c r="E568">
        <v>28</v>
      </c>
      <c r="F568">
        <v>801011</v>
      </c>
      <c r="G568" s="1">
        <v>-4500</v>
      </c>
      <c r="H568" t="s">
        <v>966</v>
      </c>
      <c r="J568" s="18" t="s">
        <v>4327</v>
      </c>
    </row>
    <row r="569" spans="3:10" x14ac:dyDescent="0.25">
      <c r="C569" s="17" t="str">
        <f t="shared" si="9"/>
        <v>28.801011.8701807.1268..CLEAR SCHEDULE.</v>
      </c>
      <c r="E569">
        <v>28</v>
      </c>
      <c r="F569">
        <v>801011</v>
      </c>
      <c r="G569" s="2">
        <v>87018.07</v>
      </c>
      <c r="H569" t="s">
        <v>967</v>
      </c>
      <c r="J569" s="18" t="s">
        <v>4327</v>
      </c>
    </row>
    <row r="570" spans="3:10" x14ac:dyDescent="0.25">
      <c r="C570" s="17" t="str">
        <f t="shared" si="9"/>
        <v>28.801011.-50000.1269..CLEAR SCHEDULE.</v>
      </c>
      <c r="E570">
        <v>28</v>
      </c>
      <c r="F570">
        <v>801011</v>
      </c>
      <c r="G570" s="1">
        <v>-500</v>
      </c>
      <c r="H570" t="s">
        <v>968</v>
      </c>
      <c r="J570" s="18" t="s">
        <v>4327</v>
      </c>
    </row>
    <row r="571" spans="3:10" x14ac:dyDescent="0.25">
      <c r="C571" s="17" t="str">
        <f t="shared" si="9"/>
        <v>28.801011.-245014.1270..CLEAR SCHEDULE.</v>
      </c>
      <c r="E571">
        <v>28</v>
      </c>
      <c r="F571">
        <v>801011</v>
      </c>
      <c r="G571" s="2">
        <v>-2450.14</v>
      </c>
      <c r="H571" t="s">
        <v>969</v>
      </c>
      <c r="J571" s="18" t="s">
        <v>4327</v>
      </c>
    </row>
    <row r="572" spans="3:10" x14ac:dyDescent="0.25">
      <c r="C572" s="17" t="str">
        <f t="shared" si="9"/>
        <v>28.801011.-3150000.1271..CLEAR SCHEDULE.</v>
      </c>
      <c r="E572">
        <v>28</v>
      </c>
      <c r="F572">
        <v>801011</v>
      </c>
      <c r="G572" s="1">
        <v>-31500</v>
      </c>
      <c r="H572" t="s">
        <v>970</v>
      </c>
      <c r="J572" s="18" t="s">
        <v>4327</v>
      </c>
    </row>
    <row r="573" spans="3:10" x14ac:dyDescent="0.25">
      <c r="C573" s="17" t="str">
        <f t="shared" si="9"/>
        <v>28.801011.-2979976.1272..CLEAR SCHEDULE.</v>
      </c>
      <c r="E573">
        <v>28</v>
      </c>
      <c r="F573">
        <v>801011</v>
      </c>
      <c r="G573" s="2">
        <v>-29799.759999999998</v>
      </c>
      <c r="H573" t="s">
        <v>971</v>
      </c>
      <c r="J573" s="18" t="s">
        <v>4327</v>
      </c>
    </row>
    <row r="574" spans="3:10" x14ac:dyDescent="0.25">
      <c r="C574" s="17" t="str">
        <f t="shared" si="9"/>
        <v>28.801011.-1156628.1273..CLEAR SCHEDULE.</v>
      </c>
      <c r="E574">
        <v>28</v>
      </c>
      <c r="F574">
        <v>801011</v>
      </c>
      <c r="G574" s="1">
        <v>-11566.28</v>
      </c>
      <c r="H574" t="s">
        <v>972</v>
      </c>
      <c r="J574" s="18" t="s">
        <v>4327</v>
      </c>
    </row>
    <row r="575" spans="3:10" x14ac:dyDescent="0.25">
      <c r="C575" s="17" t="str">
        <f t="shared" si="9"/>
        <v>28.801011.-7067.1274..CLEAR SCHEDULE.</v>
      </c>
      <c r="E575">
        <v>28</v>
      </c>
      <c r="F575">
        <v>801011</v>
      </c>
      <c r="G575" s="2">
        <v>-70.67</v>
      </c>
      <c r="H575" t="s">
        <v>973</v>
      </c>
      <c r="J575" s="18" t="s">
        <v>4327</v>
      </c>
    </row>
    <row r="576" spans="3:10" x14ac:dyDescent="0.25">
      <c r="C576" s="17" t="str">
        <f t="shared" si="9"/>
        <v>28.801011.-2358601.1275..CLEAR SCHEDULE.</v>
      </c>
      <c r="E576">
        <v>28</v>
      </c>
      <c r="F576">
        <v>801011</v>
      </c>
      <c r="G576" s="1">
        <v>-23586.01</v>
      </c>
      <c r="H576" t="s">
        <v>974</v>
      </c>
      <c r="J576" s="18" t="s">
        <v>4327</v>
      </c>
    </row>
    <row r="577" spans="3:10" x14ac:dyDescent="0.25">
      <c r="C577" s="17" t="str">
        <f t="shared" si="9"/>
        <v>28.801011.-2002028.1276..CLEAR SCHEDULE.</v>
      </c>
      <c r="E577">
        <v>28</v>
      </c>
      <c r="F577">
        <v>801011</v>
      </c>
      <c r="G577" s="2">
        <v>-20020.28</v>
      </c>
      <c r="H577" t="s">
        <v>975</v>
      </c>
      <c r="J577" s="18" t="s">
        <v>4327</v>
      </c>
    </row>
    <row r="578" spans="3:10" x14ac:dyDescent="0.25">
      <c r="C578" s="17" t="str">
        <f t="shared" si="9"/>
        <v>28.801011.14600381.1277..CLEAR SCHEDULE.</v>
      </c>
      <c r="E578">
        <v>28</v>
      </c>
      <c r="F578">
        <v>801011</v>
      </c>
      <c r="G578" s="1">
        <v>146003.81</v>
      </c>
      <c r="H578" t="s">
        <v>976</v>
      </c>
      <c r="J578" s="18" t="s">
        <v>4327</v>
      </c>
    </row>
    <row r="579" spans="3:10" x14ac:dyDescent="0.25">
      <c r="C579" s="17" t="str">
        <f t="shared" si="9"/>
        <v>28.801011.-5346986.1278..CLEAR SCHEDULE.</v>
      </c>
      <c r="E579">
        <v>28</v>
      </c>
      <c r="F579">
        <v>801011</v>
      </c>
      <c r="G579" s="2">
        <v>-53469.86</v>
      </c>
      <c r="H579" t="s">
        <v>977</v>
      </c>
      <c r="J579" s="18" t="s">
        <v>4327</v>
      </c>
    </row>
    <row r="580" spans="3:10" x14ac:dyDescent="0.25">
      <c r="C580" s="17" t="str">
        <f t="shared" si="9"/>
        <v>28.801011.-914847.1279..CLEAR SCHEDULE.</v>
      </c>
      <c r="E580">
        <v>28</v>
      </c>
      <c r="F580">
        <v>801011</v>
      </c>
      <c r="G580" s="1">
        <v>-9148.4699999999993</v>
      </c>
      <c r="H580" t="s">
        <v>978</v>
      </c>
      <c r="J580" s="18" t="s">
        <v>4327</v>
      </c>
    </row>
    <row r="581" spans="3:10" x14ac:dyDescent="0.25">
      <c r="C581" s="17" t="str">
        <f t="shared" si="9"/>
        <v>28.801011.-918641.1280..CLEAR SCHEDULE.</v>
      </c>
      <c r="E581">
        <v>28</v>
      </c>
      <c r="F581">
        <v>801011</v>
      </c>
      <c r="G581" s="2">
        <v>-9186.41</v>
      </c>
      <c r="H581" t="s">
        <v>979</v>
      </c>
      <c r="J581" s="18" t="s">
        <v>4327</v>
      </c>
    </row>
    <row r="582" spans="3:10" x14ac:dyDescent="0.25">
      <c r="C582" s="17" t="str">
        <f t="shared" si="9"/>
        <v>28.801011.-96096.1281..CLEAR SCHEDULE.</v>
      </c>
      <c r="E582">
        <v>28</v>
      </c>
      <c r="F582">
        <v>801011</v>
      </c>
      <c r="G582" s="1">
        <v>-960.96</v>
      </c>
      <c r="H582" t="s">
        <v>980</v>
      </c>
      <c r="J582" s="18" t="s">
        <v>4327</v>
      </c>
    </row>
    <row r="583" spans="3:10" x14ac:dyDescent="0.25">
      <c r="C583" s="17" t="str">
        <f t="shared" si="9"/>
        <v>28.801011.-5400363.1282..CLEAR SCHEDULE.</v>
      </c>
      <c r="E583">
        <v>28</v>
      </c>
      <c r="F583">
        <v>801011</v>
      </c>
      <c r="G583" s="2">
        <v>-54003.63</v>
      </c>
      <c r="H583" t="s">
        <v>981</v>
      </c>
      <c r="J583" s="18" t="s">
        <v>4327</v>
      </c>
    </row>
    <row r="584" spans="3:10" x14ac:dyDescent="0.25">
      <c r="C584" s="17" t="str">
        <f t="shared" si="9"/>
        <v>28.801011.-404041.1283..CLEAR SCHEDULE.</v>
      </c>
      <c r="E584">
        <v>28</v>
      </c>
      <c r="F584">
        <v>801011</v>
      </c>
      <c r="G584" s="1">
        <v>-4040.41</v>
      </c>
      <c r="H584" t="s">
        <v>982</v>
      </c>
      <c r="J584" s="18" t="s">
        <v>4327</v>
      </c>
    </row>
    <row r="585" spans="3:10" x14ac:dyDescent="0.25">
      <c r="C585" s="17" t="str">
        <f t="shared" si="9"/>
        <v>28.801011.-139735.1284..CLEAR SCHEDULE.</v>
      </c>
      <c r="E585">
        <v>28</v>
      </c>
      <c r="F585">
        <v>801011</v>
      </c>
      <c r="G585" s="2">
        <v>-1397.35</v>
      </c>
      <c r="H585" t="s">
        <v>983</v>
      </c>
      <c r="J585" s="18" t="s">
        <v>4327</v>
      </c>
    </row>
    <row r="586" spans="3:10" x14ac:dyDescent="0.25">
      <c r="C586" s="17" t="str">
        <f t="shared" si="9"/>
        <v>28.801011.-402669.1285..CLEAR SCHEDULE.</v>
      </c>
      <c r="E586">
        <v>28</v>
      </c>
      <c r="F586">
        <v>801011</v>
      </c>
      <c r="G586" s="1">
        <v>-4026.69</v>
      </c>
      <c r="H586" t="s">
        <v>984</v>
      </c>
      <c r="J586" s="18" t="s">
        <v>4327</v>
      </c>
    </row>
    <row r="587" spans="3:10" x14ac:dyDescent="0.25">
      <c r="C587" s="17" t="str">
        <f t="shared" ref="C587:C650" si="10">IF(G587=0,"",(E587&amp;"."&amp;F587&amp;"."&amp;G587*100&amp;"."&amp;H587&amp;"."&amp;I587&amp;"."&amp;J587&amp;"."&amp;K587))</f>
        <v>28.801011.-89100.1286..CLEAR SCHEDULE.</v>
      </c>
      <c r="E587">
        <v>28</v>
      </c>
      <c r="F587">
        <v>801011</v>
      </c>
      <c r="G587" s="2">
        <v>-891</v>
      </c>
      <c r="H587" t="s">
        <v>985</v>
      </c>
      <c r="J587" s="18" t="s">
        <v>4327</v>
      </c>
    </row>
    <row r="588" spans="3:10" x14ac:dyDescent="0.25">
      <c r="C588" s="17" t="str">
        <f t="shared" si="10"/>
        <v>28.801011.-437167.1287..CLEAR SCHEDULE.</v>
      </c>
      <c r="E588">
        <v>28</v>
      </c>
      <c r="F588">
        <v>801011</v>
      </c>
      <c r="G588" s="1">
        <v>-4371.67</v>
      </c>
      <c r="H588" t="s">
        <v>986</v>
      </c>
      <c r="J588" s="18" t="s">
        <v>4327</v>
      </c>
    </row>
    <row r="589" spans="3:10" x14ac:dyDescent="0.25">
      <c r="C589" s="17" t="str">
        <f t="shared" si="10"/>
        <v>28.801011.-4597640.1289..CLEAR SCHEDULE.</v>
      </c>
      <c r="E589">
        <v>28</v>
      </c>
      <c r="F589">
        <v>801011</v>
      </c>
      <c r="G589" s="2">
        <v>-45976.4</v>
      </c>
      <c r="H589" t="s">
        <v>987</v>
      </c>
      <c r="J589" s="18" t="s">
        <v>4327</v>
      </c>
    </row>
    <row r="590" spans="3:10" x14ac:dyDescent="0.25">
      <c r="C590" s="17" t="str">
        <f t="shared" si="10"/>
        <v>28.801011.-647265.1290..CLEAR SCHEDULE.</v>
      </c>
      <c r="E590">
        <v>28</v>
      </c>
      <c r="F590">
        <v>801011</v>
      </c>
      <c r="G590" s="1">
        <v>-6472.65</v>
      </c>
      <c r="H590" t="s">
        <v>988</v>
      </c>
      <c r="J590" s="18" t="s">
        <v>4327</v>
      </c>
    </row>
    <row r="591" spans="3:10" x14ac:dyDescent="0.25">
      <c r="C591" s="17" t="str">
        <f t="shared" si="10"/>
        <v>28.801011.8513406.1291..CLEAR SCHEDULE.</v>
      </c>
      <c r="E591">
        <v>28</v>
      </c>
      <c r="F591">
        <v>801011</v>
      </c>
      <c r="G591" s="2">
        <v>85134.06</v>
      </c>
      <c r="H591" t="s">
        <v>989</v>
      </c>
      <c r="J591" s="18" t="s">
        <v>4327</v>
      </c>
    </row>
    <row r="592" spans="3:10" x14ac:dyDescent="0.25">
      <c r="C592" s="17" t="str">
        <f t="shared" si="10"/>
        <v>28.801011.-52735.1292..CLEAR SCHEDULE.</v>
      </c>
      <c r="E592">
        <v>28</v>
      </c>
      <c r="F592">
        <v>801011</v>
      </c>
      <c r="G592" s="1">
        <v>-527.35</v>
      </c>
      <c r="H592" t="s">
        <v>990</v>
      </c>
      <c r="J592" s="18" t="s">
        <v>4327</v>
      </c>
    </row>
    <row r="593" spans="3:10" x14ac:dyDescent="0.25">
      <c r="C593" s="17" t="str">
        <f t="shared" si="10"/>
        <v>28.801011.7111746.1293..CLEAR SCHEDULE.</v>
      </c>
      <c r="E593">
        <v>28</v>
      </c>
      <c r="F593">
        <v>801011</v>
      </c>
      <c r="G593" s="2">
        <v>71117.460000000006</v>
      </c>
      <c r="H593" t="s">
        <v>991</v>
      </c>
      <c r="J593" s="18" t="s">
        <v>4327</v>
      </c>
    </row>
    <row r="594" spans="3:10" x14ac:dyDescent="0.25">
      <c r="C594" s="17" t="str">
        <f t="shared" si="10"/>
        <v>28.801011.-589.1294..CLEAR SCHEDULE.</v>
      </c>
      <c r="E594">
        <v>28</v>
      </c>
      <c r="F594">
        <v>801011</v>
      </c>
      <c r="G594" s="1">
        <v>-5.89</v>
      </c>
      <c r="H594" t="s">
        <v>992</v>
      </c>
      <c r="J594" s="18" t="s">
        <v>4327</v>
      </c>
    </row>
    <row r="595" spans="3:10" x14ac:dyDescent="0.25">
      <c r="C595" s="17" t="str">
        <f t="shared" si="10"/>
        <v>28.801011.-52582.1295..CLEAR SCHEDULE.</v>
      </c>
      <c r="E595">
        <v>28</v>
      </c>
      <c r="F595">
        <v>801011</v>
      </c>
      <c r="G595" s="2">
        <v>-525.82000000000005</v>
      </c>
      <c r="H595" t="s">
        <v>993</v>
      </c>
      <c r="J595" s="18" t="s">
        <v>4327</v>
      </c>
    </row>
    <row r="596" spans="3:10" x14ac:dyDescent="0.25">
      <c r="C596" s="17" t="str">
        <f t="shared" si="10"/>
        <v>28.801011.-60520.1296..CLEAR SCHEDULE.</v>
      </c>
      <c r="E596">
        <v>28</v>
      </c>
      <c r="F596">
        <v>801011</v>
      </c>
      <c r="G596" s="1">
        <v>-605.20000000000005</v>
      </c>
      <c r="H596" t="s">
        <v>994</v>
      </c>
      <c r="J596" s="18" t="s">
        <v>4327</v>
      </c>
    </row>
    <row r="597" spans="3:10" x14ac:dyDescent="0.25">
      <c r="C597" s="17" t="str">
        <f t="shared" si="10"/>
        <v>28.801011.-61913.1297..CLEAR SCHEDULE.</v>
      </c>
      <c r="E597">
        <v>28</v>
      </c>
      <c r="F597">
        <v>801011</v>
      </c>
      <c r="G597" s="2">
        <v>-619.13</v>
      </c>
      <c r="H597" t="s">
        <v>995</v>
      </c>
      <c r="J597" s="18" t="s">
        <v>4327</v>
      </c>
    </row>
    <row r="598" spans="3:10" x14ac:dyDescent="0.25">
      <c r="C598" s="17" t="str">
        <f t="shared" si="10"/>
        <v>28.801011.-1682204.1298..CLEAR SCHEDULE.</v>
      </c>
      <c r="E598">
        <v>28</v>
      </c>
      <c r="F598">
        <v>801011</v>
      </c>
      <c r="G598" s="1">
        <v>-16822.04</v>
      </c>
      <c r="H598" t="s">
        <v>996</v>
      </c>
      <c r="J598" s="18" t="s">
        <v>4327</v>
      </c>
    </row>
    <row r="599" spans="3:10" x14ac:dyDescent="0.25">
      <c r="C599" s="17" t="str">
        <f t="shared" si="10"/>
        <v>28.801011.8955769.1299..CLEAR SCHEDULE.</v>
      </c>
      <c r="E599">
        <v>28</v>
      </c>
      <c r="F599">
        <v>801011</v>
      </c>
      <c r="G599" s="2">
        <v>89557.69</v>
      </c>
      <c r="H599" t="s">
        <v>997</v>
      </c>
      <c r="J599" s="18" t="s">
        <v>4327</v>
      </c>
    </row>
    <row r="600" spans="3:10" x14ac:dyDescent="0.25">
      <c r="C600" s="17" t="str">
        <f t="shared" si="10"/>
        <v>28.801011.-207500.1300..CLEAR SCHEDULE.</v>
      </c>
      <c r="E600">
        <v>28</v>
      </c>
      <c r="F600">
        <v>801011</v>
      </c>
      <c r="G600" s="1">
        <v>-2075</v>
      </c>
      <c r="H600" t="s">
        <v>998</v>
      </c>
      <c r="J600" s="18" t="s">
        <v>4327</v>
      </c>
    </row>
    <row r="601" spans="3:10" x14ac:dyDescent="0.25">
      <c r="C601" s="17" t="str">
        <f t="shared" si="10"/>
        <v>28.801011.-8224.1301..CLEAR SCHEDULE.</v>
      </c>
      <c r="E601">
        <v>28</v>
      </c>
      <c r="F601">
        <v>801011</v>
      </c>
      <c r="G601" s="2">
        <v>-82.24</v>
      </c>
      <c r="H601" t="s">
        <v>999</v>
      </c>
      <c r="J601" s="18" t="s">
        <v>4327</v>
      </c>
    </row>
    <row r="602" spans="3:10" x14ac:dyDescent="0.25">
      <c r="C602" s="17" t="str">
        <f t="shared" si="10"/>
        <v>28.801011.47047.1302..CLEAR SCHEDULE.</v>
      </c>
      <c r="E602">
        <v>28</v>
      </c>
      <c r="F602">
        <v>801011</v>
      </c>
      <c r="G602" s="1">
        <v>470.47</v>
      </c>
      <c r="H602" t="s">
        <v>1000</v>
      </c>
      <c r="J602" s="18" t="s">
        <v>4327</v>
      </c>
    </row>
    <row r="603" spans="3:10" x14ac:dyDescent="0.25">
      <c r="C603" s="17" t="str">
        <f t="shared" si="10"/>
        <v>28.801011.-200801.1303..CLEAR SCHEDULE.</v>
      </c>
      <c r="E603">
        <v>28</v>
      </c>
      <c r="F603">
        <v>801011</v>
      </c>
      <c r="G603" s="2">
        <v>-2008.01</v>
      </c>
      <c r="H603" t="s">
        <v>1001</v>
      </c>
      <c r="J603" s="18" t="s">
        <v>4327</v>
      </c>
    </row>
    <row r="604" spans="3:10" x14ac:dyDescent="0.25">
      <c r="C604" s="17" t="str">
        <f t="shared" si="10"/>
        <v>28.801011.-137629.1304..CLEAR SCHEDULE.</v>
      </c>
      <c r="E604">
        <v>28</v>
      </c>
      <c r="F604">
        <v>801011</v>
      </c>
      <c r="G604" s="1">
        <v>-1376.29</v>
      </c>
      <c r="H604" t="s">
        <v>1002</v>
      </c>
      <c r="J604" s="18" t="s">
        <v>4327</v>
      </c>
    </row>
    <row r="605" spans="3:10" x14ac:dyDescent="0.25">
      <c r="C605" s="17" t="str">
        <f t="shared" si="10"/>
        <v>28.801011.-2116988.1305..CLEAR SCHEDULE.</v>
      </c>
      <c r="E605">
        <v>28</v>
      </c>
      <c r="F605">
        <v>801011</v>
      </c>
      <c r="G605" s="2">
        <v>-21169.88</v>
      </c>
      <c r="H605" t="s">
        <v>1003</v>
      </c>
      <c r="J605" s="18" t="s">
        <v>4327</v>
      </c>
    </row>
    <row r="606" spans="3:10" x14ac:dyDescent="0.25">
      <c r="C606" s="17" t="str">
        <f t="shared" si="10"/>
        <v>28.801011.-266601.1306..CLEAR SCHEDULE.</v>
      </c>
      <c r="E606">
        <v>28</v>
      </c>
      <c r="F606">
        <v>801011</v>
      </c>
      <c r="G606" s="1">
        <v>-2666.01</v>
      </c>
      <c r="H606" t="s">
        <v>1004</v>
      </c>
      <c r="J606" s="18" t="s">
        <v>4327</v>
      </c>
    </row>
    <row r="607" spans="3:10" x14ac:dyDescent="0.25">
      <c r="C607" s="17" t="str">
        <f t="shared" si="10"/>
        <v>28.801011.3545437.1307..CLEAR SCHEDULE.</v>
      </c>
      <c r="E607">
        <v>28</v>
      </c>
      <c r="F607">
        <v>801011</v>
      </c>
      <c r="G607" s="2">
        <v>35454.370000000003</v>
      </c>
      <c r="H607" t="s">
        <v>1005</v>
      </c>
      <c r="J607" s="18" t="s">
        <v>4327</v>
      </c>
    </row>
    <row r="608" spans="3:10" x14ac:dyDescent="0.25">
      <c r="C608" s="17" t="str">
        <f t="shared" si="10"/>
        <v>28.801011.-1110937.1308..CLEAR SCHEDULE.</v>
      </c>
      <c r="E608">
        <v>28</v>
      </c>
      <c r="F608">
        <v>801011</v>
      </c>
      <c r="G608" s="1">
        <v>-11109.37</v>
      </c>
      <c r="H608" t="s">
        <v>1006</v>
      </c>
      <c r="J608" s="18" t="s">
        <v>4327</v>
      </c>
    </row>
    <row r="609" spans="3:10" x14ac:dyDescent="0.25">
      <c r="C609" s="17" t="str">
        <f t="shared" si="10"/>
        <v>28.801011.-2856250.1309..CLEAR SCHEDULE.</v>
      </c>
      <c r="E609">
        <v>28</v>
      </c>
      <c r="F609">
        <v>801011</v>
      </c>
      <c r="G609" s="2">
        <v>-28562.5</v>
      </c>
      <c r="H609" t="s">
        <v>1007</v>
      </c>
      <c r="J609" s="18" t="s">
        <v>4327</v>
      </c>
    </row>
    <row r="610" spans="3:10" x14ac:dyDescent="0.25">
      <c r="C610" s="17" t="str">
        <f t="shared" si="10"/>
        <v>28.801011.-3605498.1310..CLEAR SCHEDULE.</v>
      </c>
      <c r="E610">
        <v>28</v>
      </c>
      <c r="F610">
        <v>801011</v>
      </c>
      <c r="G610" s="1">
        <v>-36054.980000000003</v>
      </c>
      <c r="H610" t="s">
        <v>1008</v>
      </c>
      <c r="J610" s="18" t="s">
        <v>4327</v>
      </c>
    </row>
    <row r="611" spans="3:10" x14ac:dyDescent="0.25">
      <c r="C611" s="17" t="str">
        <f t="shared" si="10"/>
        <v>28.801011.-533942.1311..CLEAR SCHEDULE.</v>
      </c>
      <c r="E611">
        <v>28</v>
      </c>
      <c r="F611">
        <v>801011</v>
      </c>
      <c r="G611" s="2">
        <v>-5339.42</v>
      </c>
      <c r="H611" t="s">
        <v>1009</v>
      </c>
      <c r="J611" s="18" t="s">
        <v>4327</v>
      </c>
    </row>
    <row r="612" spans="3:10" x14ac:dyDescent="0.25">
      <c r="C612" s="17" t="str">
        <f t="shared" si="10"/>
        <v>28.801011.-100994.1312..CLEAR SCHEDULE.</v>
      </c>
      <c r="E612">
        <v>28</v>
      </c>
      <c r="F612">
        <v>801011</v>
      </c>
      <c r="G612" s="1">
        <v>-1009.94</v>
      </c>
      <c r="H612" t="s">
        <v>1010</v>
      </c>
      <c r="J612" s="18" t="s">
        <v>4327</v>
      </c>
    </row>
    <row r="613" spans="3:10" x14ac:dyDescent="0.25">
      <c r="C613" s="17" t="str">
        <f t="shared" si="10"/>
        <v>28.801011.-1831531.1313..CLEAR SCHEDULE.</v>
      </c>
      <c r="E613">
        <v>28</v>
      </c>
      <c r="F613">
        <v>801011</v>
      </c>
      <c r="G613" s="2">
        <v>-18315.310000000001</v>
      </c>
      <c r="H613" t="s">
        <v>1011</v>
      </c>
      <c r="J613" s="18" t="s">
        <v>4327</v>
      </c>
    </row>
    <row r="614" spans="3:10" x14ac:dyDescent="0.25">
      <c r="C614" s="17" t="str">
        <f t="shared" si="10"/>
        <v>28.801011.-2000978.1314..CLEAR SCHEDULE.</v>
      </c>
      <c r="E614">
        <v>28</v>
      </c>
      <c r="F614">
        <v>801011</v>
      </c>
      <c r="G614" s="1">
        <v>-20009.78</v>
      </c>
      <c r="H614" t="s">
        <v>1012</v>
      </c>
      <c r="J614" s="18" t="s">
        <v>4327</v>
      </c>
    </row>
    <row r="615" spans="3:10" x14ac:dyDescent="0.25">
      <c r="C615" s="17" t="str">
        <f t="shared" si="10"/>
        <v>28.801011.-1455833.1315..CLEAR SCHEDULE.</v>
      </c>
      <c r="E615">
        <v>28</v>
      </c>
      <c r="F615">
        <v>801011</v>
      </c>
      <c r="G615" s="2">
        <v>-14558.33</v>
      </c>
      <c r="H615" t="s">
        <v>1013</v>
      </c>
      <c r="J615" s="18" t="s">
        <v>4327</v>
      </c>
    </row>
    <row r="616" spans="3:10" x14ac:dyDescent="0.25">
      <c r="C616" s="17" t="str">
        <f t="shared" si="10"/>
        <v>28.801011.14286671.1316..CLEAR SCHEDULE.</v>
      </c>
      <c r="E616">
        <v>28</v>
      </c>
      <c r="F616">
        <v>801011</v>
      </c>
      <c r="G616" s="1">
        <v>142866.71</v>
      </c>
      <c r="H616" t="s">
        <v>1014</v>
      </c>
      <c r="J616" s="18" t="s">
        <v>4327</v>
      </c>
    </row>
    <row r="617" spans="3:10" x14ac:dyDescent="0.25">
      <c r="C617" s="17" t="str">
        <f t="shared" si="10"/>
        <v>28.801011.-63936.1317..CLEAR SCHEDULE.</v>
      </c>
      <c r="E617">
        <v>28</v>
      </c>
      <c r="F617">
        <v>801011</v>
      </c>
      <c r="G617" s="2">
        <v>-639.36</v>
      </c>
      <c r="H617" t="s">
        <v>1015</v>
      </c>
      <c r="J617" s="18" t="s">
        <v>4327</v>
      </c>
    </row>
    <row r="618" spans="3:10" x14ac:dyDescent="0.25">
      <c r="C618" s="17" t="str">
        <f t="shared" si="10"/>
        <v>28.801011.-403051.1318..CLEAR SCHEDULE.</v>
      </c>
      <c r="E618">
        <v>28</v>
      </c>
      <c r="F618">
        <v>801011</v>
      </c>
      <c r="G618" s="1">
        <v>-4030.51</v>
      </c>
      <c r="H618" t="s">
        <v>1016</v>
      </c>
      <c r="J618" s="18" t="s">
        <v>4327</v>
      </c>
    </row>
    <row r="619" spans="3:10" x14ac:dyDescent="0.25">
      <c r="C619" s="17" t="str">
        <f t="shared" si="10"/>
        <v>28.801011.-816273.1319..CLEAR SCHEDULE.</v>
      </c>
      <c r="E619">
        <v>28</v>
      </c>
      <c r="F619">
        <v>801011</v>
      </c>
      <c r="G619" s="2">
        <v>-8162.73</v>
      </c>
      <c r="H619" t="s">
        <v>1017</v>
      </c>
      <c r="J619" s="18" t="s">
        <v>4327</v>
      </c>
    </row>
    <row r="620" spans="3:10" x14ac:dyDescent="0.25">
      <c r="C620" s="17" t="str">
        <f t="shared" si="10"/>
        <v>28.801011.2548694.1320..CLEAR SCHEDULE.</v>
      </c>
      <c r="E620">
        <v>28</v>
      </c>
      <c r="F620">
        <v>801011</v>
      </c>
      <c r="G620" s="1">
        <v>25486.94</v>
      </c>
      <c r="H620" t="s">
        <v>1018</v>
      </c>
      <c r="J620" s="18" t="s">
        <v>4327</v>
      </c>
    </row>
    <row r="621" spans="3:10" x14ac:dyDescent="0.25">
      <c r="C621" s="17" t="str">
        <f t="shared" si="10"/>
        <v>28.801011.-392970.1321..CLEAR SCHEDULE.</v>
      </c>
      <c r="E621">
        <v>28</v>
      </c>
      <c r="F621">
        <v>801011</v>
      </c>
      <c r="G621" s="2">
        <v>-3929.7</v>
      </c>
      <c r="H621" t="s">
        <v>1019</v>
      </c>
      <c r="J621" s="18" t="s">
        <v>4327</v>
      </c>
    </row>
    <row r="622" spans="3:10" x14ac:dyDescent="0.25">
      <c r="C622" s="17" t="str">
        <f t="shared" si="10"/>
        <v>28.801011.-207983.1322..CLEAR SCHEDULE.</v>
      </c>
      <c r="E622">
        <v>28</v>
      </c>
      <c r="F622">
        <v>801011</v>
      </c>
      <c r="G622" s="1">
        <v>-2079.83</v>
      </c>
      <c r="H622" t="s">
        <v>1020</v>
      </c>
      <c r="J622" s="18" t="s">
        <v>4327</v>
      </c>
    </row>
    <row r="623" spans="3:10" x14ac:dyDescent="0.25">
      <c r="C623" s="17" t="str">
        <f t="shared" si="10"/>
        <v>28.801011.-3786019.1323..CLEAR SCHEDULE.</v>
      </c>
      <c r="E623">
        <v>28</v>
      </c>
      <c r="F623">
        <v>801011</v>
      </c>
      <c r="G623" s="2">
        <v>-37860.19</v>
      </c>
      <c r="H623" t="s">
        <v>1021</v>
      </c>
      <c r="J623" s="18" t="s">
        <v>4327</v>
      </c>
    </row>
    <row r="624" spans="3:10" x14ac:dyDescent="0.25">
      <c r="C624" s="17" t="str">
        <f t="shared" si="10"/>
        <v>28.801011.-101724.1324..CLEAR SCHEDULE.</v>
      </c>
      <c r="E624">
        <v>28</v>
      </c>
      <c r="F624">
        <v>801011</v>
      </c>
      <c r="G624" s="1">
        <v>-1017.24</v>
      </c>
      <c r="H624" t="s">
        <v>1022</v>
      </c>
      <c r="J624" s="18" t="s">
        <v>4327</v>
      </c>
    </row>
    <row r="625" spans="3:10" x14ac:dyDescent="0.25">
      <c r="C625" s="17" t="str">
        <f t="shared" si="10"/>
        <v>28.801011.-2958527.1325..CLEAR SCHEDULE.</v>
      </c>
      <c r="E625">
        <v>28</v>
      </c>
      <c r="F625">
        <v>801011</v>
      </c>
      <c r="G625" s="2">
        <v>-29585.27</v>
      </c>
      <c r="H625" t="s">
        <v>1023</v>
      </c>
      <c r="J625" s="18" t="s">
        <v>4327</v>
      </c>
    </row>
    <row r="626" spans="3:10" x14ac:dyDescent="0.25">
      <c r="C626" s="17" t="str">
        <f t="shared" si="10"/>
        <v>28.801011.-3988201.1326..CLEAR SCHEDULE.</v>
      </c>
      <c r="E626">
        <v>28</v>
      </c>
      <c r="F626">
        <v>801011</v>
      </c>
      <c r="G626" s="1">
        <v>-39882.01</v>
      </c>
      <c r="H626" t="s">
        <v>1024</v>
      </c>
      <c r="J626" s="18" t="s">
        <v>4327</v>
      </c>
    </row>
    <row r="627" spans="3:10" x14ac:dyDescent="0.25">
      <c r="C627" s="17" t="str">
        <f t="shared" si="10"/>
        <v>28.801011.-1285614.1327..CLEAR SCHEDULE.</v>
      </c>
      <c r="E627">
        <v>28</v>
      </c>
      <c r="F627">
        <v>801011</v>
      </c>
      <c r="G627" s="2">
        <v>-12856.14</v>
      </c>
      <c r="H627" t="s">
        <v>1025</v>
      </c>
      <c r="J627" s="18" t="s">
        <v>4327</v>
      </c>
    </row>
    <row r="628" spans="3:10" x14ac:dyDescent="0.25">
      <c r="C628" s="17" t="str">
        <f t="shared" si="10"/>
        <v>28.801011.-489700.1328..CLEAR SCHEDULE.</v>
      </c>
      <c r="E628">
        <v>28</v>
      </c>
      <c r="F628">
        <v>801011</v>
      </c>
      <c r="G628" s="1">
        <v>-4897</v>
      </c>
      <c r="H628" t="s">
        <v>1026</v>
      </c>
      <c r="J628" s="18" t="s">
        <v>4327</v>
      </c>
    </row>
    <row r="629" spans="3:10" x14ac:dyDescent="0.25">
      <c r="C629" s="17" t="str">
        <f t="shared" si="10"/>
        <v>28.801011.-3128250.1329..CLEAR SCHEDULE.</v>
      </c>
      <c r="E629">
        <v>28</v>
      </c>
      <c r="F629">
        <v>801011</v>
      </c>
      <c r="G629" s="2">
        <v>-31282.5</v>
      </c>
      <c r="H629" t="s">
        <v>1027</v>
      </c>
      <c r="J629" s="18" t="s">
        <v>4327</v>
      </c>
    </row>
    <row r="630" spans="3:10" x14ac:dyDescent="0.25">
      <c r="C630" s="17" t="str">
        <f t="shared" si="10"/>
        <v>28.801011.-1000000.1330..CLEAR SCHEDULE.</v>
      </c>
      <c r="E630">
        <v>28</v>
      </c>
      <c r="F630">
        <v>801011</v>
      </c>
      <c r="G630" s="1">
        <v>-10000</v>
      </c>
      <c r="H630" t="s">
        <v>1028</v>
      </c>
      <c r="J630" s="18" t="s">
        <v>4327</v>
      </c>
    </row>
    <row r="631" spans="3:10" x14ac:dyDescent="0.25">
      <c r="C631" s="17" t="str">
        <f t="shared" si="10"/>
        <v>28.801011.-500801.1331..CLEAR SCHEDULE.</v>
      </c>
      <c r="E631">
        <v>28</v>
      </c>
      <c r="F631">
        <v>801011</v>
      </c>
      <c r="G631" s="2">
        <v>-5008.01</v>
      </c>
      <c r="H631" t="s">
        <v>1029</v>
      </c>
      <c r="J631" s="18" t="s">
        <v>4327</v>
      </c>
    </row>
    <row r="632" spans="3:10" x14ac:dyDescent="0.25">
      <c r="C632" s="17" t="str">
        <f t="shared" si="10"/>
        <v>28.801011.-803173.1332..CLEAR SCHEDULE.</v>
      </c>
      <c r="E632">
        <v>28</v>
      </c>
      <c r="F632">
        <v>801011</v>
      </c>
      <c r="G632" s="1">
        <v>-8031.73</v>
      </c>
      <c r="H632" t="s">
        <v>1030</v>
      </c>
      <c r="J632" s="18" t="s">
        <v>4327</v>
      </c>
    </row>
    <row r="633" spans="3:10" x14ac:dyDescent="0.25">
      <c r="C633" s="17" t="str">
        <f t="shared" si="10"/>
        <v>28.801011.-1800201.1333..CLEAR SCHEDULE.</v>
      </c>
      <c r="E633">
        <v>28</v>
      </c>
      <c r="F633">
        <v>801011</v>
      </c>
      <c r="G633" s="2">
        <v>-18002.009999999998</v>
      </c>
      <c r="H633" t="s">
        <v>1031</v>
      </c>
      <c r="J633" s="18" t="s">
        <v>4327</v>
      </c>
    </row>
    <row r="634" spans="3:10" x14ac:dyDescent="0.25">
      <c r="C634" s="17" t="str">
        <f t="shared" si="10"/>
        <v>28.801011.-700401.1334..CLEAR SCHEDULE.</v>
      </c>
      <c r="E634">
        <v>28</v>
      </c>
      <c r="F634">
        <v>801011</v>
      </c>
      <c r="G634" s="1">
        <v>-7004.01</v>
      </c>
      <c r="H634" t="s">
        <v>1032</v>
      </c>
      <c r="J634" s="18" t="s">
        <v>4327</v>
      </c>
    </row>
    <row r="635" spans="3:10" x14ac:dyDescent="0.25">
      <c r="C635" s="17" t="str">
        <f t="shared" si="10"/>
        <v>28.801011.-434750.1335..CLEAR SCHEDULE.</v>
      </c>
      <c r="E635">
        <v>28</v>
      </c>
      <c r="F635">
        <v>801011</v>
      </c>
      <c r="G635" s="2">
        <v>-4347.5</v>
      </c>
      <c r="H635" t="s">
        <v>1033</v>
      </c>
      <c r="J635" s="18" t="s">
        <v>4327</v>
      </c>
    </row>
    <row r="636" spans="3:10" x14ac:dyDescent="0.25">
      <c r="C636" s="17" t="str">
        <f t="shared" si="10"/>
        <v>28.801011.-272163.1336..CLEAR SCHEDULE.</v>
      </c>
      <c r="E636">
        <v>28</v>
      </c>
      <c r="F636">
        <v>801011</v>
      </c>
      <c r="G636" s="1">
        <v>-2721.63</v>
      </c>
      <c r="H636" t="s">
        <v>1034</v>
      </c>
      <c r="J636" s="18" t="s">
        <v>4327</v>
      </c>
    </row>
    <row r="637" spans="3:10" x14ac:dyDescent="0.25">
      <c r="C637" s="17" t="str">
        <f t="shared" si="10"/>
        <v>28.801011.-500000.1337..CLEAR SCHEDULE.</v>
      </c>
      <c r="E637">
        <v>28</v>
      </c>
      <c r="F637">
        <v>801011</v>
      </c>
      <c r="G637" s="2">
        <v>-5000</v>
      </c>
      <c r="H637" t="s">
        <v>1035</v>
      </c>
      <c r="J637" s="18" t="s">
        <v>4327</v>
      </c>
    </row>
    <row r="638" spans="3:10" x14ac:dyDescent="0.25">
      <c r="C638" s="17" t="str">
        <f t="shared" si="10"/>
        <v>28.801011.-3143095.1338..CLEAR SCHEDULE.</v>
      </c>
      <c r="E638">
        <v>28</v>
      </c>
      <c r="F638">
        <v>801011</v>
      </c>
      <c r="G638" s="1">
        <v>-31430.95</v>
      </c>
      <c r="H638" t="s">
        <v>1036</v>
      </c>
      <c r="J638" s="18" t="s">
        <v>4327</v>
      </c>
    </row>
    <row r="639" spans="3:10" x14ac:dyDescent="0.25">
      <c r="C639" s="17" t="str">
        <f t="shared" si="10"/>
        <v>28.801011.17451263.1339..CLEAR SCHEDULE.</v>
      </c>
      <c r="E639">
        <v>28</v>
      </c>
      <c r="F639">
        <v>801011</v>
      </c>
      <c r="G639" s="2">
        <v>174512.63</v>
      </c>
      <c r="H639" t="s">
        <v>1037</v>
      </c>
      <c r="J639" s="18" t="s">
        <v>4327</v>
      </c>
    </row>
    <row r="640" spans="3:10" x14ac:dyDescent="0.25">
      <c r="C640" s="17" t="str">
        <f t="shared" si="10"/>
        <v>28.801011.-5510516.1340..CLEAR SCHEDULE.</v>
      </c>
      <c r="E640">
        <v>28</v>
      </c>
      <c r="F640">
        <v>801011</v>
      </c>
      <c r="G640" s="1">
        <v>-55105.16</v>
      </c>
      <c r="H640" t="s">
        <v>1038</v>
      </c>
      <c r="J640" s="18" t="s">
        <v>4327</v>
      </c>
    </row>
    <row r="641" spans="3:10" x14ac:dyDescent="0.25">
      <c r="C641" s="17" t="str">
        <f t="shared" si="10"/>
        <v>28.801011.10604949.1341..CLEAR SCHEDULE.</v>
      </c>
      <c r="E641">
        <v>28</v>
      </c>
      <c r="F641">
        <v>801011</v>
      </c>
      <c r="G641" s="2">
        <v>106049.49</v>
      </c>
      <c r="H641" t="s">
        <v>1039</v>
      </c>
      <c r="J641" s="18" t="s">
        <v>4327</v>
      </c>
    </row>
    <row r="642" spans="3:10" x14ac:dyDescent="0.25">
      <c r="C642" s="17" t="str">
        <f t="shared" si="10"/>
        <v>28.801011.-502453.1342..CLEAR SCHEDULE.</v>
      </c>
      <c r="E642">
        <v>28</v>
      </c>
      <c r="F642">
        <v>801011</v>
      </c>
      <c r="G642" s="1">
        <v>-5024.53</v>
      </c>
      <c r="H642" t="s">
        <v>1040</v>
      </c>
      <c r="J642" s="18" t="s">
        <v>4327</v>
      </c>
    </row>
    <row r="643" spans="3:10" x14ac:dyDescent="0.25">
      <c r="C643" s="17" t="str">
        <f t="shared" si="10"/>
        <v>28.801011.-50000.1343..CLEAR SCHEDULE.</v>
      </c>
      <c r="E643">
        <v>28</v>
      </c>
      <c r="F643">
        <v>801011</v>
      </c>
      <c r="G643" s="2">
        <v>-500</v>
      </c>
      <c r="H643" t="s">
        <v>1041</v>
      </c>
      <c r="J643" s="18" t="s">
        <v>4327</v>
      </c>
    </row>
    <row r="644" spans="3:10" x14ac:dyDescent="0.25">
      <c r="C644" s="17" t="str">
        <f t="shared" si="10"/>
        <v>28.801011.-169801.1344..CLEAR SCHEDULE.</v>
      </c>
      <c r="E644">
        <v>28</v>
      </c>
      <c r="F644">
        <v>801011</v>
      </c>
      <c r="G644" s="1">
        <v>-1698.01</v>
      </c>
      <c r="H644" t="s">
        <v>1042</v>
      </c>
      <c r="J644" s="18" t="s">
        <v>4327</v>
      </c>
    </row>
    <row r="645" spans="3:10" x14ac:dyDescent="0.25">
      <c r="C645" s="17" t="str">
        <f t="shared" si="10"/>
        <v>28.801011.-3405054.1345..CLEAR SCHEDULE.</v>
      </c>
      <c r="E645">
        <v>28</v>
      </c>
      <c r="F645">
        <v>801011</v>
      </c>
      <c r="G645" s="2">
        <v>-34050.54</v>
      </c>
      <c r="H645" t="s">
        <v>1043</v>
      </c>
      <c r="J645" s="18" t="s">
        <v>4327</v>
      </c>
    </row>
    <row r="646" spans="3:10" x14ac:dyDescent="0.25">
      <c r="C646" s="17" t="str">
        <f t="shared" si="10"/>
        <v>28.801011.-57517.1346..CLEAR SCHEDULE.</v>
      </c>
      <c r="E646">
        <v>28</v>
      </c>
      <c r="F646">
        <v>801011</v>
      </c>
      <c r="G646" s="1">
        <v>-575.16999999999996</v>
      </c>
      <c r="H646" t="s">
        <v>1044</v>
      </c>
      <c r="J646" s="18" t="s">
        <v>4327</v>
      </c>
    </row>
    <row r="647" spans="3:10" x14ac:dyDescent="0.25">
      <c r="C647" s="17" t="str">
        <f t="shared" si="10"/>
        <v>28.801011.-3727972.1347..CLEAR SCHEDULE.</v>
      </c>
      <c r="E647">
        <v>28</v>
      </c>
      <c r="F647">
        <v>801011</v>
      </c>
      <c r="G647" s="2">
        <v>-37279.72</v>
      </c>
      <c r="H647" t="s">
        <v>1045</v>
      </c>
      <c r="J647" s="18" t="s">
        <v>4327</v>
      </c>
    </row>
    <row r="648" spans="3:10" x14ac:dyDescent="0.25">
      <c r="C648" s="17" t="str">
        <f t="shared" si="10"/>
        <v>28.801011.9854531.1348..CLEAR SCHEDULE.</v>
      </c>
      <c r="E648">
        <v>28</v>
      </c>
      <c r="F648">
        <v>801011</v>
      </c>
      <c r="G648" s="1">
        <v>98545.31</v>
      </c>
      <c r="H648" t="s">
        <v>1046</v>
      </c>
      <c r="J648" s="18" t="s">
        <v>4327</v>
      </c>
    </row>
    <row r="649" spans="3:10" x14ac:dyDescent="0.25">
      <c r="C649" s="17" t="str">
        <f t="shared" si="10"/>
        <v>28.801011.-204163.1349..CLEAR SCHEDULE.</v>
      </c>
      <c r="E649">
        <v>28</v>
      </c>
      <c r="F649">
        <v>801011</v>
      </c>
      <c r="G649" s="2">
        <v>-2041.63</v>
      </c>
      <c r="H649" t="s">
        <v>1047</v>
      </c>
      <c r="J649" s="18" t="s">
        <v>4327</v>
      </c>
    </row>
    <row r="650" spans="3:10" x14ac:dyDescent="0.25">
      <c r="C650" s="17" t="str">
        <f t="shared" si="10"/>
        <v>28.801011.-2864749.1350..CLEAR SCHEDULE.</v>
      </c>
      <c r="E650">
        <v>28</v>
      </c>
      <c r="F650">
        <v>801011</v>
      </c>
      <c r="G650" s="1">
        <v>-28647.49</v>
      </c>
      <c r="H650" t="s">
        <v>1048</v>
      </c>
      <c r="J650" s="18" t="s">
        <v>4327</v>
      </c>
    </row>
    <row r="651" spans="3:10" x14ac:dyDescent="0.25">
      <c r="C651" s="17" t="str">
        <f t="shared" ref="C651:C714" si="11">IF(G651=0,"",(E651&amp;"."&amp;F651&amp;"."&amp;G651*100&amp;"."&amp;H651&amp;"."&amp;I651&amp;"."&amp;J651&amp;"."&amp;K651))</f>
        <v>28.801011.-2199506.1351..CLEAR SCHEDULE.</v>
      </c>
      <c r="E651">
        <v>28</v>
      </c>
      <c r="F651">
        <v>801011</v>
      </c>
      <c r="G651" s="2">
        <v>-21995.06</v>
      </c>
      <c r="H651" t="s">
        <v>1049</v>
      </c>
      <c r="J651" s="18" t="s">
        <v>4327</v>
      </c>
    </row>
    <row r="652" spans="3:10" x14ac:dyDescent="0.25">
      <c r="C652" s="17" t="str">
        <f t="shared" si="11"/>
        <v>28.801011.8884834.1352..CLEAR SCHEDULE.</v>
      </c>
      <c r="E652">
        <v>28</v>
      </c>
      <c r="F652">
        <v>801011</v>
      </c>
      <c r="G652" s="1">
        <v>88848.34</v>
      </c>
      <c r="H652" t="s">
        <v>1050</v>
      </c>
      <c r="J652" s="18" t="s">
        <v>4327</v>
      </c>
    </row>
    <row r="653" spans="3:10" x14ac:dyDescent="0.25">
      <c r="C653" s="17" t="str">
        <f t="shared" si="11"/>
        <v>28.801011.-3276714.1353..CLEAR SCHEDULE.</v>
      </c>
      <c r="E653">
        <v>28</v>
      </c>
      <c r="F653">
        <v>801011</v>
      </c>
      <c r="G653" s="2">
        <v>-32767.14</v>
      </c>
      <c r="H653" t="s">
        <v>1051</v>
      </c>
      <c r="J653" s="18" t="s">
        <v>4327</v>
      </c>
    </row>
    <row r="654" spans="3:10" x14ac:dyDescent="0.25">
      <c r="C654" s="17" t="str">
        <f t="shared" si="11"/>
        <v>28.801011.-2533179.1354..CLEAR SCHEDULE.</v>
      </c>
      <c r="E654">
        <v>28</v>
      </c>
      <c r="F654">
        <v>801011</v>
      </c>
      <c r="G654" s="1">
        <v>-25331.79</v>
      </c>
      <c r="H654" t="s">
        <v>1052</v>
      </c>
      <c r="J654" s="18" t="s">
        <v>4327</v>
      </c>
    </row>
    <row r="655" spans="3:10" x14ac:dyDescent="0.25">
      <c r="C655" s="17" t="str">
        <f t="shared" si="11"/>
        <v>28.801011.-300000.1355..CLEAR SCHEDULE.</v>
      </c>
      <c r="E655">
        <v>28</v>
      </c>
      <c r="F655">
        <v>801011</v>
      </c>
      <c r="G655" s="2">
        <v>-3000</v>
      </c>
      <c r="H655" t="s">
        <v>1053</v>
      </c>
      <c r="J655" s="18" t="s">
        <v>4327</v>
      </c>
    </row>
    <row r="656" spans="3:10" x14ac:dyDescent="0.25">
      <c r="C656" s="17" t="str">
        <f t="shared" si="11"/>
        <v>28.801011.9201453.1356..CLEAR SCHEDULE.</v>
      </c>
      <c r="E656">
        <v>28</v>
      </c>
      <c r="F656">
        <v>801011</v>
      </c>
      <c r="G656" s="1">
        <v>92014.53</v>
      </c>
      <c r="H656" t="s">
        <v>1054</v>
      </c>
      <c r="J656" s="18" t="s">
        <v>4327</v>
      </c>
    </row>
    <row r="657" spans="3:10" x14ac:dyDescent="0.25">
      <c r="C657" s="17" t="str">
        <f t="shared" si="11"/>
        <v>28.801011.-703640.1357..CLEAR SCHEDULE.</v>
      </c>
      <c r="E657">
        <v>28</v>
      </c>
      <c r="F657">
        <v>801011</v>
      </c>
      <c r="G657" s="2">
        <v>-7036.4</v>
      </c>
      <c r="H657" t="s">
        <v>1055</v>
      </c>
      <c r="J657" s="18" t="s">
        <v>4327</v>
      </c>
    </row>
    <row r="658" spans="3:10" x14ac:dyDescent="0.25">
      <c r="C658" s="17" t="str">
        <f t="shared" si="11"/>
        <v>28.801011.-3482842.1358..CLEAR SCHEDULE.</v>
      </c>
      <c r="E658">
        <v>28</v>
      </c>
      <c r="F658">
        <v>801011</v>
      </c>
      <c r="G658" s="1">
        <v>-34828.42</v>
      </c>
      <c r="H658" t="s">
        <v>1056</v>
      </c>
      <c r="J658" s="18" t="s">
        <v>4327</v>
      </c>
    </row>
    <row r="659" spans="3:10" x14ac:dyDescent="0.25">
      <c r="C659" s="17" t="str">
        <f t="shared" si="11"/>
        <v>28.801011.-1527558.1359..CLEAR SCHEDULE.</v>
      </c>
      <c r="E659">
        <v>28</v>
      </c>
      <c r="F659">
        <v>801011</v>
      </c>
      <c r="G659" s="2">
        <v>-15275.58</v>
      </c>
      <c r="H659" t="s">
        <v>1057</v>
      </c>
      <c r="J659" s="18" t="s">
        <v>4327</v>
      </c>
    </row>
    <row r="660" spans="3:10" x14ac:dyDescent="0.25">
      <c r="C660" s="17" t="str">
        <f t="shared" si="11"/>
        <v>28.801011.-493127.1360..CLEAR SCHEDULE.</v>
      </c>
      <c r="E660">
        <v>28</v>
      </c>
      <c r="F660">
        <v>801011</v>
      </c>
      <c r="G660" s="1">
        <v>-4931.2700000000004</v>
      </c>
      <c r="H660" t="s">
        <v>1058</v>
      </c>
      <c r="J660" s="18" t="s">
        <v>4327</v>
      </c>
    </row>
    <row r="661" spans="3:10" x14ac:dyDescent="0.25">
      <c r="C661" s="17" t="str">
        <f t="shared" si="11"/>
        <v>28.801011.-523978.1361..CLEAR SCHEDULE.</v>
      </c>
      <c r="E661">
        <v>28</v>
      </c>
      <c r="F661">
        <v>801011</v>
      </c>
      <c r="G661" s="2">
        <v>-5239.78</v>
      </c>
      <c r="H661" t="s">
        <v>1059</v>
      </c>
      <c r="J661" s="18" t="s">
        <v>4327</v>
      </c>
    </row>
    <row r="662" spans="3:10" x14ac:dyDescent="0.25">
      <c r="C662" s="17" t="str">
        <f t="shared" si="11"/>
        <v>28.801011.-130801.1362..CLEAR SCHEDULE.</v>
      </c>
      <c r="E662">
        <v>28</v>
      </c>
      <c r="F662">
        <v>801011</v>
      </c>
      <c r="G662" s="1">
        <v>-1308.01</v>
      </c>
      <c r="H662" t="s">
        <v>1060</v>
      </c>
      <c r="J662" s="18" t="s">
        <v>4327</v>
      </c>
    </row>
    <row r="663" spans="3:10" x14ac:dyDescent="0.25">
      <c r="C663" s="17" t="str">
        <f t="shared" si="11"/>
        <v>28.801011.-3796544.1363..CLEAR SCHEDULE.</v>
      </c>
      <c r="E663">
        <v>28</v>
      </c>
      <c r="F663">
        <v>801011</v>
      </c>
      <c r="G663" s="2">
        <v>-37965.440000000002</v>
      </c>
      <c r="H663" t="s">
        <v>1061</v>
      </c>
      <c r="J663" s="18" t="s">
        <v>4327</v>
      </c>
    </row>
    <row r="664" spans="3:10" x14ac:dyDescent="0.25">
      <c r="C664" s="17" t="str">
        <f t="shared" si="11"/>
        <v>28.801011.-8270801.1364..CLEAR SCHEDULE.</v>
      </c>
      <c r="E664">
        <v>28</v>
      </c>
      <c r="F664">
        <v>801011</v>
      </c>
      <c r="G664" s="1">
        <v>-82708.009999999995</v>
      </c>
      <c r="H664" t="s">
        <v>1062</v>
      </c>
      <c r="J664" s="18" t="s">
        <v>4327</v>
      </c>
    </row>
    <row r="665" spans="3:10" x14ac:dyDescent="0.25">
      <c r="C665" s="17" t="str">
        <f t="shared" si="11"/>
        <v>28.801011.-500000.1365..CLEAR SCHEDULE.</v>
      </c>
      <c r="E665">
        <v>28</v>
      </c>
      <c r="F665">
        <v>801011</v>
      </c>
      <c r="G665" s="2">
        <v>-5000</v>
      </c>
      <c r="H665" t="s">
        <v>1063</v>
      </c>
      <c r="J665" s="18" t="s">
        <v>4327</v>
      </c>
    </row>
    <row r="666" spans="3:10" x14ac:dyDescent="0.25">
      <c r="C666" s="17" t="str">
        <f t="shared" si="11"/>
        <v>28.801011.-3963346.1366..CLEAR SCHEDULE.</v>
      </c>
      <c r="E666">
        <v>28</v>
      </c>
      <c r="F666">
        <v>801011</v>
      </c>
      <c r="G666" s="1">
        <v>-39633.46</v>
      </c>
      <c r="H666" t="s">
        <v>1064</v>
      </c>
      <c r="J666" s="18" t="s">
        <v>4327</v>
      </c>
    </row>
    <row r="667" spans="3:10" x14ac:dyDescent="0.25">
      <c r="C667" s="17" t="str">
        <f t="shared" si="11"/>
        <v>28.801011.-1651170.1367..CLEAR SCHEDULE.</v>
      </c>
      <c r="E667">
        <v>28</v>
      </c>
      <c r="F667">
        <v>801011</v>
      </c>
      <c r="G667" s="2">
        <v>-16511.7</v>
      </c>
      <c r="H667" t="s">
        <v>1065</v>
      </c>
      <c r="J667" s="18" t="s">
        <v>4327</v>
      </c>
    </row>
    <row r="668" spans="3:10" x14ac:dyDescent="0.25">
      <c r="C668" s="17" t="str">
        <f t="shared" si="11"/>
        <v>28.801011.-71309.1368..CLEAR SCHEDULE.</v>
      </c>
      <c r="E668">
        <v>28</v>
      </c>
      <c r="F668">
        <v>801011</v>
      </c>
      <c r="G668" s="1">
        <v>-713.09</v>
      </c>
      <c r="H668" t="s">
        <v>1066</v>
      </c>
      <c r="J668" s="18" t="s">
        <v>4327</v>
      </c>
    </row>
    <row r="669" spans="3:10" x14ac:dyDescent="0.25">
      <c r="C669" s="17" t="str">
        <f t="shared" si="11"/>
        <v>28.801011.-5363751.1369..CLEAR SCHEDULE.</v>
      </c>
      <c r="E669">
        <v>28</v>
      </c>
      <c r="F669">
        <v>801011</v>
      </c>
      <c r="G669" s="2">
        <v>-53637.51</v>
      </c>
      <c r="H669" t="s">
        <v>1067</v>
      </c>
      <c r="J669" s="18" t="s">
        <v>4327</v>
      </c>
    </row>
    <row r="670" spans="3:10" x14ac:dyDescent="0.25">
      <c r="C670" s="17" t="str">
        <f t="shared" si="11"/>
        <v>28.801011.8952177.1370..CLEAR SCHEDULE.</v>
      </c>
      <c r="E670">
        <v>28</v>
      </c>
      <c r="F670">
        <v>801011</v>
      </c>
      <c r="G670" s="1">
        <v>89521.77</v>
      </c>
      <c r="H670" t="s">
        <v>1068</v>
      </c>
      <c r="J670" s="18" t="s">
        <v>4327</v>
      </c>
    </row>
    <row r="671" spans="3:10" x14ac:dyDescent="0.25">
      <c r="C671" s="17" t="str">
        <f t="shared" si="11"/>
        <v>28.801011.-252465.1371..CLEAR SCHEDULE.</v>
      </c>
      <c r="E671">
        <v>28</v>
      </c>
      <c r="F671">
        <v>801011</v>
      </c>
      <c r="G671" s="2">
        <v>-2524.65</v>
      </c>
      <c r="H671" t="s">
        <v>1069</v>
      </c>
      <c r="J671" s="18" t="s">
        <v>4327</v>
      </c>
    </row>
    <row r="672" spans="3:10" x14ac:dyDescent="0.25">
      <c r="C672" s="17" t="str">
        <f t="shared" si="11"/>
        <v>28.801011.-252086.1372..CLEAR SCHEDULE.</v>
      </c>
      <c r="E672">
        <v>28</v>
      </c>
      <c r="F672">
        <v>801011</v>
      </c>
      <c r="G672" s="1">
        <v>-2520.86</v>
      </c>
      <c r="H672" t="s">
        <v>1070</v>
      </c>
      <c r="J672" s="18" t="s">
        <v>4327</v>
      </c>
    </row>
    <row r="673" spans="3:10" x14ac:dyDescent="0.25">
      <c r="C673" s="17" t="str">
        <f t="shared" si="11"/>
        <v>28.801011.-55800.1373..CLEAR SCHEDULE.</v>
      </c>
      <c r="E673">
        <v>28</v>
      </c>
      <c r="F673">
        <v>801011</v>
      </c>
      <c r="G673" s="2">
        <v>-558</v>
      </c>
      <c r="H673" t="s">
        <v>1071</v>
      </c>
      <c r="J673" s="18" t="s">
        <v>4327</v>
      </c>
    </row>
    <row r="674" spans="3:10" x14ac:dyDescent="0.25">
      <c r="C674" s="17" t="str">
        <f t="shared" si="11"/>
        <v>28.801011.-1344723.1374..CLEAR SCHEDULE.</v>
      </c>
      <c r="E674">
        <v>28</v>
      </c>
      <c r="F674">
        <v>801011</v>
      </c>
      <c r="G674" s="1">
        <v>-13447.23</v>
      </c>
      <c r="H674" t="s">
        <v>1072</v>
      </c>
      <c r="J674" s="18" t="s">
        <v>4327</v>
      </c>
    </row>
    <row r="675" spans="3:10" x14ac:dyDescent="0.25">
      <c r="C675" s="17" t="str">
        <f t="shared" si="11"/>
        <v>28.801011.-182572.1375..CLEAR SCHEDULE.</v>
      </c>
      <c r="E675">
        <v>28</v>
      </c>
      <c r="F675">
        <v>801011</v>
      </c>
      <c r="G675" s="2">
        <v>-1825.72</v>
      </c>
      <c r="H675" t="s">
        <v>1073</v>
      </c>
      <c r="J675" s="18" t="s">
        <v>4327</v>
      </c>
    </row>
    <row r="676" spans="3:10" x14ac:dyDescent="0.25">
      <c r="C676" s="17" t="str">
        <f t="shared" si="11"/>
        <v>28.801011.13386579.1376..CLEAR SCHEDULE.</v>
      </c>
      <c r="E676">
        <v>28</v>
      </c>
      <c r="F676">
        <v>801011</v>
      </c>
      <c r="G676" s="1">
        <v>133865.79</v>
      </c>
      <c r="H676" t="s">
        <v>1074</v>
      </c>
      <c r="J676" s="18" t="s">
        <v>4327</v>
      </c>
    </row>
    <row r="677" spans="3:10" x14ac:dyDescent="0.25">
      <c r="C677" s="17" t="str">
        <f t="shared" si="11"/>
        <v>28.801011.-950000.1377..CLEAR SCHEDULE.</v>
      </c>
      <c r="E677">
        <v>28</v>
      </c>
      <c r="F677">
        <v>801011</v>
      </c>
      <c r="G677" s="2">
        <v>-9500</v>
      </c>
      <c r="H677" t="s">
        <v>1075</v>
      </c>
      <c r="J677" s="18" t="s">
        <v>4327</v>
      </c>
    </row>
    <row r="678" spans="3:10" x14ac:dyDescent="0.25">
      <c r="C678" s="17" t="str">
        <f t="shared" si="11"/>
        <v>28.801011.7736296.1378..CLEAR SCHEDULE.</v>
      </c>
      <c r="E678">
        <v>28</v>
      </c>
      <c r="F678">
        <v>801011</v>
      </c>
      <c r="G678" s="1">
        <v>77362.960000000006</v>
      </c>
      <c r="H678" t="s">
        <v>1076</v>
      </c>
      <c r="J678" s="18" t="s">
        <v>4327</v>
      </c>
    </row>
    <row r="679" spans="3:10" x14ac:dyDescent="0.25">
      <c r="C679" s="17" t="str">
        <f t="shared" si="11"/>
        <v>28.801011.135669.1379..CLEAR SCHEDULE.</v>
      </c>
      <c r="E679">
        <v>28</v>
      </c>
      <c r="F679">
        <v>801011</v>
      </c>
      <c r="G679" s="2">
        <v>1356.69</v>
      </c>
      <c r="H679" t="s">
        <v>1077</v>
      </c>
      <c r="J679" s="18" t="s">
        <v>4327</v>
      </c>
    </row>
    <row r="680" spans="3:10" x14ac:dyDescent="0.25">
      <c r="C680" s="17" t="str">
        <f t="shared" si="11"/>
        <v>28.801011.-2069700.1380..CLEAR SCHEDULE.</v>
      </c>
      <c r="E680">
        <v>28</v>
      </c>
      <c r="F680">
        <v>801011</v>
      </c>
      <c r="G680" s="1">
        <v>-20697</v>
      </c>
      <c r="H680" t="s">
        <v>1078</v>
      </c>
      <c r="J680" s="18" t="s">
        <v>4327</v>
      </c>
    </row>
    <row r="681" spans="3:10" x14ac:dyDescent="0.25">
      <c r="C681" s="17" t="str">
        <f t="shared" si="11"/>
        <v>28.801011.-3788721.1381..CLEAR SCHEDULE.</v>
      </c>
      <c r="E681">
        <v>28</v>
      </c>
      <c r="F681">
        <v>801011</v>
      </c>
      <c r="G681" s="2">
        <v>-37887.21</v>
      </c>
      <c r="H681" t="s">
        <v>1079</v>
      </c>
      <c r="J681" s="18" t="s">
        <v>4327</v>
      </c>
    </row>
    <row r="682" spans="3:10" x14ac:dyDescent="0.25">
      <c r="C682" s="17" t="str">
        <f t="shared" si="11"/>
        <v>28.801011.7841586.1382..CLEAR SCHEDULE.</v>
      </c>
      <c r="E682">
        <v>28</v>
      </c>
      <c r="F682">
        <v>801011</v>
      </c>
      <c r="G682" s="1">
        <v>78415.86</v>
      </c>
      <c r="H682" t="s">
        <v>1080</v>
      </c>
      <c r="J682" s="18" t="s">
        <v>4327</v>
      </c>
    </row>
    <row r="683" spans="3:10" x14ac:dyDescent="0.25">
      <c r="C683" s="17" t="str">
        <f t="shared" si="11"/>
        <v>28.801011.-847527.1383..CLEAR SCHEDULE.</v>
      </c>
      <c r="E683">
        <v>28</v>
      </c>
      <c r="F683">
        <v>801011</v>
      </c>
      <c r="G683" s="2">
        <v>-8475.27</v>
      </c>
      <c r="H683" t="s">
        <v>1081</v>
      </c>
      <c r="J683" s="18" t="s">
        <v>4327</v>
      </c>
    </row>
    <row r="684" spans="3:10" x14ac:dyDescent="0.25">
      <c r="C684" s="17" t="str">
        <f t="shared" si="11"/>
        <v>28.801011.-22954.1384..CLEAR SCHEDULE.</v>
      </c>
      <c r="E684">
        <v>28</v>
      </c>
      <c r="F684">
        <v>801011</v>
      </c>
      <c r="G684" s="1">
        <v>-229.54</v>
      </c>
      <c r="H684" t="s">
        <v>1082</v>
      </c>
      <c r="J684" s="18" t="s">
        <v>4327</v>
      </c>
    </row>
    <row r="685" spans="3:10" x14ac:dyDescent="0.25">
      <c r="C685" s="17" t="str">
        <f t="shared" si="11"/>
        <v>28.801011.-106013.1385..CLEAR SCHEDULE.</v>
      </c>
      <c r="E685">
        <v>28</v>
      </c>
      <c r="F685">
        <v>801011</v>
      </c>
      <c r="G685" s="2">
        <v>-1060.1300000000001</v>
      </c>
      <c r="H685" t="s">
        <v>1083</v>
      </c>
      <c r="J685" s="18" t="s">
        <v>4327</v>
      </c>
    </row>
    <row r="686" spans="3:10" x14ac:dyDescent="0.25">
      <c r="C686" s="17" t="str">
        <f t="shared" si="11"/>
        <v>28.801011.-76253.1386..CLEAR SCHEDULE.</v>
      </c>
      <c r="E686">
        <v>28</v>
      </c>
      <c r="F686">
        <v>801011</v>
      </c>
      <c r="G686" s="1">
        <v>-762.53</v>
      </c>
      <c r="H686" t="s">
        <v>1084</v>
      </c>
      <c r="J686" s="18" t="s">
        <v>4327</v>
      </c>
    </row>
    <row r="687" spans="3:10" x14ac:dyDescent="0.25">
      <c r="C687" s="17" t="str">
        <f t="shared" si="11"/>
        <v>28.801011.-51959.1387..CLEAR SCHEDULE.</v>
      </c>
      <c r="E687">
        <v>28</v>
      </c>
      <c r="F687">
        <v>801011</v>
      </c>
      <c r="G687" s="2">
        <v>-519.59</v>
      </c>
      <c r="H687" t="s">
        <v>1085</v>
      </c>
      <c r="J687" s="18" t="s">
        <v>4327</v>
      </c>
    </row>
    <row r="688" spans="3:10" x14ac:dyDescent="0.25">
      <c r="C688" s="17" t="str">
        <f t="shared" si="11"/>
        <v>28.801011.-1778218.1388..CLEAR SCHEDULE.</v>
      </c>
      <c r="E688">
        <v>28</v>
      </c>
      <c r="F688">
        <v>801011</v>
      </c>
      <c r="G688" s="1">
        <v>-17782.18</v>
      </c>
      <c r="H688" t="s">
        <v>1086</v>
      </c>
      <c r="J688" s="18" t="s">
        <v>4327</v>
      </c>
    </row>
    <row r="689" spans="3:10" x14ac:dyDescent="0.25">
      <c r="C689" s="17" t="str">
        <f t="shared" si="11"/>
        <v>28.801011.-301078.1389..CLEAR SCHEDULE.</v>
      </c>
      <c r="E689">
        <v>28</v>
      </c>
      <c r="F689">
        <v>801011</v>
      </c>
      <c r="G689" s="2">
        <v>-3010.78</v>
      </c>
      <c r="H689" t="s">
        <v>1087</v>
      </c>
      <c r="J689" s="18" t="s">
        <v>4327</v>
      </c>
    </row>
    <row r="690" spans="3:10" x14ac:dyDescent="0.25">
      <c r="C690" s="17" t="str">
        <f t="shared" si="11"/>
        <v>28.801011.-24367323.1390..CLEAR SCHEDULE.</v>
      </c>
      <c r="E690">
        <v>28</v>
      </c>
      <c r="F690">
        <v>801011</v>
      </c>
      <c r="G690" s="1">
        <v>-243673.23</v>
      </c>
      <c r="H690" t="s">
        <v>1088</v>
      </c>
      <c r="J690" s="18" t="s">
        <v>4327</v>
      </c>
    </row>
    <row r="691" spans="3:10" x14ac:dyDescent="0.25">
      <c r="C691" s="17" t="str">
        <f t="shared" si="11"/>
        <v>28.801011.-50801.1391..CLEAR SCHEDULE.</v>
      </c>
      <c r="E691">
        <v>28</v>
      </c>
      <c r="F691">
        <v>801011</v>
      </c>
      <c r="G691" s="2">
        <v>-508.01</v>
      </c>
      <c r="H691" t="s">
        <v>1089</v>
      </c>
      <c r="J691" s="18" t="s">
        <v>4327</v>
      </c>
    </row>
    <row r="692" spans="3:10" x14ac:dyDescent="0.25">
      <c r="C692" s="17" t="str">
        <f t="shared" si="11"/>
        <v>28.801011.34108644.1392..CLEAR SCHEDULE.</v>
      </c>
      <c r="E692">
        <v>28</v>
      </c>
      <c r="F692">
        <v>801011</v>
      </c>
      <c r="G692" s="1">
        <v>341086.44</v>
      </c>
      <c r="H692" t="s">
        <v>1090</v>
      </c>
      <c r="J692" s="18" t="s">
        <v>4327</v>
      </c>
    </row>
    <row r="693" spans="3:10" x14ac:dyDescent="0.25">
      <c r="C693" s="17" t="str">
        <f t="shared" si="11"/>
        <v>28.801011.-2003448.1393..CLEAR SCHEDULE.</v>
      </c>
      <c r="E693">
        <v>28</v>
      </c>
      <c r="F693">
        <v>801011</v>
      </c>
      <c r="G693" s="2">
        <v>-20034.48</v>
      </c>
      <c r="H693" t="s">
        <v>1091</v>
      </c>
      <c r="J693" s="18" t="s">
        <v>4327</v>
      </c>
    </row>
    <row r="694" spans="3:10" x14ac:dyDescent="0.25">
      <c r="C694" s="17" t="str">
        <f t="shared" si="11"/>
        <v>28.801011.-3842289.1394..CLEAR SCHEDULE.</v>
      </c>
      <c r="E694">
        <v>28</v>
      </c>
      <c r="F694">
        <v>801011</v>
      </c>
      <c r="G694" s="1">
        <v>-38422.89</v>
      </c>
      <c r="H694" t="s">
        <v>1092</v>
      </c>
      <c r="J694" s="18" t="s">
        <v>4327</v>
      </c>
    </row>
    <row r="695" spans="3:10" x14ac:dyDescent="0.25">
      <c r="C695" s="17" t="str">
        <f t="shared" si="11"/>
        <v>28.801011.-1004003.1395..CLEAR SCHEDULE.</v>
      </c>
      <c r="E695">
        <v>28</v>
      </c>
      <c r="F695">
        <v>801011</v>
      </c>
      <c r="G695" s="2">
        <v>-10040.030000000001</v>
      </c>
      <c r="H695" t="s">
        <v>1093</v>
      </c>
      <c r="J695" s="18" t="s">
        <v>4327</v>
      </c>
    </row>
    <row r="696" spans="3:10" x14ac:dyDescent="0.25">
      <c r="C696" s="17" t="str">
        <f t="shared" si="11"/>
        <v>28.801011.8566108.1396..CLEAR SCHEDULE.</v>
      </c>
      <c r="E696">
        <v>28</v>
      </c>
      <c r="F696">
        <v>801011</v>
      </c>
      <c r="G696" s="1">
        <v>85661.08</v>
      </c>
      <c r="H696" t="s">
        <v>1094</v>
      </c>
      <c r="J696" s="18" t="s">
        <v>4327</v>
      </c>
    </row>
    <row r="697" spans="3:10" x14ac:dyDescent="0.25">
      <c r="C697" s="17" t="str">
        <f t="shared" si="11"/>
        <v>28.801011.-139058.1397..CLEAR SCHEDULE.</v>
      </c>
      <c r="E697">
        <v>28</v>
      </c>
      <c r="F697">
        <v>801011</v>
      </c>
      <c r="G697" s="2">
        <v>-1390.58</v>
      </c>
      <c r="H697" t="s">
        <v>1095</v>
      </c>
      <c r="J697" s="18" t="s">
        <v>4327</v>
      </c>
    </row>
    <row r="698" spans="3:10" x14ac:dyDescent="0.25">
      <c r="C698" s="17" t="str">
        <f t="shared" si="11"/>
        <v>28.801011.-64411.1398..CLEAR SCHEDULE.</v>
      </c>
      <c r="E698">
        <v>28</v>
      </c>
      <c r="F698">
        <v>801011</v>
      </c>
      <c r="G698" s="1">
        <v>-644.11</v>
      </c>
      <c r="H698" t="s">
        <v>1096</v>
      </c>
      <c r="J698" s="18" t="s">
        <v>4327</v>
      </c>
    </row>
    <row r="699" spans="3:10" x14ac:dyDescent="0.25">
      <c r="C699" s="17" t="str">
        <f t="shared" si="11"/>
        <v>28.801011.-113017.1399..CLEAR SCHEDULE.</v>
      </c>
      <c r="E699">
        <v>28</v>
      </c>
      <c r="F699">
        <v>801011</v>
      </c>
      <c r="G699" s="2">
        <v>-1130.17</v>
      </c>
      <c r="H699" t="s">
        <v>1097</v>
      </c>
      <c r="J699" s="18" t="s">
        <v>4327</v>
      </c>
    </row>
    <row r="700" spans="3:10" x14ac:dyDescent="0.25">
      <c r="C700" s="17" t="str">
        <f t="shared" si="11"/>
        <v>28.801011.-400000.1400..CLEAR SCHEDULE.</v>
      </c>
      <c r="E700">
        <v>28</v>
      </c>
      <c r="F700">
        <v>801011</v>
      </c>
      <c r="G700" s="1">
        <v>-4000</v>
      </c>
      <c r="H700" t="s">
        <v>1098</v>
      </c>
      <c r="J700" s="18" t="s">
        <v>4327</v>
      </c>
    </row>
    <row r="701" spans="3:10" x14ac:dyDescent="0.25">
      <c r="C701" s="17" t="str">
        <f t="shared" si="11"/>
        <v>28.801011.-66180.1401..CLEAR SCHEDULE.</v>
      </c>
      <c r="E701">
        <v>28</v>
      </c>
      <c r="F701">
        <v>801011</v>
      </c>
      <c r="G701" s="2">
        <v>-661.8</v>
      </c>
      <c r="H701" t="s">
        <v>1099</v>
      </c>
      <c r="J701" s="18" t="s">
        <v>4327</v>
      </c>
    </row>
    <row r="702" spans="3:10" x14ac:dyDescent="0.25">
      <c r="C702" s="17" t="str">
        <f t="shared" si="11"/>
        <v>28.801011.-4800427.1402..CLEAR SCHEDULE.</v>
      </c>
      <c r="E702">
        <v>28</v>
      </c>
      <c r="F702">
        <v>801011</v>
      </c>
      <c r="G702" s="1">
        <v>-48004.27</v>
      </c>
      <c r="H702" t="s">
        <v>1100</v>
      </c>
      <c r="J702" s="18" t="s">
        <v>4327</v>
      </c>
    </row>
    <row r="703" spans="3:10" x14ac:dyDescent="0.25">
      <c r="C703" s="17" t="str">
        <f t="shared" si="11"/>
        <v>28.801011.-138068.1403..CLEAR SCHEDULE.</v>
      </c>
      <c r="E703">
        <v>28</v>
      </c>
      <c r="F703">
        <v>801011</v>
      </c>
      <c r="G703" s="2">
        <v>-1380.68</v>
      </c>
      <c r="H703" t="s">
        <v>1101</v>
      </c>
      <c r="J703" s="18" t="s">
        <v>4327</v>
      </c>
    </row>
    <row r="704" spans="3:10" x14ac:dyDescent="0.25">
      <c r="C704" s="17" t="str">
        <f t="shared" si="11"/>
        <v>28.801011.-1003885.1404..CLEAR SCHEDULE.</v>
      </c>
      <c r="E704">
        <v>28</v>
      </c>
      <c r="F704">
        <v>801011</v>
      </c>
      <c r="G704" s="1">
        <v>-10038.85</v>
      </c>
      <c r="H704" t="s">
        <v>1102</v>
      </c>
      <c r="J704" s="18" t="s">
        <v>4327</v>
      </c>
    </row>
    <row r="705" spans="3:10" x14ac:dyDescent="0.25">
      <c r="C705" s="17" t="str">
        <f t="shared" si="11"/>
        <v>28.801011.-2819751.1405..CLEAR SCHEDULE.</v>
      </c>
      <c r="E705">
        <v>28</v>
      </c>
      <c r="F705">
        <v>801011</v>
      </c>
      <c r="G705" s="2">
        <v>-28197.51</v>
      </c>
      <c r="H705" t="s">
        <v>1103</v>
      </c>
      <c r="J705" s="18" t="s">
        <v>4327</v>
      </c>
    </row>
    <row r="706" spans="3:10" x14ac:dyDescent="0.25">
      <c r="C706" s="17" t="str">
        <f t="shared" si="11"/>
        <v>28.801011.-3978861.1406..CLEAR SCHEDULE.</v>
      </c>
      <c r="E706">
        <v>28</v>
      </c>
      <c r="F706">
        <v>801011</v>
      </c>
      <c r="G706" s="1">
        <v>-39788.61</v>
      </c>
      <c r="H706" t="s">
        <v>1104</v>
      </c>
      <c r="J706" s="18" t="s">
        <v>4327</v>
      </c>
    </row>
    <row r="707" spans="3:10" x14ac:dyDescent="0.25">
      <c r="C707" s="17" t="str">
        <f t="shared" si="11"/>
        <v>28.801011.-3933500.1407..CLEAR SCHEDULE.</v>
      </c>
      <c r="E707">
        <v>28</v>
      </c>
      <c r="F707">
        <v>801011</v>
      </c>
      <c r="G707" s="2">
        <v>-39335</v>
      </c>
      <c r="H707" t="s">
        <v>1105</v>
      </c>
      <c r="J707" s="18" t="s">
        <v>4327</v>
      </c>
    </row>
    <row r="708" spans="3:10" x14ac:dyDescent="0.25">
      <c r="C708" s="17" t="str">
        <f t="shared" si="11"/>
        <v>28.801011.-20680.1408..CLEAR SCHEDULE.</v>
      </c>
      <c r="E708">
        <v>28</v>
      </c>
      <c r="F708">
        <v>801011</v>
      </c>
      <c r="G708" s="1">
        <v>-206.8</v>
      </c>
      <c r="H708" t="s">
        <v>1106</v>
      </c>
      <c r="J708" s="18" t="s">
        <v>4327</v>
      </c>
    </row>
    <row r="709" spans="3:10" x14ac:dyDescent="0.25">
      <c r="C709" s="17" t="str">
        <f t="shared" si="11"/>
        <v>28.801011.-6726.1409..CLEAR SCHEDULE.</v>
      </c>
      <c r="E709">
        <v>28</v>
      </c>
      <c r="F709">
        <v>801011</v>
      </c>
      <c r="G709" s="2">
        <v>-67.260000000000005</v>
      </c>
      <c r="H709" t="s">
        <v>1107</v>
      </c>
      <c r="J709" s="18" t="s">
        <v>4327</v>
      </c>
    </row>
    <row r="710" spans="3:10" x14ac:dyDescent="0.25">
      <c r="C710" s="17" t="str">
        <f t="shared" si="11"/>
        <v>28.801011.-50589.1410..CLEAR SCHEDULE.</v>
      </c>
      <c r="E710">
        <v>28</v>
      </c>
      <c r="F710">
        <v>801011</v>
      </c>
      <c r="G710" s="1">
        <v>-505.89</v>
      </c>
      <c r="H710" t="s">
        <v>1108</v>
      </c>
      <c r="J710" s="18" t="s">
        <v>4327</v>
      </c>
    </row>
    <row r="711" spans="3:10" x14ac:dyDescent="0.25">
      <c r="C711" s="17" t="str">
        <f t="shared" si="11"/>
        <v>28.801011.-56221.1411..CLEAR SCHEDULE.</v>
      </c>
      <c r="E711">
        <v>28</v>
      </c>
      <c r="F711">
        <v>801011</v>
      </c>
      <c r="G711" s="2">
        <v>-562.21</v>
      </c>
      <c r="H711" t="s">
        <v>1109</v>
      </c>
      <c r="J711" s="18" t="s">
        <v>4327</v>
      </c>
    </row>
    <row r="712" spans="3:10" x14ac:dyDescent="0.25">
      <c r="C712" s="17" t="str">
        <f t="shared" si="11"/>
        <v>28.801011.-14783.1412..CLEAR SCHEDULE.</v>
      </c>
      <c r="E712">
        <v>28</v>
      </c>
      <c r="F712">
        <v>801011</v>
      </c>
      <c r="G712" s="1">
        <v>-147.83000000000001</v>
      </c>
      <c r="H712" t="s">
        <v>1110</v>
      </c>
      <c r="J712" s="18" t="s">
        <v>4327</v>
      </c>
    </row>
    <row r="713" spans="3:10" x14ac:dyDescent="0.25">
      <c r="C713" s="17" t="str">
        <f t="shared" si="11"/>
        <v>28.801011.-50801.1413..CLEAR SCHEDULE.</v>
      </c>
      <c r="E713">
        <v>28</v>
      </c>
      <c r="F713">
        <v>801011</v>
      </c>
      <c r="G713" s="2">
        <v>-508.01</v>
      </c>
      <c r="H713" t="s">
        <v>1111</v>
      </c>
      <c r="J713" s="18" t="s">
        <v>4327</v>
      </c>
    </row>
    <row r="714" spans="3:10" x14ac:dyDescent="0.25">
      <c r="C714" s="17" t="str">
        <f t="shared" si="11"/>
        <v>28.801011.-14264.1414..CLEAR SCHEDULE.</v>
      </c>
      <c r="E714">
        <v>28</v>
      </c>
      <c r="F714">
        <v>801011</v>
      </c>
      <c r="G714" s="1">
        <v>-142.63999999999999</v>
      </c>
      <c r="H714" t="s">
        <v>1112</v>
      </c>
      <c r="J714" s="18" t="s">
        <v>4327</v>
      </c>
    </row>
    <row r="715" spans="3:10" x14ac:dyDescent="0.25">
      <c r="C715" s="17" t="str">
        <f t="shared" ref="C715:C778" si="12">IF(G715=0,"",(E715&amp;"."&amp;F715&amp;"."&amp;G715*100&amp;"."&amp;H715&amp;"."&amp;I715&amp;"."&amp;J715&amp;"."&amp;K715))</f>
        <v>28.801011.-61935.1415..CLEAR SCHEDULE.</v>
      </c>
      <c r="E715">
        <v>28</v>
      </c>
      <c r="F715">
        <v>801011</v>
      </c>
      <c r="G715" s="2">
        <v>-619.35</v>
      </c>
      <c r="H715" t="s">
        <v>1113</v>
      </c>
      <c r="J715" s="18" t="s">
        <v>4327</v>
      </c>
    </row>
    <row r="716" spans="3:10" x14ac:dyDescent="0.25">
      <c r="C716" s="17" t="str">
        <f t="shared" si="12"/>
        <v>28.801011.-6300.1416..CLEAR SCHEDULE.</v>
      </c>
      <c r="E716">
        <v>28</v>
      </c>
      <c r="F716">
        <v>801011</v>
      </c>
      <c r="G716" s="1">
        <v>-63</v>
      </c>
      <c r="H716" t="s">
        <v>1114</v>
      </c>
      <c r="J716" s="18" t="s">
        <v>4327</v>
      </c>
    </row>
    <row r="717" spans="3:10" x14ac:dyDescent="0.25">
      <c r="C717" s="17" t="str">
        <f t="shared" si="12"/>
        <v>28.801011.-10131.1417..CLEAR SCHEDULE.</v>
      </c>
      <c r="E717">
        <v>28</v>
      </c>
      <c r="F717">
        <v>801011</v>
      </c>
      <c r="G717" s="2">
        <v>-101.31</v>
      </c>
      <c r="H717" t="s">
        <v>1115</v>
      </c>
      <c r="J717" s="18" t="s">
        <v>4327</v>
      </c>
    </row>
    <row r="718" spans="3:10" x14ac:dyDescent="0.25">
      <c r="C718" s="17" t="str">
        <f t="shared" si="12"/>
        <v>28.801011.-10980.1418..CLEAR SCHEDULE.</v>
      </c>
      <c r="E718">
        <v>28</v>
      </c>
      <c r="F718">
        <v>801011</v>
      </c>
      <c r="G718" s="1">
        <v>-109.8</v>
      </c>
      <c r="H718" t="s">
        <v>1116</v>
      </c>
      <c r="J718" s="18" t="s">
        <v>4327</v>
      </c>
    </row>
    <row r="719" spans="3:10" x14ac:dyDescent="0.25">
      <c r="C719" s="17" t="str">
        <f t="shared" si="12"/>
        <v>28.801011.-50000.1419..CLEAR SCHEDULE.</v>
      </c>
      <c r="E719">
        <v>28</v>
      </c>
      <c r="F719">
        <v>801011</v>
      </c>
      <c r="G719" s="2">
        <v>-500</v>
      </c>
      <c r="H719" t="s">
        <v>1117</v>
      </c>
      <c r="J719" s="18" t="s">
        <v>4327</v>
      </c>
    </row>
    <row r="720" spans="3:10" x14ac:dyDescent="0.25">
      <c r="C720" s="17" t="str">
        <f t="shared" si="12"/>
        <v>28.801011.-3000000.1420..CLEAR SCHEDULE.</v>
      </c>
      <c r="E720">
        <v>28</v>
      </c>
      <c r="F720">
        <v>801011</v>
      </c>
      <c r="G720" s="1">
        <v>-30000</v>
      </c>
      <c r="H720" t="s">
        <v>1118</v>
      </c>
      <c r="J720" s="18" t="s">
        <v>4327</v>
      </c>
    </row>
    <row r="721" spans="3:10" x14ac:dyDescent="0.25">
      <c r="C721" s="17" t="str">
        <f t="shared" si="12"/>
        <v>28.801011.1258668.1421..CLEAR SCHEDULE.</v>
      </c>
      <c r="E721">
        <v>28</v>
      </c>
      <c r="F721">
        <v>801011</v>
      </c>
      <c r="G721" s="2">
        <v>12586.68</v>
      </c>
      <c r="H721" t="s">
        <v>1119</v>
      </c>
      <c r="J721" s="18" t="s">
        <v>4327</v>
      </c>
    </row>
    <row r="722" spans="3:10" x14ac:dyDescent="0.25">
      <c r="C722" s="17" t="str">
        <f t="shared" si="12"/>
        <v>28.801011.-1477000.1422..CLEAR SCHEDULE.</v>
      </c>
      <c r="E722">
        <v>28</v>
      </c>
      <c r="F722">
        <v>801011</v>
      </c>
      <c r="G722" s="1">
        <v>-14770</v>
      </c>
      <c r="H722" t="s">
        <v>1120</v>
      </c>
      <c r="J722" s="18" t="s">
        <v>4327</v>
      </c>
    </row>
    <row r="723" spans="3:10" x14ac:dyDescent="0.25">
      <c r="C723" s="17" t="str">
        <f t="shared" si="12"/>
        <v>28.801011.-140379.1423..CLEAR SCHEDULE.</v>
      </c>
      <c r="E723">
        <v>28</v>
      </c>
      <c r="F723">
        <v>801011</v>
      </c>
      <c r="G723" s="2">
        <v>-1403.79</v>
      </c>
      <c r="H723" t="s">
        <v>1121</v>
      </c>
      <c r="J723" s="18" t="s">
        <v>4327</v>
      </c>
    </row>
    <row r="724" spans="3:10" x14ac:dyDescent="0.25">
      <c r="C724" s="17" t="str">
        <f t="shared" si="12"/>
        <v>28.801011.-1251707.1424..CLEAR SCHEDULE.</v>
      </c>
      <c r="E724">
        <v>28</v>
      </c>
      <c r="F724">
        <v>801011</v>
      </c>
      <c r="G724" s="1">
        <v>-12517.07</v>
      </c>
      <c r="H724" t="s">
        <v>1122</v>
      </c>
      <c r="J724" s="18" t="s">
        <v>4327</v>
      </c>
    </row>
    <row r="725" spans="3:10" x14ac:dyDescent="0.25">
      <c r="C725" s="17" t="str">
        <f t="shared" si="12"/>
        <v>28.801011.-712623.1425..CLEAR SCHEDULE.</v>
      </c>
      <c r="E725">
        <v>28</v>
      </c>
      <c r="F725">
        <v>801011</v>
      </c>
      <c r="G725" s="2">
        <v>-7126.23</v>
      </c>
      <c r="H725" t="s">
        <v>1123</v>
      </c>
      <c r="J725" s="18" t="s">
        <v>4327</v>
      </c>
    </row>
    <row r="726" spans="3:10" x14ac:dyDescent="0.25">
      <c r="C726" s="17" t="str">
        <f t="shared" si="12"/>
        <v>28.801011.6522883.1426..CLEAR SCHEDULE.</v>
      </c>
      <c r="E726">
        <v>28</v>
      </c>
      <c r="F726">
        <v>801011</v>
      </c>
      <c r="G726" s="1">
        <v>65228.83</v>
      </c>
      <c r="H726" t="s">
        <v>1124</v>
      </c>
      <c r="J726" s="18" t="s">
        <v>4327</v>
      </c>
    </row>
    <row r="727" spans="3:10" x14ac:dyDescent="0.25">
      <c r="C727" s="17" t="str">
        <f t="shared" si="12"/>
        <v>28.801011.-404057.1427..CLEAR SCHEDULE.</v>
      </c>
      <c r="E727">
        <v>28</v>
      </c>
      <c r="F727">
        <v>801011</v>
      </c>
      <c r="G727" s="2">
        <v>-4040.57</v>
      </c>
      <c r="H727" t="s">
        <v>1125</v>
      </c>
      <c r="J727" s="18" t="s">
        <v>4327</v>
      </c>
    </row>
    <row r="728" spans="3:10" x14ac:dyDescent="0.25">
      <c r="C728" s="17" t="str">
        <f t="shared" si="12"/>
        <v>28.801011.48510.1428..CLEAR SCHEDULE.</v>
      </c>
      <c r="E728">
        <v>28</v>
      </c>
      <c r="F728">
        <v>801011</v>
      </c>
      <c r="G728" s="1">
        <v>485.1</v>
      </c>
      <c r="H728" t="s">
        <v>1126</v>
      </c>
      <c r="J728" s="18" t="s">
        <v>4327</v>
      </c>
    </row>
    <row r="729" spans="3:10" x14ac:dyDescent="0.25">
      <c r="C729" s="17" t="str">
        <f t="shared" si="12"/>
        <v>28.801011.-19790000.1429..CLEAR SCHEDULE.</v>
      </c>
      <c r="E729">
        <v>28</v>
      </c>
      <c r="F729">
        <v>801011</v>
      </c>
      <c r="G729" s="2">
        <v>-197900</v>
      </c>
      <c r="H729" t="s">
        <v>1127</v>
      </c>
      <c r="J729" s="18" t="s">
        <v>4327</v>
      </c>
    </row>
    <row r="730" spans="3:10" x14ac:dyDescent="0.25">
      <c r="C730" s="17" t="str">
        <f t="shared" si="12"/>
        <v>28.801011.-5100623.1430..CLEAR SCHEDULE.</v>
      </c>
      <c r="E730">
        <v>28</v>
      </c>
      <c r="F730">
        <v>801011</v>
      </c>
      <c r="G730" s="1">
        <v>-51006.23</v>
      </c>
      <c r="H730" t="s">
        <v>1128</v>
      </c>
      <c r="J730" s="18" t="s">
        <v>4327</v>
      </c>
    </row>
    <row r="731" spans="3:10" x14ac:dyDescent="0.25">
      <c r="C731" s="17" t="str">
        <f t="shared" si="12"/>
        <v>28.801011.-1000602.1431..CLEAR SCHEDULE.</v>
      </c>
      <c r="E731">
        <v>28</v>
      </c>
      <c r="F731">
        <v>801011</v>
      </c>
      <c r="G731" s="2">
        <v>-10006.02</v>
      </c>
      <c r="H731" t="s">
        <v>1129</v>
      </c>
      <c r="J731" s="18" t="s">
        <v>4327</v>
      </c>
    </row>
    <row r="732" spans="3:10" x14ac:dyDescent="0.25">
      <c r="C732" s="17" t="str">
        <f t="shared" si="12"/>
        <v>28.801011.-500887.1432..CLEAR SCHEDULE.</v>
      </c>
      <c r="E732">
        <v>28</v>
      </c>
      <c r="F732">
        <v>801011</v>
      </c>
      <c r="G732" s="1">
        <v>-5008.87</v>
      </c>
      <c r="H732" t="s">
        <v>1130</v>
      </c>
      <c r="J732" s="18" t="s">
        <v>4327</v>
      </c>
    </row>
    <row r="733" spans="3:10" x14ac:dyDescent="0.25">
      <c r="C733" s="17" t="str">
        <f t="shared" si="12"/>
        <v>28.801011.-318204.1433..CLEAR SCHEDULE.</v>
      </c>
      <c r="E733">
        <v>28</v>
      </c>
      <c r="F733">
        <v>801011</v>
      </c>
      <c r="G733" s="2">
        <v>-3182.04</v>
      </c>
      <c r="H733" t="s">
        <v>1131</v>
      </c>
      <c r="J733" s="18" t="s">
        <v>4327</v>
      </c>
    </row>
    <row r="734" spans="3:10" x14ac:dyDescent="0.25">
      <c r="C734" s="17" t="str">
        <f t="shared" si="12"/>
        <v>28.801011.-1900000.1434..CLEAR SCHEDULE.</v>
      </c>
      <c r="E734">
        <v>28</v>
      </c>
      <c r="F734">
        <v>801011</v>
      </c>
      <c r="G734" s="1">
        <v>-19000</v>
      </c>
      <c r="H734" t="s">
        <v>1132</v>
      </c>
      <c r="J734" s="18" t="s">
        <v>4327</v>
      </c>
    </row>
    <row r="735" spans="3:10" x14ac:dyDescent="0.25">
      <c r="C735" s="17" t="str">
        <f t="shared" si="12"/>
        <v>28.801011.-1205662.1435..CLEAR SCHEDULE.</v>
      </c>
      <c r="E735">
        <v>28</v>
      </c>
      <c r="F735">
        <v>801011</v>
      </c>
      <c r="G735" s="2">
        <v>-12056.62</v>
      </c>
      <c r="H735" t="s">
        <v>1133</v>
      </c>
      <c r="J735" s="18" t="s">
        <v>4327</v>
      </c>
    </row>
    <row r="736" spans="3:10" x14ac:dyDescent="0.25">
      <c r="C736" s="17" t="str">
        <f t="shared" si="12"/>
        <v>28.801011.-5926137.1436..CLEAR SCHEDULE.</v>
      </c>
      <c r="E736">
        <v>28</v>
      </c>
      <c r="F736">
        <v>801011</v>
      </c>
      <c r="G736" s="1">
        <v>-59261.37</v>
      </c>
      <c r="H736" t="s">
        <v>1134</v>
      </c>
      <c r="J736" s="18" t="s">
        <v>4327</v>
      </c>
    </row>
    <row r="737" spans="3:10" x14ac:dyDescent="0.25">
      <c r="C737" s="17" t="str">
        <f t="shared" si="12"/>
        <v>28.801011.-5936429.1437..CLEAR SCHEDULE.</v>
      </c>
      <c r="E737">
        <v>28</v>
      </c>
      <c r="F737">
        <v>801011</v>
      </c>
      <c r="G737" s="2">
        <v>-59364.29</v>
      </c>
      <c r="H737" t="s">
        <v>1135</v>
      </c>
      <c r="J737" s="18" t="s">
        <v>4327</v>
      </c>
    </row>
    <row r="738" spans="3:10" x14ac:dyDescent="0.25">
      <c r="C738" s="17" t="str">
        <f t="shared" si="12"/>
        <v>28.801011.32778707.1438..CLEAR SCHEDULE.</v>
      </c>
      <c r="E738">
        <v>28</v>
      </c>
      <c r="F738">
        <v>801011</v>
      </c>
      <c r="G738" s="1">
        <v>327787.07</v>
      </c>
      <c r="H738" t="s">
        <v>1136</v>
      </c>
      <c r="J738" s="18" t="s">
        <v>4327</v>
      </c>
    </row>
    <row r="739" spans="3:10" x14ac:dyDescent="0.25">
      <c r="C739" s="17" t="str">
        <f t="shared" si="12"/>
        <v>28.801011.-52978.1439..CLEAR SCHEDULE.</v>
      </c>
      <c r="E739">
        <v>28</v>
      </c>
      <c r="F739">
        <v>801011</v>
      </c>
      <c r="G739" s="2">
        <v>-529.78</v>
      </c>
      <c r="H739" t="s">
        <v>1137</v>
      </c>
      <c r="J739" s="18" t="s">
        <v>4327</v>
      </c>
    </row>
    <row r="740" spans="3:10" x14ac:dyDescent="0.25">
      <c r="C740" s="17" t="str">
        <f t="shared" si="12"/>
        <v>28.801011.14298850.1440..CLEAR SCHEDULE.</v>
      </c>
      <c r="E740">
        <v>28</v>
      </c>
      <c r="F740">
        <v>801011</v>
      </c>
      <c r="G740" s="1">
        <v>142988.5</v>
      </c>
      <c r="H740" t="s">
        <v>1138</v>
      </c>
      <c r="J740" s="18" t="s">
        <v>4327</v>
      </c>
    </row>
    <row r="741" spans="3:10" x14ac:dyDescent="0.25">
      <c r="C741" s="17" t="str">
        <f t="shared" si="12"/>
        <v>28.801011.-1663421.1441..CLEAR SCHEDULE.</v>
      </c>
      <c r="E741">
        <v>28</v>
      </c>
      <c r="F741">
        <v>801011</v>
      </c>
      <c r="G741" s="2">
        <v>-16634.21</v>
      </c>
      <c r="H741" t="s">
        <v>1139</v>
      </c>
      <c r="J741" s="18" t="s">
        <v>4327</v>
      </c>
    </row>
    <row r="742" spans="3:10" x14ac:dyDescent="0.25">
      <c r="C742" s="17" t="str">
        <f t="shared" si="12"/>
        <v>28.801011.-134462.1442..CLEAR SCHEDULE.</v>
      </c>
      <c r="E742">
        <v>28</v>
      </c>
      <c r="F742">
        <v>801011</v>
      </c>
      <c r="G742" s="1">
        <v>-1344.62</v>
      </c>
      <c r="H742" t="s">
        <v>1140</v>
      </c>
      <c r="J742" s="18" t="s">
        <v>4327</v>
      </c>
    </row>
    <row r="743" spans="3:10" x14ac:dyDescent="0.25">
      <c r="C743" s="17" t="str">
        <f t="shared" si="12"/>
        <v>28.801011.3147091.1443..CLEAR SCHEDULE.</v>
      </c>
      <c r="E743">
        <v>28</v>
      </c>
      <c r="F743">
        <v>801011</v>
      </c>
      <c r="G743" s="2">
        <v>31470.91</v>
      </c>
      <c r="H743" t="s">
        <v>1141</v>
      </c>
      <c r="J743" s="18" t="s">
        <v>4327</v>
      </c>
    </row>
    <row r="744" spans="3:10" x14ac:dyDescent="0.25">
      <c r="C744" s="17" t="str">
        <f t="shared" si="12"/>
        <v>28.801011.-2044101.1444..CLEAR SCHEDULE.</v>
      </c>
      <c r="E744">
        <v>28</v>
      </c>
      <c r="F744">
        <v>801011</v>
      </c>
      <c r="G744" s="1">
        <v>-20441.009999999998</v>
      </c>
      <c r="H744" t="s">
        <v>1142</v>
      </c>
      <c r="J744" s="18" t="s">
        <v>4327</v>
      </c>
    </row>
    <row r="745" spans="3:10" x14ac:dyDescent="0.25">
      <c r="C745" s="17" t="str">
        <f t="shared" si="12"/>
        <v>28.801011.-272527.1445..CLEAR SCHEDULE.</v>
      </c>
      <c r="E745">
        <v>28</v>
      </c>
      <c r="F745">
        <v>801011</v>
      </c>
      <c r="G745" s="2">
        <v>-2725.27</v>
      </c>
      <c r="H745" t="s">
        <v>1143</v>
      </c>
      <c r="J745" s="18" t="s">
        <v>4327</v>
      </c>
    </row>
    <row r="746" spans="3:10" x14ac:dyDescent="0.25">
      <c r="C746" s="17" t="str">
        <f t="shared" si="12"/>
        <v>28.801011.-601189.1446..CLEAR SCHEDULE.</v>
      </c>
      <c r="E746">
        <v>28</v>
      </c>
      <c r="F746">
        <v>801011</v>
      </c>
      <c r="G746" s="1">
        <v>-6011.89</v>
      </c>
      <c r="H746" t="s">
        <v>1144</v>
      </c>
      <c r="J746" s="18" t="s">
        <v>4327</v>
      </c>
    </row>
    <row r="747" spans="3:10" x14ac:dyDescent="0.25">
      <c r="C747" s="17" t="str">
        <f t="shared" si="12"/>
        <v>28.801011.-54558.1447..CLEAR SCHEDULE.</v>
      </c>
      <c r="E747">
        <v>28</v>
      </c>
      <c r="F747">
        <v>801011</v>
      </c>
      <c r="G747" s="2">
        <v>-545.58000000000004</v>
      </c>
      <c r="H747" t="s">
        <v>1145</v>
      </c>
      <c r="J747" s="18" t="s">
        <v>4327</v>
      </c>
    </row>
    <row r="748" spans="3:10" x14ac:dyDescent="0.25">
      <c r="C748" s="17" t="str">
        <f t="shared" si="12"/>
        <v>28.801011.4304562.1448..CLEAR SCHEDULE.</v>
      </c>
      <c r="E748">
        <v>28</v>
      </c>
      <c r="F748">
        <v>801011</v>
      </c>
      <c r="G748" s="1">
        <v>43045.62</v>
      </c>
      <c r="H748" t="s">
        <v>1146</v>
      </c>
      <c r="J748" s="18" t="s">
        <v>4327</v>
      </c>
    </row>
    <row r="749" spans="3:10" x14ac:dyDescent="0.25">
      <c r="C749" s="17" t="str">
        <f t="shared" si="12"/>
        <v>28.801011.-3625268.1449..CLEAR SCHEDULE.</v>
      </c>
      <c r="E749">
        <v>28</v>
      </c>
      <c r="F749">
        <v>801011</v>
      </c>
      <c r="G749" s="2">
        <v>-36252.68</v>
      </c>
      <c r="H749" t="s">
        <v>1147</v>
      </c>
      <c r="J749" s="18" t="s">
        <v>4327</v>
      </c>
    </row>
    <row r="750" spans="3:10" x14ac:dyDescent="0.25">
      <c r="C750" s="17" t="str">
        <f t="shared" si="12"/>
        <v>28.801011.-2917135.1450..CLEAR SCHEDULE.</v>
      </c>
      <c r="E750">
        <v>28</v>
      </c>
      <c r="F750">
        <v>801011</v>
      </c>
      <c r="G750" s="1">
        <v>-29171.35</v>
      </c>
      <c r="H750" t="s">
        <v>1148</v>
      </c>
      <c r="J750" s="18" t="s">
        <v>4327</v>
      </c>
    </row>
    <row r="751" spans="3:10" x14ac:dyDescent="0.25">
      <c r="C751" s="17" t="str">
        <f t="shared" si="12"/>
        <v>28.801011.-2001014.1451..CLEAR SCHEDULE.</v>
      </c>
      <c r="E751">
        <v>28</v>
      </c>
      <c r="F751">
        <v>801011</v>
      </c>
      <c r="G751" s="2">
        <v>-20010.14</v>
      </c>
      <c r="H751" t="s">
        <v>1149</v>
      </c>
      <c r="J751" s="18" t="s">
        <v>4327</v>
      </c>
    </row>
    <row r="752" spans="3:10" x14ac:dyDescent="0.25">
      <c r="C752" s="17" t="str">
        <f t="shared" si="12"/>
        <v>28.801011.-523736.1452..CLEAR SCHEDULE.</v>
      </c>
      <c r="E752">
        <v>28</v>
      </c>
      <c r="F752">
        <v>801011</v>
      </c>
      <c r="G752" s="1">
        <v>-5237.3599999999997</v>
      </c>
      <c r="H752" t="s">
        <v>1150</v>
      </c>
      <c r="J752" s="18" t="s">
        <v>4327</v>
      </c>
    </row>
    <row r="753" spans="3:10" x14ac:dyDescent="0.25">
      <c r="C753" s="17" t="str">
        <f t="shared" si="12"/>
        <v>28.801011.-536956.1453..CLEAR SCHEDULE.</v>
      </c>
      <c r="E753">
        <v>28</v>
      </c>
      <c r="F753">
        <v>801011</v>
      </c>
      <c r="G753" s="2">
        <v>-5369.56</v>
      </c>
      <c r="H753" t="s">
        <v>1151</v>
      </c>
      <c r="J753" s="18" t="s">
        <v>4327</v>
      </c>
    </row>
    <row r="754" spans="3:10" x14ac:dyDescent="0.25">
      <c r="C754" s="17" t="str">
        <f t="shared" si="12"/>
        <v>28.801011.11369159.1454..CLEAR SCHEDULE.</v>
      </c>
      <c r="E754">
        <v>28</v>
      </c>
      <c r="F754">
        <v>801011</v>
      </c>
      <c r="G754" s="1">
        <v>113691.59</v>
      </c>
      <c r="H754" t="s">
        <v>1152</v>
      </c>
      <c r="J754" s="18" t="s">
        <v>4327</v>
      </c>
    </row>
    <row r="755" spans="3:10" x14ac:dyDescent="0.25">
      <c r="C755" s="17" t="str">
        <f t="shared" si="12"/>
        <v>28.801011.-1500801.1455..CLEAR SCHEDULE.</v>
      </c>
      <c r="E755">
        <v>28</v>
      </c>
      <c r="F755">
        <v>801011</v>
      </c>
      <c r="G755" s="2">
        <v>-15008.01</v>
      </c>
      <c r="H755" t="s">
        <v>1153</v>
      </c>
      <c r="J755" s="18" t="s">
        <v>4327</v>
      </c>
    </row>
    <row r="756" spans="3:10" x14ac:dyDescent="0.25">
      <c r="C756" s="17" t="str">
        <f t="shared" si="12"/>
        <v>28.801011.-722956.1456..CLEAR SCHEDULE.</v>
      </c>
      <c r="E756">
        <v>28</v>
      </c>
      <c r="F756">
        <v>801011</v>
      </c>
      <c r="G756" s="1">
        <v>-7229.56</v>
      </c>
      <c r="H756" t="s">
        <v>1154</v>
      </c>
      <c r="J756" s="18" t="s">
        <v>4327</v>
      </c>
    </row>
    <row r="757" spans="3:10" x14ac:dyDescent="0.25">
      <c r="C757" s="17" t="str">
        <f t="shared" si="12"/>
        <v>28.801011.-400000.1457..CLEAR SCHEDULE.</v>
      </c>
      <c r="E757">
        <v>28</v>
      </c>
      <c r="F757">
        <v>801011</v>
      </c>
      <c r="G757" s="2">
        <v>-4000</v>
      </c>
      <c r="H757" t="s">
        <v>1155</v>
      </c>
      <c r="J757" s="18" t="s">
        <v>4327</v>
      </c>
    </row>
    <row r="758" spans="3:10" x14ac:dyDescent="0.25">
      <c r="C758" s="17" t="str">
        <f t="shared" si="12"/>
        <v>28.801011.-106246.1458..CLEAR SCHEDULE.</v>
      </c>
      <c r="E758">
        <v>28</v>
      </c>
      <c r="F758">
        <v>801011</v>
      </c>
      <c r="G758" s="1">
        <v>-1062.46</v>
      </c>
      <c r="H758" t="s">
        <v>1156</v>
      </c>
      <c r="J758" s="18" t="s">
        <v>4327</v>
      </c>
    </row>
    <row r="759" spans="3:10" x14ac:dyDescent="0.25">
      <c r="C759" s="17" t="str">
        <f t="shared" si="12"/>
        <v>28.801011.-351773.1459..CLEAR SCHEDULE.</v>
      </c>
      <c r="E759">
        <v>28</v>
      </c>
      <c r="F759">
        <v>801011</v>
      </c>
      <c r="G759" s="2">
        <v>-3517.73</v>
      </c>
      <c r="H759" t="s">
        <v>1157</v>
      </c>
      <c r="J759" s="18" t="s">
        <v>4327</v>
      </c>
    </row>
    <row r="760" spans="3:10" x14ac:dyDescent="0.25">
      <c r="C760" s="17" t="str">
        <f t="shared" si="12"/>
        <v>28.801011.-1000801.1460..CLEAR SCHEDULE.</v>
      </c>
      <c r="E760">
        <v>28</v>
      </c>
      <c r="F760">
        <v>801011</v>
      </c>
      <c r="G760" s="1">
        <v>-10008.01</v>
      </c>
      <c r="H760" t="s">
        <v>1158</v>
      </c>
      <c r="J760" s="18" t="s">
        <v>4327</v>
      </c>
    </row>
    <row r="761" spans="3:10" x14ac:dyDescent="0.25">
      <c r="C761" s="17" t="str">
        <f t="shared" si="12"/>
        <v>28.801011.-1019600.1461..CLEAR SCHEDULE.</v>
      </c>
      <c r="E761">
        <v>28</v>
      </c>
      <c r="F761">
        <v>801011</v>
      </c>
      <c r="G761" s="2">
        <v>-10196</v>
      </c>
      <c r="H761" t="s">
        <v>1159</v>
      </c>
      <c r="J761" s="18" t="s">
        <v>4327</v>
      </c>
    </row>
    <row r="762" spans="3:10" x14ac:dyDescent="0.25">
      <c r="C762" s="17" t="str">
        <f t="shared" si="12"/>
        <v>28.801011.-183006.1462..CLEAR SCHEDULE.</v>
      </c>
      <c r="E762">
        <v>28</v>
      </c>
      <c r="F762">
        <v>801011</v>
      </c>
      <c r="G762" s="1">
        <v>-1830.06</v>
      </c>
      <c r="H762" t="s">
        <v>1160</v>
      </c>
      <c r="J762" s="18" t="s">
        <v>4327</v>
      </c>
    </row>
    <row r="763" spans="3:10" x14ac:dyDescent="0.25">
      <c r="C763" s="17" t="str">
        <f t="shared" si="12"/>
        <v>28.801011.-1517738.1463..CLEAR SCHEDULE.</v>
      </c>
      <c r="E763">
        <v>28</v>
      </c>
      <c r="F763">
        <v>801011</v>
      </c>
      <c r="G763" s="2">
        <v>-15177.38</v>
      </c>
      <c r="H763" t="s">
        <v>1161</v>
      </c>
      <c r="J763" s="18" t="s">
        <v>4327</v>
      </c>
    </row>
    <row r="764" spans="3:10" x14ac:dyDescent="0.25">
      <c r="C764" s="17" t="str">
        <f t="shared" si="12"/>
        <v>28.801011.-2063678.1464..CLEAR SCHEDULE.</v>
      </c>
      <c r="E764">
        <v>28</v>
      </c>
      <c r="F764">
        <v>801011</v>
      </c>
      <c r="G764" s="1">
        <v>-20636.78</v>
      </c>
      <c r="H764" t="s">
        <v>1162</v>
      </c>
      <c r="J764" s="18" t="s">
        <v>4327</v>
      </c>
    </row>
    <row r="765" spans="3:10" x14ac:dyDescent="0.25">
      <c r="C765" s="17" t="str">
        <f t="shared" si="12"/>
        <v>28.801011.-12263.1465..CLEAR SCHEDULE.</v>
      </c>
      <c r="E765">
        <v>28</v>
      </c>
      <c r="F765">
        <v>801011</v>
      </c>
      <c r="G765" s="2">
        <v>-122.63</v>
      </c>
      <c r="H765" t="s">
        <v>1163</v>
      </c>
      <c r="J765" s="18" t="s">
        <v>4327</v>
      </c>
    </row>
    <row r="766" spans="3:10" x14ac:dyDescent="0.25">
      <c r="C766" s="17" t="str">
        <f t="shared" si="12"/>
        <v>28.801011.-774795.1466..CLEAR SCHEDULE.</v>
      </c>
      <c r="E766">
        <v>28</v>
      </c>
      <c r="F766">
        <v>801011</v>
      </c>
      <c r="G766" s="1">
        <v>-7747.95</v>
      </c>
      <c r="H766" t="s">
        <v>1164</v>
      </c>
      <c r="J766" s="18" t="s">
        <v>4327</v>
      </c>
    </row>
    <row r="767" spans="3:10" x14ac:dyDescent="0.25">
      <c r="C767" s="17" t="str">
        <f t="shared" si="12"/>
        <v>28.801011.-500100.1467..CLEAR SCHEDULE.</v>
      </c>
      <c r="E767">
        <v>28</v>
      </c>
      <c r="F767">
        <v>801011</v>
      </c>
      <c r="G767" s="2">
        <v>-5001</v>
      </c>
      <c r="H767" t="s">
        <v>1165</v>
      </c>
      <c r="J767" s="18" t="s">
        <v>4327</v>
      </c>
    </row>
    <row r="768" spans="3:10" x14ac:dyDescent="0.25">
      <c r="C768" s="17" t="str">
        <f t="shared" si="12"/>
        <v>28.801011.-51693.1468..CLEAR SCHEDULE.</v>
      </c>
      <c r="E768">
        <v>28</v>
      </c>
      <c r="F768">
        <v>801011</v>
      </c>
      <c r="G768" s="1">
        <v>-516.92999999999995</v>
      </c>
      <c r="H768" t="s">
        <v>1166</v>
      </c>
      <c r="J768" s="18" t="s">
        <v>4327</v>
      </c>
    </row>
    <row r="769" spans="3:10" x14ac:dyDescent="0.25">
      <c r="C769" s="17" t="str">
        <f t="shared" si="12"/>
        <v>28.801011.5905243.1469..CLEAR SCHEDULE.</v>
      </c>
      <c r="E769">
        <v>28</v>
      </c>
      <c r="F769">
        <v>801011</v>
      </c>
      <c r="G769" s="2">
        <v>59052.43</v>
      </c>
      <c r="H769" t="s">
        <v>1167</v>
      </c>
      <c r="J769" s="18" t="s">
        <v>4327</v>
      </c>
    </row>
    <row r="770" spans="3:10" x14ac:dyDescent="0.25">
      <c r="C770" s="17" t="str">
        <f t="shared" si="12"/>
        <v>28.801011.-1033019.1470..CLEAR SCHEDULE.</v>
      </c>
      <c r="E770">
        <v>28</v>
      </c>
      <c r="F770">
        <v>801011</v>
      </c>
      <c r="G770" s="1">
        <v>-10330.19</v>
      </c>
      <c r="H770" t="s">
        <v>1168</v>
      </c>
      <c r="J770" s="18" t="s">
        <v>4327</v>
      </c>
    </row>
    <row r="771" spans="3:10" x14ac:dyDescent="0.25">
      <c r="C771" s="17" t="str">
        <f t="shared" si="12"/>
        <v>28.801011.-250000.1471..CLEAR SCHEDULE.</v>
      </c>
      <c r="E771">
        <v>28</v>
      </c>
      <c r="F771">
        <v>801011</v>
      </c>
      <c r="G771" s="2">
        <v>-2500</v>
      </c>
      <c r="H771" t="s">
        <v>1169</v>
      </c>
      <c r="J771" s="18" t="s">
        <v>4327</v>
      </c>
    </row>
    <row r="772" spans="3:10" x14ac:dyDescent="0.25">
      <c r="C772" s="17" t="str">
        <f t="shared" si="12"/>
        <v>28.801011.-62949.1472..CLEAR SCHEDULE.</v>
      </c>
      <c r="E772">
        <v>28</v>
      </c>
      <c r="F772">
        <v>801011</v>
      </c>
      <c r="G772" s="1">
        <v>-629.49</v>
      </c>
      <c r="H772" t="s">
        <v>1170</v>
      </c>
      <c r="J772" s="18" t="s">
        <v>4327</v>
      </c>
    </row>
    <row r="773" spans="3:10" x14ac:dyDescent="0.25">
      <c r="C773" s="17" t="str">
        <f t="shared" si="12"/>
        <v>28.801011.3762498.1473..CLEAR SCHEDULE.</v>
      </c>
      <c r="E773">
        <v>28</v>
      </c>
      <c r="F773">
        <v>801011</v>
      </c>
      <c r="G773" s="2">
        <v>37624.980000000003</v>
      </c>
      <c r="H773" t="s">
        <v>1171</v>
      </c>
      <c r="J773" s="18" t="s">
        <v>4327</v>
      </c>
    </row>
    <row r="774" spans="3:10" x14ac:dyDescent="0.25">
      <c r="C774" s="17" t="str">
        <f t="shared" si="12"/>
        <v>28.801011.-349134.1474..CLEAR SCHEDULE.</v>
      </c>
      <c r="E774">
        <v>28</v>
      </c>
      <c r="F774">
        <v>801011</v>
      </c>
      <c r="G774" s="1">
        <v>-3491.34</v>
      </c>
      <c r="H774" t="s">
        <v>1172</v>
      </c>
      <c r="J774" s="18" t="s">
        <v>4327</v>
      </c>
    </row>
    <row r="775" spans="3:10" x14ac:dyDescent="0.25">
      <c r="C775" s="17" t="str">
        <f t="shared" si="12"/>
        <v>28.801011.-321840.1475..CLEAR SCHEDULE.</v>
      </c>
      <c r="E775">
        <v>28</v>
      </c>
      <c r="F775">
        <v>801011</v>
      </c>
      <c r="G775" s="2">
        <v>-3218.4</v>
      </c>
      <c r="H775" t="s">
        <v>1173</v>
      </c>
      <c r="J775" s="18" t="s">
        <v>4327</v>
      </c>
    </row>
    <row r="776" spans="3:10" x14ac:dyDescent="0.25">
      <c r="C776" s="17" t="str">
        <f t="shared" si="12"/>
        <v>28.801011.-504082.1476..CLEAR SCHEDULE.</v>
      </c>
      <c r="E776">
        <v>28</v>
      </c>
      <c r="F776">
        <v>801011</v>
      </c>
      <c r="G776" s="1">
        <v>-5040.82</v>
      </c>
      <c r="H776" t="s">
        <v>1174</v>
      </c>
      <c r="J776" s="18" t="s">
        <v>4327</v>
      </c>
    </row>
    <row r="777" spans="3:10" x14ac:dyDescent="0.25">
      <c r="C777" s="17" t="str">
        <f t="shared" si="12"/>
        <v>28.801011.-3637256.1477..CLEAR SCHEDULE.</v>
      </c>
      <c r="E777">
        <v>28</v>
      </c>
      <c r="F777">
        <v>801011</v>
      </c>
      <c r="G777" s="2">
        <v>-36372.559999999998</v>
      </c>
      <c r="H777" t="s">
        <v>1175</v>
      </c>
      <c r="J777" s="18" t="s">
        <v>4327</v>
      </c>
    </row>
    <row r="778" spans="3:10" x14ac:dyDescent="0.25">
      <c r="C778" s="17" t="str">
        <f t="shared" si="12"/>
        <v>28.801011.-1840126.1478..CLEAR SCHEDULE.</v>
      </c>
      <c r="E778">
        <v>28</v>
      </c>
      <c r="F778">
        <v>801011</v>
      </c>
      <c r="G778" s="1">
        <v>-18401.259999999998</v>
      </c>
      <c r="H778" t="s">
        <v>1176</v>
      </c>
      <c r="J778" s="18" t="s">
        <v>4327</v>
      </c>
    </row>
    <row r="779" spans="3:10" x14ac:dyDescent="0.25">
      <c r="C779" s="17" t="str">
        <f t="shared" ref="C779:C842" si="13">IF(G779=0,"",(E779&amp;"."&amp;F779&amp;"."&amp;G779*100&amp;"."&amp;H779&amp;"."&amp;I779&amp;"."&amp;J779&amp;"."&amp;K779))</f>
        <v>28.801011.-1746183.1479..CLEAR SCHEDULE.</v>
      </c>
      <c r="E779">
        <v>28</v>
      </c>
      <c r="F779">
        <v>801011</v>
      </c>
      <c r="G779" s="2">
        <v>-17461.830000000002</v>
      </c>
      <c r="H779" t="s">
        <v>1177</v>
      </c>
      <c r="J779" s="18" t="s">
        <v>4327</v>
      </c>
    </row>
    <row r="780" spans="3:10" x14ac:dyDescent="0.25">
      <c r="C780" s="17" t="str">
        <f t="shared" si="13"/>
        <v>28.801011.-303639.1480..CLEAR SCHEDULE.</v>
      </c>
      <c r="E780">
        <v>28</v>
      </c>
      <c r="F780">
        <v>801011</v>
      </c>
      <c r="G780" s="1">
        <v>-3036.39</v>
      </c>
      <c r="H780" t="s">
        <v>1178</v>
      </c>
      <c r="J780" s="18" t="s">
        <v>4327</v>
      </c>
    </row>
    <row r="781" spans="3:10" x14ac:dyDescent="0.25">
      <c r="C781" s="17" t="str">
        <f t="shared" si="13"/>
        <v>28.801011.-153784.1481..CLEAR SCHEDULE.</v>
      </c>
      <c r="E781">
        <v>28</v>
      </c>
      <c r="F781">
        <v>801011</v>
      </c>
      <c r="G781" s="2">
        <v>-1537.84</v>
      </c>
      <c r="H781" t="s">
        <v>1179</v>
      </c>
      <c r="J781" s="18" t="s">
        <v>4327</v>
      </c>
    </row>
    <row r="782" spans="3:10" x14ac:dyDescent="0.25">
      <c r="C782" s="17" t="str">
        <f t="shared" si="13"/>
        <v>28.801011.-3414.1482..CLEAR SCHEDULE.</v>
      </c>
      <c r="E782">
        <v>28</v>
      </c>
      <c r="F782">
        <v>801011</v>
      </c>
      <c r="G782" s="1">
        <v>-34.14</v>
      </c>
      <c r="H782" t="s">
        <v>1180</v>
      </c>
      <c r="J782" s="18" t="s">
        <v>4327</v>
      </c>
    </row>
    <row r="783" spans="3:10" x14ac:dyDescent="0.25">
      <c r="C783" s="17" t="str">
        <f t="shared" si="13"/>
        <v>28.801011.-762215.1483..CLEAR SCHEDULE.</v>
      </c>
      <c r="E783">
        <v>28</v>
      </c>
      <c r="F783">
        <v>801011</v>
      </c>
      <c r="G783" s="2">
        <v>-7622.15</v>
      </c>
      <c r="H783" t="s">
        <v>1181</v>
      </c>
      <c r="J783" s="18" t="s">
        <v>4327</v>
      </c>
    </row>
    <row r="784" spans="3:10" x14ac:dyDescent="0.25">
      <c r="C784" s="17" t="str">
        <f t="shared" si="13"/>
        <v>28.801011.9808770.1484..CLEAR SCHEDULE.</v>
      </c>
      <c r="E784">
        <v>28</v>
      </c>
      <c r="F784">
        <v>801011</v>
      </c>
      <c r="G784" s="1">
        <v>98087.7</v>
      </c>
      <c r="H784" t="s">
        <v>1182</v>
      </c>
      <c r="J784" s="18" t="s">
        <v>4327</v>
      </c>
    </row>
    <row r="785" spans="3:10" x14ac:dyDescent="0.25">
      <c r="C785" s="17" t="str">
        <f t="shared" si="13"/>
        <v>28.801011.-500000.1486..CLEAR SCHEDULE.</v>
      </c>
      <c r="E785">
        <v>28</v>
      </c>
      <c r="F785">
        <v>801011</v>
      </c>
      <c r="G785" s="2">
        <v>-5000</v>
      </c>
      <c r="H785" t="s">
        <v>1183</v>
      </c>
      <c r="J785" s="18" t="s">
        <v>4327</v>
      </c>
    </row>
    <row r="786" spans="3:10" x14ac:dyDescent="0.25">
      <c r="C786" s="17" t="str">
        <f t="shared" si="13"/>
        <v>28.801011.-1828630.1487..CLEAR SCHEDULE.</v>
      </c>
      <c r="E786">
        <v>28</v>
      </c>
      <c r="F786">
        <v>801011</v>
      </c>
      <c r="G786" s="1">
        <v>-18286.3</v>
      </c>
      <c r="H786" t="s">
        <v>1184</v>
      </c>
      <c r="J786" s="18" t="s">
        <v>4327</v>
      </c>
    </row>
    <row r="787" spans="3:10" x14ac:dyDescent="0.25">
      <c r="C787" s="17" t="str">
        <f t="shared" si="13"/>
        <v>28.801011.-759577.1488..CLEAR SCHEDULE.</v>
      </c>
      <c r="E787">
        <v>28</v>
      </c>
      <c r="F787">
        <v>801011</v>
      </c>
      <c r="G787" s="2">
        <v>-7595.77</v>
      </c>
      <c r="H787" t="s">
        <v>1185</v>
      </c>
      <c r="J787" s="18" t="s">
        <v>4327</v>
      </c>
    </row>
    <row r="788" spans="3:10" x14ac:dyDescent="0.25">
      <c r="C788" s="17" t="str">
        <f t="shared" si="13"/>
        <v>28.801011.-3913877.1489..CLEAR SCHEDULE.</v>
      </c>
      <c r="E788">
        <v>28</v>
      </c>
      <c r="F788">
        <v>801011</v>
      </c>
      <c r="G788" s="1">
        <v>-39138.769999999997</v>
      </c>
      <c r="H788" t="s">
        <v>1186</v>
      </c>
      <c r="J788" s="18" t="s">
        <v>4327</v>
      </c>
    </row>
    <row r="789" spans="3:10" x14ac:dyDescent="0.25">
      <c r="C789" s="17" t="str">
        <f t="shared" si="13"/>
        <v>28.801011.2885341.1490..CLEAR SCHEDULE.</v>
      </c>
      <c r="E789">
        <v>28</v>
      </c>
      <c r="F789">
        <v>801011</v>
      </c>
      <c r="G789" s="2">
        <v>28853.41</v>
      </c>
      <c r="H789" t="s">
        <v>1187</v>
      </c>
      <c r="J789" s="18" t="s">
        <v>4327</v>
      </c>
    </row>
    <row r="790" spans="3:10" x14ac:dyDescent="0.25">
      <c r="C790" s="17" t="str">
        <f t="shared" si="13"/>
        <v>28.801011.-515790.1491..CLEAR SCHEDULE.</v>
      </c>
      <c r="E790">
        <v>28</v>
      </c>
      <c r="F790">
        <v>801011</v>
      </c>
      <c r="G790" s="1">
        <v>-5157.8999999999996</v>
      </c>
      <c r="H790" t="s">
        <v>1188</v>
      </c>
      <c r="J790" s="18" t="s">
        <v>4327</v>
      </c>
    </row>
    <row r="791" spans="3:10" x14ac:dyDescent="0.25">
      <c r="C791" s="17" t="str">
        <f t="shared" si="13"/>
        <v>28.801011.-702049.1492..CLEAR SCHEDULE.</v>
      </c>
      <c r="E791">
        <v>28</v>
      </c>
      <c r="F791">
        <v>801011</v>
      </c>
      <c r="G791" s="2">
        <v>-7020.49</v>
      </c>
      <c r="H791" t="s">
        <v>1189</v>
      </c>
      <c r="J791" s="18" t="s">
        <v>4327</v>
      </c>
    </row>
    <row r="792" spans="3:10" x14ac:dyDescent="0.25">
      <c r="C792" s="17" t="str">
        <f t="shared" si="13"/>
        <v>28.801011.-152814.1493..CLEAR SCHEDULE.</v>
      </c>
      <c r="E792">
        <v>28</v>
      </c>
      <c r="F792">
        <v>801011</v>
      </c>
      <c r="G792" s="1">
        <v>-1528.14</v>
      </c>
      <c r="H792" t="s">
        <v>1190</v>
      </c>
      <c r="J792" s="18" t="s">
        <v>4327</v>
      </c>
    </row>
    <row r="793" spans="3:10" x14ac:dyDescent="0.25">
      <c r="C793" s="17" t="str">
        <f t="shared" si="13"/>
        <v>28.801011.-491033.1494..CLEAR SCHEDULE.</v>
      </c>
      <c r="E793">
        <v>28</v>
      </c>
      <c r="F793">
        <v>801011</v>
      </c>
      <c r="G793" s="2">
        <v>-4910.33</v>
      </c>
      <c r="H793" t="s">
        <v>1191</v>
      </c>
      <c r="J793" s="18" t="s">
        <v>4327</v>
      </c>
    </row>
    <row r="794" spans="3:10" x14ac:dyDescent="0.25">
      <c r="C794" s="17" t="str">
        <f t="shared" si="13"/>
        <v>28.801011.-10801.1495..CLEAR SCHEDULE.</v>
      </c>
      <c r="E794">
        <v>28</v>
      </c>
      <c r="F794">
        <v>801011</v>
      </c>
      <c r="G794" s="1">
        <v>-108.01</v>
      </c>
      <c r="H794" t="s">
        <v>1192</v>
      </c>
      <c r="J794" s="18" t="s">
        <v>4327</v>
      </c>
    </row>
    <row r="795" spans="3:10" x14ac:dyDescent="0.25">
      <c r="C795" s="17" t="str">
        <f t="shared" si="13"/>
        <v>28.801011.-50000.1496..CLEAR SCHEDULE.</v>
      </c>
      <c r="E795">
        <v>28</v>
      </c>
      <c r="F795">
        <v>801011</v>
      </c>
      <c r="G795" s="2">
        <v>-500</v>
      </c>
      <c r="H795" t="s">
        <v>1193</v>
      </c>
      <c r="J795" s="18" t="s">
        <v>4327</v>
      </c>
    </row>
    <row r="796" spans="3:10" x14ac:dyDescent="0.25">
      <c r="C796" s="17" t="str">
        <f t="shared" si="13"/>
        <v>28.801011.-50865.1497..CLEAR SCHEDULE.</v>
      </c>
      <c r="E796">
        <v>28</v>
      </c>
      <c r="F796">
        <v>801011</v>
      </c>
      <c r="G796" s="1">
        <v>-508.65</v>
      </c>
      <c r="H796" t="s">
        <v>1194</v>
      </c>
      <c r="J796" s="18" t="s">
        <v>4327</v>
      </c>
    </row>
    <row r="797" spans="3:10" x14ac:dyDescent="0.25">
      <c r="C797" s="17" t="str">
        <f t="shared" si="13"/>
        <v>28.801011.9828188.1498..CLEAR SCHEDULE.</v>
      </c>
      <c r="E797">
        <v>28</v>
      </c>
      <c r="F797">
        <v>801011</v>
      </c>
      <c r="G797" s="2">
        <v>98281.88</v>
      </c>
      <c r="H797" t="s">
        <v>1195</v>
      </c>
      <c r="J797" s="18" t="s">
        <v>4327</v>
      </c>
    </row>
    <row r="798" spans="3:10" x14ac:dyDescent="0.25">
      <c r="C798" s="17" t="str">
        <f t="shared" si="13"/>
        <v>28.801011.-4501033.1499..CLEAR SCHEDULE.</v>
      </c>
      <c r="E798">
        <v>28</v>
      </c>
      <c r="F798">
        <v>801011</v>
      </c>
      <c r="G798" s="1">
        <v>-45010.33</v>
      </c>
      <c r="H798" t="s">
        <v>1196</v>
      </c>
      <c r="J798" s="18" t="s">
        <v>4327</v>
      </c>
    </row>
    <row r="799" spans="3:10" x14ac:dyDescent="0.25">
      <c r="C799" s="17" t="str">
        <f t="shared" si="13"/>
        <v>28.801011.-950000.1500..CLEAR SCHEDULE.</v>
      </c>
      <c r="E799">
        <v>28</v>
      </c>
      <c r="F799">
        <v>801011</v>
      </c>
      <c r="G799" s="2">
        <v>-9500</v>
      </c>
      <c r="H799" t="s">
        <v>1197</v>
      </c>
      <c r="J799" s="18" t="s">
        <v>4327</v>
      </c>
    </row>
    <row r="800" spans="3:10" x14ac:dyDescent="0.25">
      <c r="C800" s="17" t="str">
        <f t="shared" si="13"/>
        <v>28.801011.2294662.1501..CLEAR SCHEDULE.</v>
      </c>
      <c r="E800">
        <v>28</v>
      </c>
      <c r="F800">
        <v>801011</v>
      </c>
      <c r="G800" s="1">
        <v>22946.62</v>
      </c>
      <c r="H800" t="s">
        <v>1198</v>
      </c>
      <c r="J800" s="18" t="s">
        <v>4327</v>
      </c>
    </row>
    <row r="801" spans="3:10" x14ac:dyDescent="0.25">
      <c r="C801" s="17" t="str">
        <f t="shared" si="13"/>
        <v>28.801011.-285000.1502..CLEAR SCHEDULE.</v>
      </c>
      <c r="E801">
        <v>28</v>
      </c>
      <c r="F801">
        <v>801011</v>
      </c>
      <c r="G801" s="2">
        <v>-2850</v>
      </c>
      <c r="H801" t="s">
        <v>1199</v>
      </c>
      <c r="J801" s="18" t="s">
        <v>4327</v>
      </c>
    </row>
    <row r="802" spans="3:10" x14ac:dyDescent="0.25">
      <c r="C802" s="17" t="str">
        <f t="shared" si="13"/>
        <v>28.801011.-15801.1503..CLEAR SCHEDULE.</v>
      </c>
      <c r="E802">
        <v>28</v>
      </c>
      <c r="F802">
        <v>801011</v>
      </c>
      <c r="G802" s="1">
        <v>-158.01</v>
      </c>
      <c r="H802" t="s">
        <v>1200</v>
      </c>
      <c r="J802" s="18" t="s">
        <v>4327</v>
      </c>
    </row>
    <row r="803" spans="3:10" x14ac:dyDescent="0.25">
      <c r="C803" s="17" t="str">
        <f t="shared" si="13"/>
        <v>28.801011.7510722.1504..CLEAR SCHEDULE.</v>
      </c>
      <c r="E803">
        <v>28</v>
      </c>
      <c r="F803">
        <v>801011</v>
      </c>
      <c r="G803" s="2">
        <v>75107.22</v>
      </c>
      <c r="H803" t="s">
        <v>1201</v>
      </c>
      <c r="J803" s="18" t="s">
        <v>4327</v>
      </c>
    </row>
    <row r="804" spans="3:10" x14ac:dyDescent="0.25">
      <c r="C804" s="17" t="str">
        <f t="shared" si="13"/>
        <v>28.801011.-945281.1506..CLEAR SCHEDULE.</v>
      </c>
      <c r="E804">
        <v>28</v>
      </c>
      <c r="F804">
        <v>801011</v>
      </c>
      <c r="G804" s="1">
        <v>-9452.81</v>
      </c>
      <c r="H804" t="s">
        <v>1202</v>
      </c>
      <c r="J804" s="18" t="s">
        <v>4327</v>
      </c>
    </row>
    <row r="805" spans="3:10" x14ac:dyDescent="0.25">
      <c r="C805" s="17" t="str">
        <f t="shared" si="13"/>
        <v>28.801011.-2670000.1507..CLEAR SCHEDULE.</v>
      </c>
      <c r="E805">
        <v>28</v>
      </c>
      <c r="F805">
        <v>801011</v>
      </c>
      <c r="G805" s="2">
        <v>-26700</v>
      </c>
      <c r="H805" t="s">
        <v>1203</v>
      </c>
      <c r="J805" s="18" t="s">
        <v>4327</v>
      </c>
    </row>
    <row r="806" spans="3:10" x14ac:dyDescent="0.25">
      <c r="C806" s="17" t="str">
        <f t="shared" si="13"/>
        <v>28.801011.-1599961.1508..CLEAR SCHEDULE.</v>
      </c>
      <c r="E806">
        <v>28</v>
      </c>
      <c r="F806">
        <v>801011</v>
      </c>
      <c r="G806" s="1">
        <v>-15999.61</v>
      </c>
      <c r="H806" t="s">
        <v>1204</v>
      </c>
      <c r="J806" s="18" t="s">
        <v>4327</v>
      </c>
    </row>
    <row r="807" spans="3:10" x14ac:dyDescent="0.25">
      <c r="C807" s="17" t="str">
        <f t="shared" si="13"/>
        <v>28.801011.-170000.1509..CLEAR SCHEDULE.</v>
      </c>
      <c r="E807">
        <v>28</v>
      </c>
      <c r="F807">
        <v>801011</v>
      </c>
      <c r="G807" s="2">
        <v>-1700</v>
      </c>
      <c r="H807" t="s">
        <v>1205</v>
      </c>
      <c r="J807" s="18" t="s">
        <v>4327</v>
      </c>
    </row>
    <row r="808" spans="3:10" x14ac:dyDescent="0.25">
      <c r="C808" s="17" t="str">
        <f t="shared" si="13"/>
        <v>28.801011.-130000.1510..CLEAR SCHEDULE.</v>
      </c>
      <c r="E808">
        <v>28</v>
      </c>
      <c r="F808">
        <v>801011</v>
      </c>
      <c r="G808" s="1">
        <v>-1300</v>
      </c>
      <c r="H808" t="s">
        <v>1206</v>
      </c>
      <c r="J808" s="18" t="s">
        <v>4327</v>
      </c>
    </row>
    <row r="809" spans="3:10" x14ac:dyDescent="0.25">
      <c r="C809" s="17" t="str">
        <f t="shared" si="13"/>
        <v>28.801011.-300000.1511..CLEAR SCHEDULE.</v>
      </c>
      <c r="E809">
        <v>28</v>
      </c>
      <c r="F809">
        <v>801011</v>
      </c>
      <c r="G809" s="2">
        <v>-3000</v>
      </c>
      <c r="H809" t="s">
        <v>1207</v>
      </c>
      <c r="J809" s="18" t="s">
        <v>4327</v>
      </c>
    </row>
    <row r="810" spans="3:10" x14ac:dyDescent="0.25">
      <c r="C810" s="17" t="str">
        <f t="shared" si="13"/>
        <v>28.801011.-50000.1513..CLEAR SCHEDULE.</v>
      </c>
      <c r="E810">
        <v>28</v>
      </c>
      <c r="F810">
        <v>801011</v>
      </c>
      <c r="G810" s="1">
        <v>-500</v>
      </c>
      <c r="H810" t="s">
        <v>1208</v>
      </c>
      <c r="J810" s="18" t="s">
        <v>4327</v>
      </c>
    </row>
    <row r="811" spans="3:10" x14ac:dyDescent="0.25">
      <c r="C811" s="17" t="str">
        <f t="shared" si="13"/>
        <v>28.801011.-50000.1514..CLEAR SCHEDULE.</v>
      </c>
      <c r="E811">
        <v>28</v>
      </c>
      <c r="F811">
        <v>801011</v>
      </c>
      <c r="G811" s="2">
        <v>-500</v>
      </c>
      <c r="H811" t="s">
        <v>1209</v>
      </c>
      <c r="J811" s="18" t="s">
        <v>4327</v>
      </c>
    </row>
    <row r="812" spans="3:10" x14ac:dyDescent="0.25">
      <c r="C812" s="17" t="str">
        <f t="shared" si="13"/>
        <v>28.801011.-80000.1515..CLEAR SCHEDULE.</v>
      </c>
      <c r="E812">
        <v>28</v>
      </c>
      <c r="F812">
        <v>801011</v>
      </c>
      <c r="G812" s="1">
        <v>-800</v>
      </c>
      <c r="H812" t="s">
        <v>1210</v>
      </c>
      <c r="J812" s="18" t="s">
        <v>4327</v>
      </c>
    </row>
    <row r="813" spans="3:10" x14ac:dyDescent="0.25">
      <c r="C813" s="17" t="str">
        <f t="shared" si="13"/>
        <v>28.801011.-399000.1516..CLEAR SCHEDULE.</v>
      </c>
      <c r="E813">
        <v>28</v>
      </c>
      <c r="F813">
        <v>801011</v>
      </c>
      <c r="G813" s="2">
        <v>-3990</v>
      </c>
      <c r="H813" t="s">
        <v>1211</v>
      </c>
      <c r="J813" s="18" t="s">
        <v>4327</v>
      </c>
    </row>
    <row r="814" spans="3:10" x14ac:dyDescent="0.25">
      <c r="C814" s="17" t="str">
        <f t="shared" si="13"/>
        <v>28.801011.6992048.1517..CLEAR SCHEDULE.</v>
      </c>
      <c r="E814">
        <v>28</v>
      </c>
      <c r="F814">
        <v>801011</v>
      </c>
      <c r="G814" s="1">
        <v>69920.479999999996</v>
      </c>
      <c r="H814" t="s">
        <v>1212</v>
      </c>
      <c r="J814" s="18" t="s">
        <v>4327</v>
      </c>
    </row>
    <row r="815" spans="3:10" x14ac:dyDescent="0.25">
      <c r="C815" s="17" t="str">
        <f t="shared" si="13"/>
        <v>28.801011.-84484.1518..CLEAR SCHEDULE.</v>
      </c>
      <c r="E815">
        <v>28</v>
      </c>
      <c r="F815">
        <v>801011</v>
      </c>
      <c r="G815" s="2">
        <v>-844.84</v>
      </c>
      <c r="H815" t="s">
        <v>1213</v>
      </c>
      <c r="J815" s="18" t="s">
        <v>4327</v>
      </c>
    </row>
    <row r="816" spans="3:10" x14ac:dyDescent="0.25">
      <c r="C816" s="17" t="str">
        <f t="shared" si="13"/>
        <v>28.801011.-691530.1519..CLEAR SCHEDULE.</v>
      </c>
      <c r="E816">
        <v>28</v>
      </c>
      <c r="F816">
        <v>801011</v>
      </c>
      <c r="G816" s="1">
        <v>-6915.3</v>
      </c>
      <c r="H816" t="s">
        <v>1214</v>
      </c>
      <c r="J816" s="18" t="s">
        <v>4327</v>
      </c>
    </row>
    <row r="817" spans="3:10" x14ac:dyDescent="0.25">
      <c r="C817" s="17" t="str">
        <f t="shared" si="13"/>
        <v>28.801011.-114000.1520..CLEAR SCHEDULE.</v>
      </c>
      <c r="E817">
        <v>28</v>
      </c>
      <c r="F817">
        <v>801011</v>
      </c>
      <c r="G817" s="2">
        <v>-1140</v>
      </c>
      <c r="H817" t="s">
        <v>1215</v>
      </c>
      <c r="J817" s="18" t="s">
        <v>4327</v>
      </c>
    </row>
    <row r="818" spans="3:10" x14ac:dyDescent="0.25">
      <c r="C818" s="17" t="str">
        <f t="shared" si="13"/>
        <v>28.801011.2303141.1521..CLEAR SCHEDULE.</v>
      </c>
      <c r="E818">
        <v>28</v>
      </c>
      <c r="F818">
        <v>801011</v>
      </c>
      <c r="G818" s="1">
        <v>23031.41</v>
      </c>
      <c r="H818" t="s">
        <v>1216</v>
      </c>
      <c r="J818" s="18" t="s">
        <v>4327</v>
      </c>
    </row>
    <row r="819" spans="3:10" x14ac:dyDescent="0.25">
      <c r="C819" s="17" t="str">
        <f t="shared" si="13"/>
        <v>28.801011.-1000000.1522..CLEAR SCHEDULE.</v>
      </c>
      <c r="E819">
        <v>28</v>
      </c>
      <c r="F819">
        <v>801011</v>
      </c>
      <c r="G819" s="2">
        <v>-10000</v>
      </c>
      <c r="H819" t="s">
        <v>1217</v>
      </c>
      <c r="J819" s="18" t="s">
        <v>4327</v>
      </c>
    </row>
    <row r="820" spans="3:10" x14ac:dyDescent="0.25">
      <c r="C820" s="17" t="str">
        <f t="shared" si="13"/>
        <v>28.801011.-500000.1523..CLEAR SCHEDULE.</v>
      </c>
      <c r="E820">
        <v>28</v>
      </c>
      <c r="F820">
        <v>801011</v>
      </c>
      <c r="G820" s="1">
        <v>-5000</v>
      </c>
      <c r="H820" t="s">
        <v>1218</v>
      </c>
      <c r="J820" s="18" t="s">
        <v>4327</v>
      </c>
    </row>
    <row r="821" spans="3:10" x14ac:dyDescent="0.25">
      <c r="C821" s="17" t="str">
        <f t="shared" si="13"/>
        <v>28.801011.-300000.1524..CLEAR SCHEDULE.</v>
      </c>
      <c r="E821">
        <v>28</v>
      </c>
      <c r="F821">
        <v>801011</v>
      </c>
      <c r="G821" s="2">
        <v>-3000</v>
      </c>
      <c r="H821" t="s">
        <v>1219</v>
      </c>
      <c r="J821" s="18" t="s">
        <v>4327</v>
      </c>
    </row>
    <row r="822" spans="3:10" x14ac:dyDescent="0.25">
      <c r="C822" s="17" t="str">
        <f t="shared" si="13"/>
        <v>28.801011.-2886031.1525..CLEAR SCHEDULE.</v>
      </c>
      <c r="E822">
        <v>28</v>
      </c>
      <c r="F822">
        <v>801011</v>
      </c>
      <c r="G822" s="1">
        <v>-28860.31</v>
      </c>
      <c r="H822" t="s">
        <v>1220</v>
      </c>
      <c r="J822" s="18" t="s">
        <v>4327</v>
      </c>
    </row>
    <row r="823" spans="3:10" x14ac:dyDescent="0.25">
      <c r="C823" s="17" t="str">
        <f t="shared" si="13"/>
        <v>28.801011.-1772999.1526..CLEAR SCHEDULE.</v>
      </c>
      <c r="E823">
        <v>28</v>
      </c>
      <c r="F823">
        <v>801011</v>
      </c>
      <c r="G823" s="2">
        <v>-17729.990000000002</v>
      </c>
      <c r="H823" t="s">
        <v>1221</v>
      </c>
      <c r="J823" s="18" t="s">
        <v>4327</v>
      </c>
    </row>
    <row r="824" spans="3:10" x14ac:dyDescent="0.25">
      <c r="C824" s="17" t="str">
        <f t="shared" si="13"/>
        <v>28.801011.-50000.1527..CLEAR SCHEDULE.</v>
      </c>
      <c r="E824">
        <v>28</v>
      </c>
      <c r="F824">
        <v>801011</v>
      </c>
      <c r="G824" s="1">
        <v>-500</v>
      </c>
      <c r="H824" t="s">
        <v>1222</v>
      </c>
      <c r="J824" s="18" t="s">
        <v>4327</v>
      </c>
    </row>
    <row r="825" spans="3:10" x14ac:dyDescent="0.25">
      <c r="C825" s="17" t="str">
        <f t="shared" si="13"/>
        <v>28.801011.8188551.1528..CLEAR SCHEDULE.</v>
      </c>
      <c r="E825">
        <v>28</v>
      </c>
      <c r="F825">
        <v>801011</v>
      </c>
      <c r="G825" s="2">
        <v>81885.509999999995</v>
      </c>
      <c r="H825" t="s">
        <v>1223</v>
      </c>
      <c r="J825" s="18" t="s">
        <v>4327</v>
      </c>
    </row>
    <row r="826" spans="3:10" x14ac:dyDescent="0.25">
      <c r="C826" s="17" t="str">
        <f t="shared" si="13"/>
        <v>28.801011.-2820542.1529..CLEAR SCHEDULE.</v>
      </c>
      <c r="E826">
        <v>28</v>
      </c>
      <c r="F826">
        <v>801011</v>
      </c>
      <c r="G826" s="1">
        <v>-28205.42</v>
      </c>
      <c r="H826" t="s">
        <v>1224</v>
      </c>
      <c r="J826" s="18" t="s">
        <v>4327</v>
      </c>
    </row>
    <row r="827" spans="3:10" x14ac:dyDescent="0.25">
      <c r="C827" s="17" t="str">
        <f t="shared" si="13"/>
        <v>28.801011.-600000.1530..CLEAR SCHEDULE.</v>
      </c>
      <c r="E827">
        <v>28</v>
      </c>
      <c r="F827">
        <v>801011</v>
      </c>
      <c r="G827" s="2">
        <v>-6000</v>
      </c>
      <c r="H827" t="s">
        <v>1225</v>
      </c>
      <c r="J827" s="18" t="s">
        <v>4327</v>
      </c>
    </row>
    <row r="828" spans="3:10" x14ac:dyDescent="0.25">
      <c r="C828" s="17" t="str">
        <f t="shared" si="13"/>
        <v>28.801011.6420250.1532..CLEAR SCHEDULE.</v>
      </c>
      <c r="E828">
        <v>28</v>
      </c>
      <c r="F828">
        <v>801011</v>
      </c>
      <c r="G828" s="1">
        <v>64202.5</v>
      </c>
      <c r="H828" t="s">
        <v>1226</v>
      </c>
      <c r="J828" s="18" t="s">
        <v>4327</v>
      </c>
    </row>
    <row r="829" spans="3:10" x14ac:dyDescent="0.25">
      <c r="C829" s="17" t="str">
        <f t="shared" si="13"/>
        <v>28.801011.-2243048.1534..CLEAR SCHEDULE.</v>
      </c>
      <c r="E829">
        <v>28</v>
      </c>
      <c r="F829">
        <v>801011</v>
      </c>
      <c r="G829" s="2">
        <v>-22430.48</v>
      </c>
      <c r="H829" t="s">
        <v>1227</v>
      </c>
      <c r="J829" s="18" t="s">
        <v>4327</v>
      </c>
    </row>
    <row r="830" spans="3:10" x14ac:dyDescent="0.25">
      <c r="C830" s="17" t="str">
        <f t="shared" si="13"/>
        <v>28.801011.-500000.1535..CLEAR SCHEDULE.</v>
      </c>
      <c r="E830">
        <v>28</v>
      </c>
      <c r="F830">
        <v>801011</v>
      </c>
      <c r="G830" s="1">
        <v>-5000</v>
      </c>
      <c r="H830" t="s">
        <v>1228</v>
      </c>
      <c r="J830" s="18" t="s">
        <v>4327</v>
      </c>
    </row>
    <row r="831" spans="3:10" x14ac:dyDescent="0.25">
      <c r="C831" s="17" t="str">
        <f t="shared" si="13"/>
        <v>28.801011.3761005.1536..CLEAR SCHEDULE.</v>
      </c>
      <c r="E831">
        <v>28</v>
      </c>
      <c r="F831">
        <v>801011</v>
      </c>
      <c r="G831" s="2">
        <v>37610.050000000003</v>
      </c>
      <c r="H831" t="s">
        <v>1229</v>
      </c>
      <c r="J831" s="18" t="s">
        <v>4327</v>
      </c>
    </row>
    <row r="832" spans="3:10" x14ac:dyDescent="0.25">
      <c r="C832" s="17" t="str">
        <f t="shared" si="13"/>
        <v>28.801011.-24800.1537..CLEAR SCHEDULE.</v>
      </c>
      <c r="E832">
        <v>28</v>
      </c>
      <c r="F832">
        <v>801011</v>
      </c>
      <c r="G832" s="1">
        <v>-248</v>
      </c>
      <c r="H832" t="s">
        <v>1230</v>
      </c>
      <c r="J832" s="18" t="s">
        <v>4327</v>
      </c>
    </row>
    <row r="833" spans="3:10" x14ac:dyDescent="0.25">
      <c r="C833" s="17" t="str">
        <f t="shared" si="13"/>
        <v>28.801011.-2300000.1538..CLEAR SCHEDULE.</v>
      </c>
      <c r="E833">
        <v>28</v>
      </c>
      <c r="F833">
        <v>801011</v>
      </c>
      <c r="G833" s="2">
        <v>-23000</v>
      </c>
      <c r="H833" t="s">
        <v>1231</v>
      </c>
      <c r="J833" s="18" t="s">
        <v>4327</v>
      </c>
    </row>
    <row r="834" spans="3:10" x14ac:dyDescent="0.25">
      <c r="C834" s="17" t="str">
        <f t="shared" si="13"/>
        <v>28.801011.2145318.1539..CLEAR SCHEDULE.</v>
      </c>
      <c r="E834">
        <v>28</v>
      </c>
      <c r="F834">
        <v>801011</v>
      </c>
      <c r="G834" s="1">
        <v>21453.18</v>
      </c>
      <c r="H834" t="s">
        <v>1232</v>
      </c>
      <c r="J834" s="18" t="s">
        <v>4327</v>
      </c>
    </row>
    <row r="835" spans="3:10" x14ac:dyDescent="0.25">
      <c r="C835" s="17" t="str">
        <f t="shared" si="13"/>
        <v>28.801011.-200000.1540..CLEAR SCHEDULE.</v>
      </c>
      <c r="E835">
        <v>28</v>
      </c>
      <c r="F835">
        <v>801011</v>
      </c>
      <c r="G835" s="2">
        <v>-2000</v>
      </c>
      <c r="H835" t="s">
        <v>1233</v>
      </c>
      <c r="J835" s="18" t="s">
        <v>4327</v>
      </c>
    </row>
    <row r="836" spans="3:10" x14ac:dyDescent="0.25">
      <c r="C836" s="17" t="str">
        <f t="shared" si="13"/>
        <v>28.801011.-50000.1541..CLEAR SCHEDULE.</v>
      </c>
      <c r="E836">
        <v>28</v>
      </c>
      <c r="F836">
        <v>801011</v>
      </c>
      <c r="G836" s="1">
        <v>-500</v>
      </c>
      <c r="H836" t="s">
        <v>1234</v>
      </c>
      <c r="J836" s="18" t="s">
        <v>4327</v>
      </c>
    </row>
    <row r="837" spans="3:10" x14ac:dyDescent="0.25">
      <c r="C837" s="17" t="str">
        <f t="shared" si="13"/>
        <v>28.801011.3489278.1542..CLEAR SCHEDULE.</v>
      </c>
      <c r="E837">
        <v>28</v>
      </c>
      <c r="F837">
        <v>801011</v>
      </c>
      <c r="G837" s="2">
        <v>34892.78</v>
      </c>
      <c r="H837" t="s">
        <v>1235</v>
      </c>
      <c r="J837" s="18" t="s">
        <v>4327</v>
      </c>
    </row>
    <row r="838" spans="3:10" x14ac:dyDescent="0.25">
      <c r="C838" s="17" t="str">
        <f t="shared" si="13"/>
        <v>28.801011.-1000000.1543..CLEAR SCHEDULE.</v>
      </c>
      <c r="E838">
        <v>28</v>
      </c>
      <c r="F838">
        <v>801011</v>
      </c>
      <c r="G838" s="1">
        <v>-10000</v>
      </c>
      <c r="H838" t="s">
        <v>1236</v>
      </c>
      <c r="J838" s="18" t="s">
        <v>4327</v>
      </c>
    </row>
    <row r="839" spans="3:10" x14ac:dyDescent="0.25">
      <c r="C839" s="17" t="str">
        <f t="shared" si="13"/>
        <v>28.801011.-300000.1544..CLEAR SCHEDULE.</v>
      </c>
      <c r="E839">
        <v>28</v>
      </c>
      <c r="F839">
        <v>801011</v>
      </c>
      <c r="G839" s="2">
        <v>-3000</v>
      </c>
      <c r="H839" t="s">
        <v>1237</v>
      </c>
      <c r="J839" s="18" t="s">
        <v>4327</v>
      </c>
    </row>
    <row r="840" spans="3:10" x14ac:dyDescent="0.25">
      <c r="C840" s="17" t="str">
        <f t="shared" si="13"/>
        <v>28.801011.-950000.1545..CLEAR SCHEDULE.</v>
      </c>
      <c r="E840">
        <v>28</v>
      </c>
      <c r="F840">
        <v>801011</v>
      </c>
      <c r="G840" s="1">
        <v>-9500</v>
      </c>
      <c r="H840" t="s">
        <v>1238</v>
      </c>
      <c r="J840" s="18" t="s">
        <v>4327</v>
      </c>
    </row>
    <row r="841" spans="3:10" x14ac:dyDescent="0.25">
      <c r="C841" s="17" t="str">
        <f t="shared" si="13"/>
        <v>28.801011.-29818.1546..CLEAR SCHEDULE.</v>
      </c>
      <c r="E841">
        <v>28</v>
      </c>
      <c r="F841">
        <v>801011</v>
      </c>
      <c r="G841" s="2">
        <v>-298.18</v>
      </c>
      <c r="H841" t="s">
        <v>1239</v>
      </c>
      <c r="J841" s="18" t="s">
        <v>4327</v>
      </c>
    </row>
    <row r="842" spans="3:10" x14ac:dyDescent="0.25">
      <c r="C842" s="17" t="str">
        <f t="shared" si="13"/>
        <v>28.801011.-210000.1547..CLEAR SCHEDULE.</v>
      </c>
      <c r="E842">
        <v>28</v>
      </c>
      <c r="F842">
        <v>801011</v>
      </c>
      <c r="G842" s="1">
        <v>-2100</v>
      </c>
      <c r="H842" t="s">
        <v>1240</v>
      </c>
      <c r="J842" s="18" t="s">
        <v>4327</v>
      </c>
    </row>
    <row r="843" spans="3:10" x14ac:dyDescent="0.25">
      <c r="C843" s="17" t="str">
        <f t="shared" ref="C843:C906" si="14">IF(G843=0,"",(E843&amp;"."&amp;F843&amp;"."&amp;G843*100&amp;"."&amp;H843&amp;"."&amp;I843&amp;"."&amp;J843&amp;"."&amp;K843))</f>
        <v>28.801011.-100000.1548..CLEAR SCHEDULE.</v>
      </c>
      <c r="E843">
        <v>28</v>
      </c>
      <c r="F843">
        <v>801011</v>
      </c>
      <c r="G843" s="2">
        <v>-1000</v>
      </c>
      <c r="H843" t="s">
        <v>1241</v>
      </c>
      <c r="J843" s="18" t="s">
        <v>4327</v>
      </c>
    </row>
    <row r="844" spans="3:10" x14ac:dyDescent="0.25">
      <c r="C844" s="17" t="str">
        <f t="shared" si="14"/>
        <v>28.801011.-2500000.1549..CLEAR SCHEDULE.</v>
      </c>
      <c r="E844">
        <v>28</v>
      </c>
      <c r="F844">
        <v>801011</v>
      </c>
      <c r="G844" s="1">
        <v>-25000</v>
      </c>
      <c r="H844" t="s">
        <v>1242</v>
      </c>
      <c r="J844" s="18" t="s">
        <v>4327</v>
      </c>
    </row>
    <row r="845" spans="3:10" x14ac:dyDescent="0.25">
      <c r="C845" s="17" t="str">
        <f t="shared" si="14"/>
        <v>28.801011.-50000.1550..CLEAR SCHEDULE.</v>
      </c>
      <c r="E845">
        <v>28</v>
      </c>
      <c r="F845">
        <v>801011</v>
      </c>
      <c r="G845" s="2">
        <v>-500</v>
      </c>
      <c r="H845" t="s">
        <v>1243</v>
      </c>
      <c r="J845" s="18" t="s">
        <v>4327</v>
      </c>
    </row>
    <row r="846" spans="3:10" x14ac:dyDescent="0.25">
      <c r="C846" s="17" t="str">
        <f t="shared" si="14"/>
        <v>28.801011.-50000.1551..CLEAR SCHEDULE.</v>
      </c>
      <c r="E846">
        <v>28</v>
      </c>
      <c r="F846">
        <v>801011</v>
      </c>
      <c r="G846" s="1">
        <v>-500</v>
      </c>
      <c r="H846" t="s">
        <v>1244</v>
      </c>
      <c r="J846" s="18" t="s">
        <v>4327</v>
      </c>
    </row>
    <row r="847" spans="3:10" x14ac:dyDescent="0.25">
      <c r="C847" s="17" t="str">
        <f t="shared" si="14"/>
        <v>28.801011.-50000.1552..CLEAR SCHEDULE.</v>
      </c>
      <c r="E847">
        <v>28</v>
      </c>
      <c r="F847">
        <v>801011</v>
      </c>
      <c r="G847" s="2">
        <v>-500</v>
      </c>
      <c r="H847" t="s">
        <v>1245</v>
      </c>
      <c r="J847" s="18" t="s">
        <v>4327</v>
      </c>
    </row>
    <row r="848" spans="3:10" x14ac:dyDescent="0.25">
      <c r="C848" s="17" t="str">
        <f t="shared" si="14"/>
        <v>28.801011.8925773.1553..CLEAR SCHEDULE.</v>
      </c>
      <c r="E848">
        <v>28</v>
      </c>
      <c r="F848">
        <v>801011</v>
      </c>
      <c r="G848" s="1">
        <v>89257.73</v>
      </c>
      <c r="H848" t="s">
        <v>1246</v>
      </c>
      <c r="J848" s="18" t="s">
        <v>4327</v>
      </c>
    </row>
    <row r="849" spans="3:10" x14ac:dyDescent="0.25">
      <c r="C849" s="17" t="str">
        <f t="shared" si="14"/>
        <v>28.801011.-3963437.1554..CLEAR SCHEDULE.</v>
      </c>
      <c r="E849">
        <v>28</v>
      </c>
      <c r="F849">
        <v>801011</v>
      </c>
      <c r="G849" s="2">
        <v>-39634.370000000003</v>
      </c>
      <c r="H849" t="s">
        <v>1247</v>
      </c>
      <c r="J849" s="18" t="s">
        <v>4327</v>
      </c>
    </row>
    <row r="850" spans="3:10" x14ac:dyDescent="0.25">
      <c r="C850" s="17" t="str">
        <f t="shared" si="14"/>
        <v>28.801011.-627765.1555..CLEAR SCHEDULE.</v>
      </c>
      <c r="E850">
        <v>28</v>
      </c>
      <c r="F850">
        <v>801011</v>
      </c>
      <c r="G850" s="1">
        <v>-6277.65</v>
      </c>
      <c r="H850" t="s">
        <v>1248</v>
      </c>
      <c r="J850" s="18" t="s">
        <v>4327</v>
      </c>
    </row>
    <row r="851" spans="3:10" x14ac:dyDescent="0.25">
      <c r="C851" s="17" t="str">
        <f t="shared" si="14"/>
        <v>28.801011.-1500000.1556..CLEAR SCHEDULE.</v>
      </c>
      <c r="E851">
        <v>28</v>
      </c>
      <c r="F851">
        <v>801011</v>
      </c>
      <c r="G851" s="2">
        <v>-15000</v>
      </c>
      <c r="H851" t="s">
        <v>1249</v>
      </c>
      <c r="J851" s="18" t="s">
        <v>4327</v>
      </c>
    </row>
    <row r="852" spans="3:10" x14ac:dyDescent="0.25">
      <c r="C852" s="17" t="str">
        <f t="shared" si="14"/>
        <v>28.801011.-500000.1557..CLEAR SCHEDULE.</v>
      </c>
      <c r="E852">
        <v>28</v>
      </c>
      <c r="F852">
        <v>801011</v>
      </c>
      <c r="G852" s="1">
        <v>-5000</v>
      </c>
      <c r="H852" t="s">
        <v>1250</v>
      </c>
      <c r="J852" s="18" t="s">
        <v>4327</v>
      </c>
    </row>
    <row r="853" spans="3:10" x14ac:dyDescent="0.25">
      <c r="C853" s="17" t="str">
        <f t="shared" si="14"/>
        <v>28.801011.-150000.1558..CLEAR SCHEDULE.</v>
      </c>
      <c r="E853">
        <v>28</v>
      </c>
      <c r="F853">
        <v>801011</v>
      </c>
      <c r="G853" s="2">
        <v>-1500</v>
      </c>
      <c r="H853" t="s">
        <v>1251</v>
      </c>
      <c r="J853" s="18" t="s">
        <v>4327</v>
      </c>
    </row>
    <row r="854" spans="3:10" x14ac:dyDescent="0.25">
      <c r="C854" s="17" t="str">
        <f t="shared" si="14"/>
        <v>28.801011.-295330.1559..CLEAR SCHEDULE.</v>
      </c>
      <c r="E854">
        <v>28</v>
      </c>
      <c r="F854">
        <v>801011</v>
      </c>
      <c r="G854" s="1">
        <v>-2953.3</v>
      </c>
      <c r="H854" t="s">
        <v>1252</v>
      </c>
      <c r="J854" s="18" t="s">
        <v>4327</v>
      </c>
    </row>
    <row r="855" spans="3:10" x14ac:dyDescent="0.25">
      <c r="C855" s="17" t="str">
        <f t="shared" si="14"/>
        <v>28.801011.-598700.1560..CLEAR SCHEDULE.</v>
      </c>
      <c r="E855">
        <v>28</v>
      </c>
      <c r="F855">
        <v>801011</v>
      </c>
      <c r="G855" s="2">
        <v>-5987</v>
      </c>
      <c r="H855" t="s">
        <v>1253</v>
      </c>
      <c r="J855" s="18" t="s">
        <v>4327</v>
      </c>
    </row>
    <row r="856" spans="3:10" x14ac:dyDescent="0.25">
      <c r="C856" s="17" t="str">
        <f t="shared" si="14"/>
        <v>28.801011.-148200.1561..CLEAR SCHEDULE.</v>
      </c>
      <c r="E856">
        <v>28</v>
      </c>
      <c r="F856">
        <v>801011</v>
      </c>
      <c r="G856" s="1">
        <v>-1482</v>
      </c>
      <c r="H856" t="s">
        <v>1254</v>
      </c>
      <c r="J856" s="18" t="s">
        <v>4327</v>
      </c>
    </row>
    <row r="857" spans="3:10" x14ac:dyDescent="0.25">
      <c r="C857" s="17" t="str">
        <f t="shared" si="14"/>
        <v>28.801011.-50000.1562..CLEAR SCHEDULE.</v>
      </c>
      <c r="E857">
        <v>28</v>
      </c>
      <c r="F857">
        <v>801011</v>
      </c>
      <c r="G857" s="2">
        <v>-500</v>
      </c>
      <c r="H857" t="s">
        <v>1255</v>
      </c>
      <c r="J857" s="18" t="s">
        <v>4327</v>
      </c>
    </row>
    <row r="858" spans="3:10" x14ac:dyDescent="0.25">
      <c r="C858" s="17" t="str">
        <f t="shared" si="14"/>
        <v>28.801011.-50000.1563..CLEAR SCHEDULE.</v>
      </c>
      <c r="E858">
        <v>28</v>
      </c>
      <c r="F858">
        <v>801011</v>
      </c>
      <c r="G858" s="1">
        <v>-500</v>
      </c>
      <c r="H858" t="s">
        <v>1256</v>
      </c>
      <c r="J858" s="18" t="s">
        <v>4327</v>
      </c>
    </row>
    <row r="859" spans="3:10" x14ac:dyDescent="0.25">
      <c r="C859" s="17" t="str">
        <f t="shared" si="14"/>
        <v>28.801011.-50000.1564..CLEAR SCHEDULE.</v>
      </c>
      <c r="E859">
        <v>28</v>
      </c>
      <c r="F859">
        <v>801011</v>
      </c>
      <c r="G859" s="2">
        <v>-500</v>
      </c>
      <c r="H859" t="s">
        <v>1257</v>
      </c>
      <c r="J859" s="18" t="s">
        <v>4327</v>
      </c>
    </row>
    <row r="860" spans="3:10" x14ac:dyDescent="0.25">
      <c r="C860" s="17" t="str">
        <f t="shared" si="14"/>
        <v>28.801011.-50000.1565..CLEAR SCHEDULE.</v>
      </c>
      <c r="E860">
        <v>28</v>
      </c>
      <c r="F860">
        <v>801011</v>
      </c>
      <c r="G860" s="1">
        <v>-500</v>
      </c>
      <c r="H860" t="s">
        <v>1258</v>
      </c>
      <c r="J860" s="18" t="s">
        <v>4327</v>
      </c>
    </row>
    <row r="861" spans="3:10" x14ac:dyDescent="0.25">
      <c r="C861" s="17" t="str">
        <f t="shared" si="14"/>
        <v>28.801011.7776018.1566..CLEAR SCHEDULE.</v>
      </c>
      <c r="E861">
        <v>28</v>
      </c>
      <c r="F861">
        <v>801011</v>
      </c>
      <c r="G861" s="2">
        <v>77760.179999999993</v>
      </c>
      <c r="H861" t="s">
        <v>1259</v>
      </c>
      <c r="J861" s="18" t="s">
        <v>4327</v>
      </c>
    </row>
    <row r="862" spans="3:10" x14ac:dyDescent="0.25">
      <c r="C862" s="17" t="str">
        <f t="shared" si="14"/>
        <v>28.801011.-50000.1567..CLEAR SCHEDULE.</v>
      </c>
      <c r="E862">
        <v>28</v>
      </c>
      <c r="F862">
        <v>801011</v>
      </c>
      <c r="G862" s="1">
        <v>-500</v>
      </c>
      <c r="H862" t="s">
        <v>1260</v>
      </c>
      <c r="J862" s="18" t="s">
        <v>4327</v>
      </c>
    </row>
    <row r="863" spans="3:10" x14ac:dyDescent="0.25">
      <c r="C863" s="17" t="str">
        <f t="shared" si="14"/>
        <v>28.801011.-200000.1568..CLEAR SCHEDULE.</v>
      </c>
      <c r="E863">
        <v>28</v>
      </c>
      <c r="F863">
        <v>801011</v>
      </c>
      <c r="G863" s="2">
        <v>-2000</v>
      </c>
      <c r="H863" t="s">
        <v>1261</v>
      </c>
      <c r="J863" s="18" t="s">
        <v>4327</v>
      </c>
    </row>
    <row r="864" spans="3:10" x14ac:dyDescent="0.25">
      <c r="C864" s="17" t="str">
        <f t="shared" si="14"/>
        <v>28.801011.-50000.1569..CLEAR SCHEDULE.</v>
      </c>
      <c r="E864">
        <v>28</v>
      </c>
      <c r="F864">
        <v>801011</v>
      </c>
      <c r="G864" s="1">
        <v>-500</v>
      </c>
      <c r="H864" t="s">
        <v>1262</v>
      </c>
      <c r="J864" s="18" t="s">
        <v>4327</v>
      </c>
    </row>
    <row r="865" spans="3:10" x14ac:dyDescent="0.25">
      <c r="C865" s="17" t="str">
        <f t="shared" si="14"/>
        <v>28.801011.3733836.1570..CLEAR SCHEDULE.</v>
      </c>
      <c r="E865">
        <v>28</v>
      </c>
      <c r="F865">
        <v>801011</v>
      </c>
      <c r="G865" s="2">
        <v>37338.36</v>
      </c>
      <c r="H865" t="s">
        <v>1263</v>
      </c>
      <c r="J865" s="18" t="s">
        <v>4327</v>
      </c>
    </row>
    <row r="866" spans="3:10" x14ac:dyDescent="0.25">
      <c r="C866" s="17" t="str">
        <f t="shared" si="14"/>
        <v>28.801011.-650000.1571..CLEAR SCHEDULE.</v>
      </c>
      <c r="E866">
        <v>28</v>
      </c>
      <c r="F866">
        <v>801011</v>
      </c>
      <c r="G866" s="1">
        <v>-6500</v>
      </c>
      <c r="H866" t="s">
        <v>1264</v>
      </c>
      <c r="J866" s="18" t="s">
        <v>4327</v>
      </c>
    </row>
    <row r="867" spans="3:10" x14ac:dyDescent="0.25">
      <c r="C867" s="17" t="str">
        <f t="shared" si="14"/>
        <v>28.801011.50000.1574..CLEAR SCHEDULE.</v>
      </c>
      <c r="E867">
        <v>28</v>
      </c>
      <c r="F867">
        <v>801011</v>
      </c>
      <c r="G867" s="2">
        <v>500</v>
      </c>
      <c r="H867" t="s">
        <v>1265</v>
      </c>
      <c r="J867" s="18" t="s">
        <v>4327</v>
      </c>
    </row>
    <row r="868" spans="3:10" x14ac:dyDescent="0.25">
      <c r="C868" s="17" t="str">
        <f t="shared" si="14"/>
        <v>28.801011.50000.1575..CLEAR SCHEDULE.</v>
      </c>
      <c r="E868">
        <v>28</v>
      </c>
      <c r="F868">
        <v>801011</v>
      </c>
      <c r="G868" s="1">
        <v>500</v>
      </c>
      <c r="H868" t="s">
        <v>1266</v>
      </c>
      <c r="J868" s="18" t="s">
        <v>4327</v>
      </c>
    </row>
    <row r="869" spans="3:10" x14ac:dyDescent="0.25">
      <c r="C869" s="17" t="str">
        <f t="shared" si="14"/>
        <v>28.801011.-50000.1576..CLEAR SCHEDULE.</v>
      </c>
      <c r="E869">
        <v>28</v>
      </c>
      <c r="F869">
        <v>801011</v>
      </c>
      <c r="G869" s="2">
        <v>-500</v>
      </c>
      <c r="H869" t="s">
        <v>1267</v>
      </c>
      <c r="J869" s="18" t="s">
        <v>4327</v>
      </c>
    </row>
    <row r="870" spans="3:10" x14ac:dyDescent="0.25">
      <c r="C870" s="17" t="str">
        <f t="shared" si="14"/>
        <v>28.801011.2932356.1577..CLEAR SCHEDULE.</v>
      </c>
      <c r="E870">
        <v>28</v>
      </c>
      <c r="F870">
        <v>801011</v>
      </c>
      <c r="G870" s="1">
        <v>29323.56</v>
      </c>
      <c r="H870" t="s">
        <v>1268</v>
      </c>
      <c r="J870" s="18" t="s">
        <v>4327</v>
      </c>
    </row>
    <row r="871" spans="3:10" x14ac:dyDescent="0.25">
      <c r="C871" s="17" t="str">
        <f t="shared" si="14"/>
        <v>28.801011.-500000.1578..CLEAR SCHEDULE.</v>
      </c>
      <c r="E871">
        <v>28</v>
      </c>
      <c r="F871">
        <v>801011</v>
      </c>
      <c r="G871" s="2">
        <v>-5000</v>
      </c>
      <c r="H871" t="s">
        <v>1269</v>
      </c>
      <c r="J871" s="18" t="s">
        <v>4327</v>
      </c>
    </row>
    <row r="872" spans="3:10" x14ac:dyDescent="0.25">
      <c r="C872" s="17" t="str">
        <f t="shared" si="14"/>
        <v>28.801011.-1742929.1579..CLEAR SCHEDULE.</v>
      </c>
      <c r="E872">
        <v>28</v>
      </c>
      <c r="F872">
        <v>801011</v>
      </c>
      <c r="G872" s="1">
        <v>-17429.29</v>
      </c>
      <c r="H872" t="s">
        <v>1270</v>
      </c>
      <c r="J872" s="18" t="s">
        <v>4327</v>
      </c>
    </row>
    <row r="873" spans="3:10" x14ac:dyDescent="0.25">
      <c r="C873" s="17" t="str">
        <f t="shared" si="14"/>
        <v>28.801011.-1831156.1580..CLEAR SCHEDULE.</v>
      </c>
      <c r="E873">
        <v>28</v>
      </c>
      <c r="F873">
        <v>801011</v>
      </c>
      <c r="G873" s="2">
        <v>-18311.560000000001</v>
      </c>
      <c r="H873" t="s">
        <v>1271</v>
      </c>
      <c r="J873" s="18" t="s">
        <v>4327</v>
      </c>
    </row>
    <row r="874" spans="3:10" x14ac:dyDescent="0.25">
      <c r="C874" s="17" t="str">
        <f t="shared" si="14"/>
        <v>28.801011.-300000.1581..CLEAR SCHEDULE.</v>
      </c>
      <c r="E874">
        <v>28</v>
      </c>
      <c r="F874">
        <v>801011</v>
      </c>
      <c r="G874" s="1">
        <v>-3000</v>
      </c>
      <c r="H874" t="s">
        <v>1272</v>
      </c>
      <c r="J874" s="18" t="s">
        <v>4327</v>
      </c>
    </row>
    <row r="875" spans="3:10" x14ac:dyDescent="0.25">
      <c r="C875" s="17" t="str">
        <f t="shared" si="14"/>
        <v>28.801011.-2030000.1582..CLEAR SCHEDULE.</v>
      </c>
      <c r="E875">
        <v>28</v>
      </c>
      <c r="F875">
        <v>801011</v>
      </c>
      <c r="G875" s="2">
        <v>-20300</v>
      </c>
      <c r="H875" t="s">
        <v>1273</v>
      </c>
      <c r="J875" s="18" t="s">
        <v>4327</v>
      </c>
    </row>
    <row r="876" spans="3:10" x14ac:dyDescent="0.25">
      <c r="C876" s="17" t="str">
        <f t="shared" si="14"/>
        <v>28.801011.-3447234.1583..CLEAR SCHEDULE.</v>
      </c>
      <c r="E876">
        <v>28</v>
      </c>
      <c r="F876">
        <v>801011</v>
      </c>
      <c r="G876" s="1">
        <v>-34472.339999999997</v>
      </c>
      <c r="H876" t="s">
        <v>1274</v>
      </c>
      <c r="J876" s="18" t="s">
        <v>4327</v>
      </c>
    </row>
    <row r="877" spans="3:10" x14ac:dyDescent="0.25">
      <c r="C877" s="17" t="str">
        <f t="shared" si="14"/>
        <v>28.801011.-200000.1584..CLEAR SCHEDULE.</v>
      </c>
      <c r="E877">
        <v>28</v>
      </c>
      <c r="F877">
        <v>801011</v>
      </c>
      <c r="G877" s="2">
        <v>-2000</v>
      </c>
      <c r="H877" t="s">
        <v>1275</v>
      </c>
      <c r="J877" s="18" t="s">
        <v>4327</v>
      </c>
    </row>
    <row r="878" spans="3:10" x14ac:dyDescent="0.25">
      <c r="C878" s="17" t="str">
        <f t="shared" si="14"/>
        <v>28.801011.-998.1585..CLEAR SCHEDULE.</v>
      </c>
      <c r="E878">
        <v>28</v>
      </c>
      <c r="F878">
        <v>801011</v>
      </c>
      <c r="G878" s="1">
        <v>-9.98</v>
      </c>
      <c r="H878" t="s">
        <v>1276</v>
      </c>
      <c r="J878" s="18" t="s">
        <v>4327</v>
      </c>
    </row>
    <row r="879" spans="3:10" x14ac:dyDescent="0.25">
      <c r="C879" s="17" t="str">
        <f t="shared" si="14"/>
        <v>28.801011.6195298.1586..CLEAR SCHEDULE.</v>
      </c>
      <c r="E879">
        <v>28</v>
      </c>
      <c r="F879">
        <v>801011</v>
      </c>
      <c r="G879" s="2">
        <v>61952.98</v>
      </c>
      <c r="H879" t="s">
        <v>1277</v>
      </c>
      <c r="J879" s="18" t="s">
        <v>4327</v>
      </c>
    </row>
    <row r="880" spans="3:10" x14ac:dyDescent="0.25">
      <c r="C880" s="17" t="str">
        <f t="shared" si="14"/>
        <v>28.801011.-640000.1587..CLEAR SCHEDULE.</v>
      </c>
      <c r="E880">
        <v>28</v>
      </c>
      <c r="F880">
        <v>801011</v>
      </c>
      <c r="G880" s="1">
        <v>-6400</v>
      </c>
      <c r="H880" t="s">
        <v>1278</v>
      </c>
      <c r="J880" s="18" t="s">
        <v>4327</v>
      </c>
    </row>
    <row r="881" spans="3:10" x14ac:dyDescent="0.25">
      <c r="C881" s="17" t="str">
        <f t="shared" si="14"/>
        <v>28.801011.-150000.1588..CLEAR SCHEDULE.</v>
      </c>
      <c r="E881">
        <v>28</v>
      </c>
      <c r="F881">
        <v>801011</v>
      </c>
      <c r="G881" s="2">
        <v>-1500</v>
      </c>
      <c r="H881" t="s">
        <v>1279</v>
      </c>
      <c r="J881" s="18" t="s">
        <v>4327</v>
      </c>
    </row>
    <row r="882" spans="3:10" x14ac:dyDescent="0.25">
      <c r="C882" s="17" t="str">
        <f t="shared" si="14"/>
        <v>28.801011.-75500.1589..CLEAR SCHEDULE.</v>
      </c>
      <c r="E882">
        <v>28</v>
      </c>
      <c r="F882">
        <v>801011</v>
      </c>
      <c r="G882" s="1">
        <v>-755</v>
      </c>
      <c r="H882" t="s">
        <v>1280</v>
      </c>
      <c r="J882" s="18" t="s">
        <v>4327</v>
      </c>
    </row>
    <row r="883" spans="3:10" x14ac:dyDescent="0.25">
      <c r="C883" s="17" t="str">
        <f t="shared" si="14"/>
        <v>28.801011.-300000.1590..CLEAR SCHEDULE.</v>
      </c>
      <c r="E883">
        <v>28</v>
      </c>
      <c r="F883">
        <v>801011</v>
      </c>
      <c r="G883" s="2">
        <v>-3000</v>
      </c>
      <c r="H883" t="s">
        <v>1281</v>
      </c>
      <c r="J883" s="18" t="s">
        <v>4327</v>
      </c>
    </row>
    <row r="884" spans="3:10" x14ac:dyDescent="0.25">
      <c r="C884" s="17" t="str">
        <f t="shared" si="14"/>
        <v>28.801011.-500000.1591..CLEAR SCHEDULE.</v>
      </c>
      <c r="E884">
        <v>28</v>
      </c>
      <c r="F884">
        <v>801011</v>
      </c>
      <c r="G884" s="1">
        <v>-5000</v>
      </c>
      <c r="H884" t="s">
        <v>1282</v>
      </c>
      <c r="J884" s="18" t="s">
        <v>4327</v>
      </c>
    </row>
    <row r="885" spans="3:10" x14ac:dyDescent="0.25">
      <c r="C885" s="17" t="str">
        <f t="shared" si="14"/>
        <v>28.801011.-100000.1592..CLEAR SCHEDULE.</v>
      </c>
      <c r="E885">
        <v>28</v>
      </c>
      <c r="F885">
        <v>801011</v>
      </c>
      <c r="G885" s="2">
        <v>-1000</v>
      </c>
      <c r="H885" t="s">
        <v>1283</v>
      </c>
      <c r="J885" s="18" t="s">
        <v>4327</v>
      </c>
    </row>
    <row r="886" spans="3:10" x14ac:dyDescent="0.25">
      <c r="C886" s="17" t="str">
        <f t="shared" si="14"/>
        <v>28.801011.-1334900.1593..CLEAR SCHEDULE.</v>
      </c>
      <c r="E886">
        <v>28</v>
      </c>
      <c r="F886">
        <v>801011</v>
      </c>
      <c r="G886" s="1">
        <v>-13349</v>
      </c>
      <c r="H886" t="s">
        <v>1284</v>
      </c>
      <c r="J886" s="18" t="s">
        <v>4327</v>
      </c>
    </row>
    <row r="887" spans="3:10" x14ac:dyDescent="0.25">
      <c r="C887" s="17" t="str">
        <f t="shared" si="14"/>
        <v>28.801011.-50000.1595..CLEAR SCHEDULE.</v>
      </c>
      <c r="E887">
        <v>28</v>
      </c>
      <c r="F887">
        <v>801011</v>
      </c>
      <c r="G887" s="2">
        <v>-500</v>
      </c>
      <c r="H887" t="s">
        <v>1285</v>
      </c>
      <c r="J887" s="18" t="s">
        <v>4327</v>
      </c>
    </row>
    <row r="888" spans="3:10" x14ac:dyDescent="0.25">
      <c r="C888" s="17" t="str">
        <f t="shared" si="14"/>
        <v>28.801011.-4206133.1596..CLEAR SCHEDULE.</v>
      </c>
      <c r="E888">
        <v>28</v>
      </c>
      <c r="F888">
        <v>801011</v>
      </c>
      <c r="G888" s="1">
        <v>-42061.33</v>
      </c>
      <c r="H888" t="s">
        <v>1286</v>
      </c>
      <c r="J888" s="18" t="s">
        <v>4327</v>
      </c>
    </row>
    <row r="889" spans="3:10" x14ac:dyDescent="0.25">
      <c r="C889" s="17" t="str">
        <f t="shared" si="14"/>
        <v>28.801011.-55072.1597..CLEAR SCHEDULE.</v>
      </c>
      <c r="E889">
        <v>28</v>
      </c>
      <c r="F889">
        <v>801011</v>
      </c>
      <c r="G889" s="2">
        <v>-550.72</v>
      </c>
      <c r="H889" t="s">
        <v>1287</v>
      </c>
      <c r="J889" s="18" t="s">
        <v>4327</v>
      </c>
    </row>
    <row r="890" spans="3:10" x14ac:dyDescent="0.25">
      <c r="C890" s="17" t="str">
        <f t="shared" si="14"/>
        <v>28.801011.-305381.1598..CLEAR SCHEDULE.</v>
      </c>
      <c r="E890">
        <v>28</v>
      </c>
      <c r="F890">
        <v>801011</v>
      </c>
      <c r="G890" s="1">
        <v>-3053.81</v>
      </c>
      <c r="H890" t="s">
        <v>1288</v>
      </c>
      <c r="J890" s="18" t="s">
        <v>4327</v>
      </c>
    </row>
    <row r="891" spans="3:10" x14ac:dyDescent="0.25">
      <c r="C891" s="17" t="str">
        <f t="shared" si="14"/>
        <v>28.801011.-1968000.1599..CLEAR SCHEDULE.</v>
      </c>
      <c r="E891">
        <v>28</v>
      </c>
      <c r="F891">
        <v>801011</v>
      </c>
      <c r="G891" s="2">
        <v>-19680</v>
      </c>
      <c r="H891" t="s">
        <v>1289</v>
      </c>
      <c r="J891" s="18" t="s">
        <v>4327</v>
      </c>
    </row>
    <row r="892" spans="3:10" x14ac:dyDescent="0.25">
      <c r="C892" s="17" t="str">
        <f t="shared" si="14"/>
        <v>28.801011.-6233143.1600..CLEAR SCHEDULE.</v>
      </c>
      <c r="E892">
        <v>28</v>
      </c>
      <c r="F892">
        <v>801011</v>
      </c>
      <c r="G892" s="1">
        <v>-62331.43</v>
      </c>
      <c r="H892" t="s">
        <v>1290</v>
      </c>
      <c r="J892" s="18" t="s">
        <v>4327</v>
      </c>
    </row>
    <row r="893" spans="3:10" x14ac:dyDescent="0.25">
      <c r="C893" s="17" t="str">
        <f t="shared" si="14"/>
        <v>28.801011.-70900.1601..CLEAR SCHEDULE.</v>
      </c>
      <c r="E893">
        <v>28</v>
      </c>
      <c r="F893">
        <v>801011</v>
      </c>
      <c r="G893" s="2">
        <v>-709</v>
      </c>
      <c r="H893" t="s">
        <v>1291</v>
      </c>
      <c r="J893" s="18" t="s">
        <v>4327</v>
      </c>
    </row>
    <row r="894" spans="3:10" x14ac:dyDescent="0.25">
      <c r="C894" s="17" t="str">
        <f t="shared" si="14"/>
        <v>28.801011.-178100.1602..CLEAR SCHEDULE.</v>
      </c>
      <c r="E894">
        <v>28</v>
      </c>
      <c r="F894">
        <v>801011</v>
      </c>
      <c r="G894" s="1">
        <v>-1781</v>
      </c>
      <c r="H894" t="s">
        <v>1292</v>
      </c>
      <c r="J894" s="18" t="s">
        <v>4327</v>
      </c>
    </row>
    <row r="895" spans="3:10" x14ac:dyDescent="0.25">
      <c r="C895" s="17" t="str">
        <f t="shared" si="14"/>
        <v>28.801011.11506542.1603..CLEAR SCHEDULE.</v>
      </c>
      <c r="E895">
        <v>28</v>
      </c>
      <c r="F895">
        <v>801011</v>
      </c>
      <c r="G895" s="2">
        <v>115065.42</v>
      </c>
      <c r="H895" t="s">
        <v>1293</v>
      </c>
      <c r="J895" s="18" t="s">
        <v>4327</v>
      </c>
    </row>
    <row r="896" spans="3:10" x14ac:dyDescent="0.25">
      <c r="C896" s="17" t="str">
        <f t="shared" si="14"/>
        <v>28.801011.-133600.1604..CLEAR SCHEDULE.</v>
      </c>
      <c r="E896">
        <v>28</v>
      </c>
      <c r="F896">
        <v>801011</v>
      </c>
      <c r="G896" s="1">
        <v>-1336</v>
      </c>
      <c r="H896" t="s">
        <v>1294</v>
      </c>
      <c r="J896" s="18" t="s">
        <v>4327</v>
      </c>
    </row>
    <row r="897" spans="3:10" x14ac:dyDescent="0.25">
      <c r="C897" s="17" t="str">
        <f t="shared" si="14"/>
        <v>28.801011.-3000000.1605..CLEAR SCHEDULE.</v>
      </c>
      <c r="E897">
        <v>28</v>
      </c>
      <c r="F897">
        <v>801011</v>
      </c>
      <c r="G897" s="2">
        <v>-30000</v>
      </c>
      <c r="H897" t="s">
        <v>1295</v>
      </c>
      <c r="J897" s="18" t="s">
        <v>4327</v>
      </c>
    </row>
    <row r="898" spans="3:10" x14ac:dyDescent="0.25">
      <c r="C898" s="17" t="str">
        <f t="shared" si="14"/>
        <v>28.801011.-800000.1606..CLEAR SCHEDULE.</v>
      </c>
      <c r="E898">
        <v>28</v>
      </c>
      <c r="F898">
        <v>801011</v>
      </c>
      <c r="G898" s="1">
        <v>-8000</v>
      </c>
      <c r="H898" t="s">
        <v>1296</v>
      </c>
      <c r="J898" s="18" t="s">
        <v>4327</v>
      </c>
    </row>
    <row r="899" spans="3:10" x14ac:dyDescent="0.25">
      <c r="C899" s="17" t="str">
        <f t="shared" si="14"/>
        <v>28.801011.-700000.1607..CLEAR SCHEDULE.</v>
      </c>
      <c r="E899">
        <v>28</v>
      </c>
      <c r="F899">
        <v>801011</v>
      </c>
      <c r="G899" s="2">
        <v>-7000</v>
      </c>
      <c r="H899" t="s">
        <v>1297</v>
      </c>
      <c r="J899" s="18" t="s">
        <v>4327</v>
      </c>
    </row>
    <row r="900" spans="3:10" x14ac:dyDescent="0.25">
      <c r="C900" s="17" t="str">
        <f t="shared" si="14"/>
        <v>28.801011.-700000.1608..CLEAR SCHEDULE.</v>
      </c>
      <c r="E900">
        <v>28</v>
      </c>
      <c r="F900">
        <v>801011</v>
      </c>
      <c r="G900" s="1">
        <v>-7000</v>
      </c>
      <c r="H900" t="s">
        <v>1298</v>
      </c>
      <c r="J900" s="18" t="s">
        <v>4327</v>
      </c>
    </row>
    <row r="901" spans="3:10" x14ac:dyDescent="0.25">
      <c r="C901" s="17" t="str">
        <f t="shared" si="14"/>
        <v>28.801011.-2033931.1609..CLEAR SCHEDULE.</v>
      </c>
      <c r="E901">
        <v>28</v>
      </c>
      <c r="F901">
        <v>801011</v>
      </c>
      <c r="G901" s="2">
        <v>-20339.310000000001</v>
      </c>
      <c r="H901" t="s">
        <v>1299</v>
      </c>
      <c r="J901" s="18" t="s">
        <v>4327</v>
      </c>
    </row>
    <row r="902" spans="3:10" x14ac:dyDescent="0.25">
      <c r="C902" s="17" t="str">
        <f t="shared" si="14"/>
        <v>28.801011.-1375330.1610..CLEAR SCHEDULE.</v>
      </c>
      <c r="E902">
        <v>28</v>
      </c>
      <c r="F902">
        <v>801011</v>
      </c>
      <c r="G902" s="1">
        <v>-13753.3</v>
      </c>
      <c r="H902" t="s">
        <v>1300</v>
      </c>
      <c r="J902" s="18" t="s">
        <v>4327</v>
      </c>
    </row>
    <row r="903" spans="3:10" x14ac:dyDescent="0.25">
      <c r="C903" s="17" t="str">
        <f t="shared" si="14"/>
        <v>28.801011.-400000.1611..CLEAR SCHEDULE.</v>
      </c>
      <c r="E903">
        <v>28</v>
      </c>
      <c r="F903">
        <v>801011</v>
      </c>
      <c r="G903" s="2">
        <v>-4000</v>
      </c>
      <c r="H903" t="s">
        <v>1301</v>
      </c>
      <c r="J903" s="18" t="s">
        <v>4327</v>
      </c>
    </row>
    <row r="904" spans="3:10" x14ac:dyDescent="0.25">
      <c r="C904" s="17" t="str">
        <f t="shared" si="14"/>
        <v>28.801011.-125475.1612..CLEAR SCHEDULE.</v>
      </c>
      <c r="E904">
        <v>28</v>
      </c>
      <c r="F904">
        <v>801011</v>
      </c>
      <c r="G904" s="1">
        <v>-1254.75</v>
      </c>
      <c r="H904" t="s">
        <v>1302</v>
      </c>
      <c r="J904" s="18" t="s">
        <v>4327</v>
      </c>
    </row>
    <row r="905" spans="3:10" x14ac:dyDescent="0.25">
      <c r="C905" s="17" t="str">
        <f t="shared" si="14"/>
        <v>28.801011.22837668.1613..CLEAR SCHEDULE.</v>
      </c>
      <c r="E905">
        <v>28</v>
      </c>
      <c r="F905">
        <v>801011</v>
      </c>
      <c r="G905" s="2">
        <v>228376.68</v>
      </c>
      <c r="H905" t="s">
        <v>1303</v>
      </c>
      <c r="J905" s="18" t="s">
        <v>4327</v>
      </c>
    </row>
    <row r="906" spans="3:10" x14ac:dyDescent="0.25">
      <c r="C906" s="17" t="str">
        <f t="shared" si="14"/>
        <v>28.801011.-5899600.1614..CLEAR SCHEDULE.</v>
      </c>
      <c r="E906">
        <v>28</v>
      </c>
      <c r="F906">
        <v>801011</v>
      </c>
      <c r="G906" s="1">
        <v>-58996</v>
      </c>
      <c r="H906" t="s">
        <v>1304</v>
      </c>
      <c r="J906" s="18" t="s">
        <v>4327</v>
      </c>
    </row>
    <row r="907" spans="3:10" x14ac:dyDescent="0.25">
      <c r="C907" s="17" t="str">
        <f t="shared" ref="C907:C970" si="15">IF(G907=0,"",(E907&amp;"."&amp;F907&amp;"."&amp;G907*100&amp;"."&amp;H907&amp;"."&amp;I907&amp;"."&amp;J907&amp;"."&amp;K907))</f>
        <v>28.801011.-225364.1616..CLEAR SCHEDULE.</v>
      </c>
      <c r="E907">
        <v>28</v>
      </c>
      <c r="F907">
        <v>801011</v>
      </c>
      <c r="G907" s="2">
        <v>-2253.64</v>
      </c>
      <c r="H907" t="s">
        <v>1305</v>
      </c>
      <c r="J907" s="18" t="s">
        <v>4327</v>
      </c>
    </row>
    <row r="908" spans="3:10" x14ac:dyDescent="0.25">
      <c r="C908" s="17" t="str">
        <f t="shared" si="15"/>
        <v>28.801011.-1950000.1617..CLEAR SCHEDULE.</v>
      </c>
      <c r="E908">
        <v>28</v>
      </c>
      <c r="F908">
        <v>801011</v>
      </c>
      <c r="G908" s="1">
        <v>-19500</v>
      </c>
      <c r="H908" t="s">
        <v>1306</v>
      </c>
      <c r="J908" s="18" t="s">
        <v>4327</v>
      </c>
    </row>
    <row r="909" spans="3:10" x14ac:dyDescent="0.25">
      <c r="C909" s="17" t="str">
        <f t="shared" si="15"/>
        <v>28.801011.-840000.1618..CLEAR SCHEDULE.</v>
      </c>
      <c r="E909">
        <v>28</v>
      </c>
      <c r="F909">
        <v>801011</v>
      </c>
      <c r="G909" s="2">
        <v>-8400</v>
      </c>
      <c r="H909" t="s">
        <v>1307</v>
      </c>
      <c r="J909" s="18" t="s">
        <v>4327</v>
      </c>
    </row>
    <row r="910" spans="3:10" x14ac:dyDescent="0.25">
      <c r="C910" s="17" t="str">
        <f t="shared" si="15"/>
        <v>28.801011.-300000.1619..CLEAR SCHEDULE.</v>
      </c>
      <c r="E910">
        <v>28</v>
      </c>
      <c r="F910">
        <v>801011</v>
      </c>
      <c r="G910" s="1">
        <v>-3000</v>
      </c>
      <c r="H910" t="s">
        <v>1308</v>
      </c>
      <c r="J910" s="18" t="s">
        <v>4327</v>
      </c>
    </row>
    <row r="911" spans="3:10" x14ac:dyDescent="0.25">
      <c r="C911" s="17" t="str">
        <f t="shared" si="15"/>
        <v>28.801011.-20700.1620..CLEAR SCHEDULE.</v>
      </c>
      <c r="E911">
        <v>28</v>
      </c>
      <c r="F911">
        <v>801011</v>
      </c>
      <c r="G911" s="2">
        <v>-207</v>
      </c>
      <c r="H911" t="s">
        <v>1309</v>
      </c>
      <c r="J911" s="18" t="s">
        <v>4327</v>
      </c>
    </row>
    <row r="912" spans="3:10" x14ac:dyDescent="0.25">
      <c r="C912" s="17" t="str">
        <f t="shared" si="15"/>
        <v>28.801011.-50000.1621..CLEAR SCHEDULE.</v>
      </c>
      <c r="E912">
        <v>28</v>
      </c>
      <c r="F912">
        <v>801011</v>
      </c>
      <c r="G912" s="1">
        <v>-500</v>
      </c>
      <c r="H912" t="s">
        <v>1310</v>
      </c>
      <c r="J912" s="18" t="s">
        <v>4327</v>
      </c>
    </row>
    <row r="913" spans="3:10" x14ac:dyDescent="0.25">
      <c r="C913" s="17" t="str">
        <f t="shared" si="15"/>
        <v>28.801011.7736790.1622..CLEAR SCHEDULE.</v>
      </c>
      <c r="E913">
        <v>28</v>
      </c>
      <c r="F913">
        <v>801011</v>
      </c>
      <c r="G913" s="2">
        <v>77367.899999999994</v>
      </c>
      <c r="H913" t="s">
        <v>1311</v>
      </c>
      <c r="J913" s="18" t="s">
        <v>4327</v>
      </c>
    </row>
    <row r="914" spans="3:10" x14ac:dyDescent="0.25">
      <c r="C914" s="17" t="str">
        <f t="shared" si="15"/>
        <v>28.801011.-50000.1623..CLEAR SCHEDULE.</v>
      </c>
      <c r="E914">
        <v>28</v>
      </c>
      <c r="F914">
        <v>801011</v>
      </c>
      <c r="G914" s="1">
        <v>-500</v>
      </c>
      <c r="H914" t="s">
        <v>1312</v>
      </c>
      <c r="J914" s="18" t="s">
        <v>4327</v>
      </c>
    </row>
    <row r="915" spans="3:10" x14ac:dyDescent="0.25">
      <c r="C915" s="17" t="str">
        <f t="shared" si="15"/>
        <v>28.801011.4090207.1624..CLEAR SCHEDULE.</v>
      </c>
      <c r="E915">
        <v>28</v>
      </c>
      <c r="F915">
        <v>801011</v>
      </c>
      <c r="G915" s="2">
        <v>40902.07</v>
      </c>
      <c r="H915" t="s">
        <v>1313</v>
      </c>
      <c r="J915" s="18" t="s">
        <v>4327</v>
      </c>
    </row>
    <row r="916" spans="3:10" x14ac:dyDescent="0.25">
      <c r="C916" s="17" t="str">
        <f t="shared" si="15"/>
        <v>28.801011.-940500.1625..CLEAR SCHEDULE.</v>
      </c>
      <c r="E916">
        <v>28</v>
      </c>
      <c r="F916">
        <v>801011</v>
      </c>
      <c r="G916" s="1">
        <v>-9405</v>
      </c>
      <c r="H916" t="s">
        <v>1314</v>
      </c>
      <c r="J916" s="18" t="s">
        <v>4327</v>
      </c>
    </row>
    <row r="917" spans="3:10" x14ac:dyDescent="0.25">
      <c r="C917" s="17" t="str">
        <f t="shared" si="15"/>
        <v>28.801011.-2913601.1626..CLEAR SCHEDULE.</v>
      </c>
      <c r="E917">
        <v>28</v>
      </c>
      <c r="F917">
        <v>801011</v>
      </c>
      <c r="G917" s="2">
        <v>-29136.01</v>
      </c>
      <c r="H917" t="s">
        <v>1315</v>
      </c>
      <c r="J917" s="18" t="s">
        <v>4327</v>
      </c>
    </row>
    <row r="918" spans="3:10" x14ac:dyDescent="0.25">
      <c r="C918" s="17" t="str">
        <f t="shared" si="15"/>
        <v>28.801011.-26565148.1627..CLEAR SCHEDULE.</v>
      </c>
      <c r="E918">
        <v>28</v>
      </c>
      <c r="F918">
        <v>801011</v>
      </c>
      <c r="G918" s="1">
        <v>-265651.48</v>
      </c>
      <c r="H918" t="s">
        <v>1316</v>
      </c>
      <c r="J918" s="18" t="s">
        <v>4327</v>
      </c>
    </row>
    <row r="919" spans="3:10" x14ac:dyDescent="0.25">
      <c r="C919" s="17" t="str">
        <f t="shared" si="15"/>
        <v>28.801011.-400000.1628..CLEAR SCHEDULE.</v>
      </c>
      <c r="E919">
        <v>28</v>
      </c>
      <c r="F919">
        <v>801011</v>
      </c>
      <c r="G919" s="2">
        <v>-4000</v>
      </c>
      <c r="H919" t="s">
        <v>1317</v>
      </c>
      <c r="J919" s="18" t="s">
        <v>4327</v>
      </c>
    </row>
    <row r="920" spans="3:10" x14ac:dyDescent="0.25">
      <c r="C920" s="17" t="str">
        <f t="shared" si="15"/>
        <v>28.801011.-50000.1629..CLEAR SCHEDULE.</v>
      </c>
      <c r="E920">
        <v>28</v>
      </c>
      <c r="F920">
        <v>801011</v>
      </c>
      <c r="G920" s="1">
        <v>-500</v>
      </c>
      <c r="H920" t="s">
        <v>1318</v>
      </c>
      <c r="J920" s="18" t="s">
        <v>4327</v>
      </c>
    </row>
    <row r="921" spans="3:10" x14ac:dyDescent="0.25">
      <c r="C921" s="17" t="str">
        <f t="shared" si="15"/>
        <v>28.801011.32035644.1630..CLEAR SCHEDULE.</v>
      </c>
      <c r="E921">
        <v>28</v>
      </c>
      <c r="F921">
        <v>801011</v>
      </c>
      <c r="G921" s="2">
        <v>320356.44</v>
      </c>
      <c r="H921" t="s">
        <v>1319</v>
      </c>
      <c r="J921" s="18" t="s">
        <v>4327</v>
      </c>
    </row>
    <row r="922" spans="3:10" x14ac:dyDescent="0.25">
      <c r="C922" s="17" t="str">
        <f t="shared" si="15"/>
        <v>28.801011.-9560.1631..CLEAR SCHEDULE.</v>
      </c>
      <c r="E922">
        <v>28</v>
      </c>
      <c r="F922">
        <v>801011</v>
      </c>
      <c r="G922" s="1">
        <v>-95.6</v>
      </c>
      <c r="H922" t="s">
        <v>1320</v>
      </c>
      <c r="J922" s="18" t="s">
        <v>4327</v>
      </c>
    </row>
    <row r="923" spans="3:10" x14ac:dyDescent="0.25">
      <c r="C923" s="17" t="str">
        <f t="shared" si="15"/>
        <v>28.801011.-2000000.1632..CLEAR SCHEDULE.</v>
      </c>
      <c r="E923">
        <v>28</v>
      </c>
      <c r="F923">
        <v>801011</v>
      </c>
      <c r="G923" s="2">
        <v>-20000</v>
      </c>
      <c r="H923" t="s">
        <v>1321</v>
      </c>
      <c r="J923" s="18" t="s">
        <v>4327</v>
      </c>
    </row>
    <row r="924" spans="3:10" x14ac:dyDescent="0.25">
      <c r="C924" s="17" t="str">
        <f t="shared" si="15"/>
        <v>28.801011.-2858102.1633..CLEAR SCHEDULE.</v>
      </c>
      <c r="E924">
        <v>28</v>
      </c>
      <c r="F924">
        <v>801011</v>
      </c>
      <c r="G924" s="1">
        <v>-28581.02</v>
      </c>
      <c r="H924" t="s">
        <v>1322</v>
      </c>
      <c r="J924" s="18" t="s">
        <v>4327</v>
      </c>
    </row>
    <row r="925" spans="3:10" x14ac:dyDescent="0.25">
      <c r="C925" s="17" t="str">
        <f t="shared" si="15"/>
        <v>28.801011.-50000.1634..CLEAR SCHEDULE.</v>
      </c>
      <c r="E925">
        <v>28</v>
      </c>
      <c r="F925">
        <v>801011</v>
      </c>
      <c r="G925" s="2">
        <v>-500</v>
      </c>
      <c r="H925" t="s">
        <v>1323</v>
      </c>
      <c r="J925" s="18" t="s">
        <v>4327</v>
      </c>
    </row>
    <row r="926" spans="3:10" x14ac:dyDescent="0.25">
      <c r="C926" s="17" t="str">
        <f t="shared" si="15"/>
        <v>28.801011.50000.1635..CLEAR SCHEDULE.</v>
      </c>
      <c r="E926">
        <v>28</v>
      </c>
      <c r="F926">
        <v>801011</v>
      </c>
      <c r="G926" s="1">
        <v>500</v>
      </c>
      <c r="H926" t="s">
        <v>1324</v>
      </c>
      <c r="J926" s="18" t="s">
        <v>4327</v>
      </c>
    </row>
    <row r="927" spans="3:10" x14ac:dyDescent="0.25">
      <c r="C927" s="17" t="str">
        <f t="shared" si="15"/>
        <v>28.801011.4006331.1636..CLEAR SCHEDULE.</v>
      </c>
      <c r="E927">
        <v>28</v>
      </c>
      <c r="F927">
        <v>801011</v>
      </c>
      <c r="G927" s="2">
        <v>40063.31</v>
      </c>
      <c r="H927" t="s">
        <v>1325</v>
      </c>
      <c r="J927" s="18" t="s">
        <v>4327</v>
      </c>
    </row>
    <row r="928" spans="3:10" x14ac:dyDescent="0.25">
      <c r="C928" s="17" t="str">
        <f t="shared" si="15"/>
        <v>28.801011.-100000.1637..CLEAR SCHEDULE.</v>
      </c>
      <c r="E928">
        <v>28</v>
      </c>
      <c r="F928">
        <v>801011</v>
      </c>
      <c r="G928" s="1">
        <v>-1000</v>
      </c>
      <c r="H928" t="s">
        <v>1326</v>
      </c>
      <c r="J928" s="18" t="s">
        <v>4327</v>
      </c>
    </row>
    <row r="929" spans="3:10" x14ac:dyDescent="0.25">
      <c r="C929" s="17" t="str">
        <f t="shared" si="15"/>
        <v>28.801011.-300000.1638..CLEAR SCHEDULE.</v>
      </c>
      <c r="E929">
        <v>28</v>
      </c>
      <c r="F929">
        <v>801011</v>
      </c>
      <c r="G929" s="2">
        <v>-3000</v>
      </c>
      <c r="H929" t="s">
        <v>1327</v>
      </c>
      <c r="J929" s="18" t="s">
        <v>4327</v>
      </c>
    </row>
    <row r="930" spans="3:10" x14ac:dyDescent="0.25">
      <c r="C930" s="17" t="str">
        <f t="shared" si="15"/>
        <v>28.801011.4093050.1639..CLEAR SCHEDULE.</v>
      </c>
      <c r="E930">
        <v>28</v>
      </c>
      <c r="F930">
        <v>801011</v>
      </c>
      <c r="G930" s="1">
        <v>40930.5</v>
      </c>
      <c r="H930" t="s">
        <v>1328</v>
      </c>
      <c r="J930" s="18" t="s">
        <v>4327</v>
      </c>
    </row>
    <row r="931" spans="3:10" x14ac:dyDescent="0.25">
      <c r="C931" s="17" t="str">
        <f t="shared" si="15"/>
        <v>28.801011.-200000.1640..CLEAR SCHEDULE.</v>
      </c>
      <c r="E931">
        <v>28</v>
      </c>
      <c r="F931">
        <v>801011</v>
      </c>
      <c r="G931" s="2">
        <v>-2000</v>
      </c>
      <c r="H931" t="s">
        <v>1329</v>
      </c>
      <c r="J931" s="18" t="s">
        <v>4327</v>
      </c>
    </row>
    <row r="932" spans="3:10" x14ac:dyDescent="0.25">
      <c r="C932" s="17" t="str">
        <f t="shared" si="15"/>
        <v>28.801011.-457300.1641..CLEAR SCHEDULE.</v>
      </c>
      <c r="E932">
        <v>28</v>
      </c>
      <c r="F932">
        <v>801011</v>
      </c>
      <c r="G932" s="1">
        <v>-4573</v>
      </c>
      <c r="H932" t="s">
        <v>1330</v>
      </c>
      <c r="J932" s="18" t="s">
        <v>4327</v>
      </c>
    </row>
    <row r="933" spans="3:10" x14ac:dyDescent="0.25">
      <c r="C933" s="17" t="str">
        <f t="shared" si="15"/>
        <v>28.801011.-50000.1642..CLEAR SCHEDULE.</v>
      </c>
      <c r="E933">
        <v>28</v>
      </c>
      <c r="F933">
        <v>801011</v>
      </c>
      <c r="G933" s="2">
        <v>-500</v>
      </c>
      <c r="H933" t="s">
        <v>1331</v>
      </c>
      <c r="J933" s="18" t="s">
        <v>4327</v>
      </c>
    </row>
    <row r="934" spans="3:10" x14ac:dyDescent="0.25">
      <c r="C934" s="17" t="str">
        <f t="shared" si="15"/>
        <v>28.801011.-50000.1643..CLEAR SCHEDULE.</v>
      </c>
      <c r="E934">
        <v>28</v>
      </c>
      <c r="F934">
        <v>801011</v>
      </c>
      <c r="G934" s="1">
        <v>-500</v>
      </c>
      <c r="H934" t="s">
        <v>1332</v>
      </c>
      <c r="J934" s="18" t="s">
        <v>4327</v>
      </c>
    </row>
    <row r="935" spans="3:10" x14ac:dyDescent="0.25">
      <c r="C935" s="17" t="str">
        <f t="shared" si="15"/>
        <v>28.801011.1784273.1644..CLEAR SCHEDULE.</v>
      </c>
      <c r="E935">
        <v>28</v>
      </c>
      <c r="F935">
        <v>801011</v>
      </c>
      <c r="G935" s="2">
        <v>17842.73</v>
      </c>
      <c r="H935" t="s">
        <v>1333</v>
      </c>
      <c r="J935" s="18" t="s">
        <v>4327</v>
      </c>
    </row>
    <row r="936" spans="3:10" x14ac:dyDescent="0.25">
      <c r="C936" s="17" t="str">
        <f t="shared" si="15"/>
        <v>28.801011.-400000.1645..CLEAR SCHEDULE.</v>
      </c>
      <c r="E936">
        <v>28</v>
      </c>
      <c r="F936">
        <v>801011</v>
      </c>
      <c r="G936" s="1">
        <v>-4000</v>
      </c>
      <c r="H936" t="s">
        <v>1334</v>
      </c>
      <c r="J936" s="18" t="s">
        <v>4327</v>
      </c>
    </row>
    <row r="937" spans="3:10" x14ac:dyDescent="0.25">
      <c r="C937" s="17" t="str">
        <f t="shared" si="15"/>
        <v>28.801011.-100.1646..CLEAR SCHEDULE.</v>
      </c>
      <c r="E937">
        <v>28</v>
      </c>
      <c r="F937">
        <v>801011</v>
      </c>
      <c r="G937" s="2">
        <v>-1</v>
      </c>
      <c r="H937" t="s">
        <v>1335</v>
      </c>
      <c r="J937" s="18" t="s">
        <v>4327</v>
      </c>
    </row>
    <row r="938" spans="3:10" x14ac:dyDescent="0.25">
      <c r="C938" s="17" t="str">
        <f t="shared" si="15"/>
        <v>28.801011.100.1647..CLEAR SCHEDULE.</v>
      </c>
      <c r="E938">
        <v>28</v>
      </c>
      <c r="F938">
        <v>801011</v>
      </c>
      <c r="G938" s="1">
        <v>1</v>
      </c>
      <c r="H938" t="s">
        <v>1336</v>
      </c>
      <c r="J938" s="18" t="s">
        <v>4327</v>
      </c>
    </row>
    <row r="939" spans="3:10" x14ac:dyDescent="0.25">
      <c r="C939" s="17" t="str">
        <f t="shared" si="15"/>
        <v>28.801011.1224399.1648..CLEAR SCHEDULE.</v>
      </c>
      <c r="E939">
        <v>28</v>
      </c>
      <c r="F939">
        <v>801011</v>
      </c>
      <c r="G939" s="2">
        <v>12243.99</v>
      </c>
      <c r="H939" t="s">
        <v>1337</v>
      </c>
      <c r="J939" s="18" t="s">
        <v>4327</v>
      </c>
    </row>
    <row r="940" spans="3:10" x14ac:dyDescent="0.25">
      <c r="C940" s="17" t="str">
        <f t="shared" si="15"/>
        <v>28.801011.-50000.1649..CLEAR SCHEDULE.</v>
      </c>
      <c r="E940">
        <v>28</v>
      </c>
      <c r="F940">
        <v>801011</v>
      </c>
      <c r="G940" s="1">
        <v>-500</v>
      </c>
      <c r="H940" t="s">
        <v>1338</v>
      </c>
      <c r="J940" s="18" t="s">
        <v>4327</v>
      </c>
    </row>
    <row r="941" spans="3:10" x14ac:dyDescent="0.25">
      <c r="C941" s="17" t="str">
        <f t="shared" si="15"/>
        <v>28.801011.-500000.1650..CLEAR SCHEDULE.</v>
      </c>
      <c r="E941">
        <v>28</v>
      </c>
      <c r="F941">
        <v>801011</v>
      </c>
      <c r="G941" s="2">
        <v>-5000</v>
      </c>
      <c r="H941" t="s">
        <v>1339</v>
      </c>
      <c r="J941" s="18" t="s">
        <v>4327</v>
      </c>
    </row>
    <row r="942" spans="3:10" x14ac:dyDescent="0.25">
      <c r="C942" s="17" t="str">
        <f t="shared" si="15"/>
        <v>28.801011.-50000.1651..CLEAR SCHEDULE.</v>
      </c>
      <c r="E942">
        <v>28</v>
      </c>
      <c r="F942">
        <v>801011</v>
      </c>
      <c r="G942" s="1">
        <v>-500</v>
      </c>
      <c r="H942" t="s">
        <v>1340</v>
      </c>
      <c r="J942" s="18" t="s">
        <v>4327</v>
      </c>
    </row>
    <row r="943" spans="3:10" x14ac:dyDescent="0.25">
      <c r="C943" s="17" t="str">
        <f t="shared" si="15"/>
        <v>28.801011.-600000.1652..CLEAR SCHEDULE.</v>
      </c>
      <c r="E943">
        <v>28</v>
      </c>
      <c r="F943">
        <v>801011</v>
      </c>
      <c r="G943" s="2">
        <v>-6000</v>
      </c>
      <c r="H943" t="s">
        <v>1341</v>
      </c>
      <c r="J943" s="18" t="s">
        <v>4327</v>
      </c>
    </row>
    <row r="944" spans="3:10" x14ac:dyDescent="0.25">
      <c r="C944" s="17" t="str">
        <f t="shared" si="15"/>
        <v>28.801011.-200000.1653..CLEAR SCHEDULE.</v>
      </c>
      <c r="E944">
        <v>28</v>
      </c>
      <c r="F944">
        <v>801011</v>
      </c>
      <c r="G944" s="1">
        <v>-2000</v>
      </c>
      <c r="H944" t="s">
        <v>1342</v>
      </c>
      <c r="J944" s="18" t="s">
        <v>4327</v>
      </c>
    </row>
    <row r="945" spans="3:10" x14ac:dyDescent="0.25">
      <c r="C945" s="17" t="str">
        <f t="shared" si="15"/>
        <v>28.801011.2606068.1654..CLEAR SCHEDULE.</v>
      </c>
      <c r="E945">
        <v>28</v>
      </c>
      <c r="F945">
        <v>801011</v>
      </c>
      <c r="G945" s="2">
        <v>26060.68</v>
      </c>
      <c r="H945" t="s">
        <v>1343</v>
      </c>
      <c r="J945" s="18" t="s">
        <v>4327</v>
      </c>
    </row>
    <row r="946" spans="3:10" x14ac:dyDescent="0.25">
      <c r="C946" s="17" t="str">
        <f t="shared" si="15"/>
        <v>28.801011.-24592.1655..CLEAR SCHEDULE.</v>
      </c>
      <c r="E946">
        <v>28</v>
      </c>
      <c r="F946">
        <v>801011</v>
      </c>
      <c r="G946" s="1">
        <v>-245.92</v>
      </c>
      <c r="H946" t="s">
        <v>1344</v>
      </c>
      <c r="J946" s="18" t="s">
        <v>4327</v>
      </c>
    </row>
    <row r="947" spans="3:10" x14ac:dyDescent="0.25">
      <c r="C947" s="17" t="str">
        <f t="shared" si="15"/>
        <v>28.801011.-3968830.1656..CLEAR SCHEDULE.</v>
      </c>
      <c r="E947">
        <v>28</v>
      </c>
      <c r="F947">
        <v>801011</v>
      </c>
      <c r="G947" s="2">
        <v>-39688.300000000003</v>
      </c>
      <c r="H947" t="s">
        <v>1345</v>
      </c>
      <c r="J947" s="18" t="s">
        <v>4327</v>
      </c>
    </row>
    <row r="948" spans="3:10" x14ac:dyDescent="0.25">
      <c r="C948" s="17" t="str">
        <f t="shared" si="15"/>
        <v>28.801011.-50000.1657..CLEAR SCHEDULE.</v>
      </c>
      <c r="E948">
        <v>28</v>
      </c>
      <c r="F948">
        <v>801011</v>
      </c>
      <c r="G948" s="1">
        <v>-500</v>
      </c>
      <c r="H948" t="s">
        <v>1346</v>
      </c>
      <c r="J948" s="18" t="s">
        <v>4327</v>
      </c>
    </row>
    <row r="949" spans="3:10" x14ac:dyDescent="0.25">
      <c r="C949" s="17" t="str">
        <f t="shared" si="15"/>
        <v>28.801011.-6516639.1658..CLEAR SCHEDULE.</v>
      </c>
      <c r="E949">
        <v>28</v>
      </c>
      <c r="F949">
        <v>801011</v>
      </c>
      <c r="G949" s="2">
        <v>-65166.39</v>
      </c>
      <c r="H949" t="s">
        <v>1347</v>
      </c>
      <c r="J949" s="18" t="s">
        <v>4327</v>
      </c>
    </row>
    <row r="950" spans="3:10" x14ac:dyDescent="0.25">
      <c r="C950" s="17" t="str">
        <f t="shared" si="15"/>
        <v>28.801011.-719600.1659..CLEAR SCHEDULE.</v>
      </c>
      <c r="E950">
        <v>28</v>
      </c>
      <c r="F950">
        <v>801011</v>
      </c>
      <c r="G950" s="1">
        <v>-7196</v>
      </c>
      <c r="H950" t="s">
        <v>1348</v>
      </c>
      <c r="J950" s="18" t="s">
        <v>4327</v>
      </c>
    </row>
    <row r="951" spans="3:10" x14ac:dyDescent="0.25">
      <c r="C951" s="17" t="str">
        <f t="shared" si="15"/>
        <v>28.801011.-2462400.1660..CLEAR SCHEDULE.</v>
      </c>
      <c r="E951">
        <v>28</v>
      </c>
      <c r="F951">
        <v>801011</v>
      </c>
      <c r="G951" s="2">
        <v>-24624</v>
      </c>
      <c r="H951" t="s">
        <v>1349</v>
      </c>
      <c r="J951" s="18" t="s">
        <v>4327</v>
      </c>
    </row>
    <row r="952" spans="3:10" x14ac:dyDescent="0.25">
      <c r="C952" s="17" t="str">
        <f t="shared" si="15"/>
        <v>28.801011.-950100.1661..CLEAR SCHEDULE.</v>
      </c>
      <c r="E952">
        <v>28</v>
      </c>
      <c r="F952">
        <v>801011</v>
      </c>
      <c r="G952" s="1">
        <v>-9501</v>
      </c>
      <c r="H952" t="s">
        <v>1350</v>
      </c>
      <c r="J952" s="18" t="s">
        <v>4327</v>
      </c>
    </row>
    <row r="953" spans="3:10" x14ac:dyDescent="0.25">
      <c r="C953" s="17" t="str">
        <f t="shared" si="15"/>
        <v>28.801011.-990000.1662..CLEAR SCHEDULE.</v>
      </c>
      <c r="E953">
        <v>28</v>
      </c>
      <c r="F953">
        <v>801011</v>
      </c>
      <c r="G953" s="2">
        <v>-9900</v>
      </c>
      <c r="H953" t="s">
        <v>1351</v>
      </c>
      <c r="J953" s="18" t="s">
        <v>4327</v>
      </c>
    </row>
    <row r="954" spans="3:10" x14ac:dyDescent="0.25">
      <c r="C954" s="17" t="str">
        <f t="shared" si="15"/>
        <v>28.801011.-203974.1663..CLEAR SCHEDULE.</v>
      </c>
      <c r="E954">
        <v>28</v>
      </c>
      <c r="F954">
        <v>801011</v>
      </c>
      <c r="G954" s="1">
        <v>-2039.74</v>
      </c>
      <c r="H954" t="s">
        <v>1352</v>
      </c>
      <c r="J954" s="18" t="s">
        <v>4327</v>
      </c>
    </row>
    <row r="955" spans="3:10" x14ac:dyDescent="0.25">
      <c r="C955" s="17" t="str">
        <f t="shared" si="15"/>
        <v>28.801011.-800000.1664..CLEAR SCHEDULE.</v>
      </c>
      <c r="E955">
        <v>28</v>
      </c>
      <c r="F955">
        <v>801011</v>
      </c>
      <c r="G955" s="2">
        <v>-8000</v>
      </c>
      <c r="H955" t="s">
        <v>1353</v>
      </c>
      <c r="J955" s="18" t="s">
        <v>4327</v>
      </c>
    </row>
    <row r="956" spans="3:10" x14ac:dyDescent="0.25">
      <c r="C956" s="17" t="str">
        <f t="shared" si="15"/>
        <v>28.801011.-600000.1665..CLEAR SCHEDULE.</v>
      </c>
      <c r="E956">
        <v>28</v>
      </c>
      <c r="F956">
        <v>801011</v>
      </c>
      <c r="G956" s="1">
        <v>-6000</v>
      </c>
      <c r="H956" t="s">
        <v>1354</v>
      </c>
      <c r="J956" s="18" t="s">
        <v>4327</v>
      </c>
    </row>
    <row r="957" spans="3:10" x14ac:dyDescent="0.25">
      <c r="C957" s="17" t="str">
        <f t="shared" si="15"/>
        <v>28.801011.-300000.1666..CLEAR SCHEDULE.</v>
      </c>
      <c r="E957">
        <v>28</v>
      </c>
      <c r="F957">
        <v>801011</v>
      </c>
      <c r="G957" s="2">
        <v>-3000</v>
      </c>
      <c r="H957" t="s">
        <v>1355</v>
      </c>
      <c r="J957" s="18" t="s">
        <v>4327</v>
      </c>
    </row>
    <row r="958" spans="3:10" x14ac:dyDescent="0.25">
      <c r="C958" s="17" t="str">
        <f t="shared" si="15"/>
        <v>28.801011.50000.1667..CLEAR SCHEDULE.</v>
      </c>
      <c r="E958">
        <v>28</v>
      </c>
      <c r="F958">
        <v>801011</v>
      </c>
      <c r="G958" s="1">
        <v>500</v>
      </c>
      <c r="H958" t="s">
        <v>1356</v>
      </c>
      <c r="J958" s="18" t="s">
        <v>4327</v>
      </c>
    </row>
    <row r="959" spans="3:10" x14ac:dyDescent="0.25">
      <c r="C959" s="17" t="str">
        <f t="shared" si="15"/>
        <v>28.801011.-160000.1668..CLEAR SCHEDULE.</v>
      </c>
      <c r="E959">
        <v>28</v>
      </c>
      <c r="F959">
        <v>801011</v>
      </c>
      <c r="G959" s="2">
        <v>-1600</v>
      </c>
      <c r="H959" t="s">
        <v>1357</v>
      </c>
      <c r="J959" s="18" t="s">
        <v>4327</v>
      </c>
    </row>
    <row r="960" spans="3:10" x14ac:dyDescent="0.25">
      <c r="C960" s="17" t="str">
        <f t="shared" si="15"/>
        <v>28.801011.-90000.1669..CLEAR SCHEDULE.</v>
      </c>
      <c r="E960">
        <v>28</v>
      </c>
      <c r="F960">
        <v>801011</v>
      </c>
      <c r="G960" s="1">
        <v>-900</v>
      </c>
      <c r="H960" t="s">
        <v>1358</v>
      </c>
      <c r="J960" s="18" t="s">
        <v>4327</v>
      </c>
    </row>
    <row r="961" spans="3:10" x14ac:dyDescent="0.25">
      <c r="C961" s="17" t="str">
        <f t="shared" si="15"/>
        <v>28.801011.-1355900.1670..CLEAR SCHEDULE.</v>
      </c>
      <c r="E961">
        <v>28</v>
      </c>
      <c r="F961">
        <v>801011</v>
      </c>
      <c r="G961" s="2">
        <v>-13559</v>
      </c>
      <c r="H961" t="s">
        <v>1359</v>
      </c>
      <c r="J961" s="18" t="s">
        <v>4327</v>
      </c>
    </row>
    <row r="962" spans="3:10" x14ac:dyDescent="0.25">
      <c r="C962" s="17" t="str">
        <f t="shared" si="15"/>
        <v>28.801011.-114000.1671..CLEAR SCHEDULE.</v>
      </c>
      <c r="E962">
        <v>28</v>
      </c>
      <c r="F962">
        <v>801011</v>
      </c>
      <c r="G962" s="1">
        <v>-1140</v>
      </c>
      <c r="H962" t="s">
        <v>1360</v>
      </c>
      <c r="J962" s="18" t="s">
        <v>4327</v>
      </c>
    </row>
    <row r="963" spans="3:10" x14ac:dyDescent="0.25">
      <c r="C963" s="17" t="str">
        <f t="shared" si="15"/>
        <v>28.801011.-1862055.1672..CLEAR SCHEDULE.</v>
      </c>
      <c r="E963">
        <v>28</v>
      </c>
      <c r="F963">
        <v>801011</v>
      </c>
      <c r="G963" s="2">
        <v>-18620.55</v>
      </c>
      <c r="H963" t="s">
        <v>1361</v>
      </c>
      <c r="J963" s="18" t="s">
        <v>4327</v>
      </c>
    </row>
    <row r="964" spans="3:10" x14ac:dyDescent="0.25">
      <c r="C964" s="17" t="str">
        <f t="shared" si="15"/>
        <v>28.801011.-142794.1673..CLEAR SCHEDULE.</v>
      </c>
      <c r="E964">
        <v>28</v>
      </c>
      <c r="F964">
        <v>801011</v>
      </c>
      <c r="G964" s="1">
        <v>-1427.94</v>
      </c>
      <c r="H964" t="s">
        <v>1362</v>
      </c>
      <c r="J964" s="18" t="s">
        <v>4327</v>
      </c>
    </row>
    <row r="965" spans="3:10" x14ac:dyDescent="0.25">
      <c r="C965" s="17" t="str">
        <f t="shared" si="15"/>
        <v>28.801011.-5200000.1674..CLEAR SCHEDULE.</v>
      </c>
      <c r="E965">
        <v>28</v>
      </c>
      <c r="F965">
        <v>801011</v>
      </c>
      <c r="G965" s="2">
        <v>-52000</v>
      </c>
      <c r="H965" t="s">
        <v>1363</v>
      </c>
      <c r="J965" s="18" t="s">
        <v>4327</v>
      </c>
    </row>
    <row r="966" spans="3:10" x14ac:dyDescent="0.25">
      <c r="C966" s="17" t="str">
        <f t="shared" si="15"/>
        <v>28.801011.20036164.1675..CLEAR SCHEDULE.</v>
      </c>
      <c r="E966">
        <v>28</v>
      </c>
      <c r="F966">
        <v>801011</v>
      </c>
      <c r="G966" s="1">
        <v>200361.64</v>
      </c>
      <c r="H966" t="s">
        <v>1364</v>
      </c>
      <c r="J966" s="18" t="s">
        <v>4327</v>
      </c>
    </row>
    <row r="967" spans="3:10" x14ac:dyDescent="0.25">
      <c r="C967" s="17" t="str">
        <f t="shared" si="15"/>
        <v>28.801011.-100000.1676..CLEAR SCHEDULE.</v>
      </c>
      <c r="E967">
        <v>28</v>
      </c>
      <c r="F967">
        <v>801011</v>
      </c>
      <c r="G967" s="2">
        <v>-1000</v>
      </c>
      <c r="H967" t="s">
        <v>1365</v>
      </c>
      <c r="J967" s="18" t="s">
        <v>4327</v>
      </c>
    </row>
    <row r="968" spans="3:10" x14ac:dyDescent="0.25">
      <c r="C968" s="17" t="str">
        <f t="shared" si="15"/>
        <v>28.801011.-300000.1677..CLEAR SCHEDULE.</v>
      </c>
      <c r="E968">
        <v>28</v>
      </c>
      <c r="F968">
        <v>801011</v>
      </c>
      <c r="G968" s="1">
        <v>-3000</v>
      </c>
      <c r="H968" t="s">
        <v>1366</v>
      </c>
      <c r="J968" s="18" t="s">
        <v>4327</v>
      </c>
    </row>
    <row r="969" spans="3:10" x14ac:dyDescent="0.25">
      <c r="C969" s="17" t="str">
        <f t="shared" si="15"/>
        <v>28.801011.-1500000.1678..CLEAR SCHEDULE.</v>
      </c>
      <c r="E969">
        <v>28</v>
      </c>
      <c r="F969">
        <v>801011</v>
      </c>
      <c r="G969" s="2">
        <v>-15000</v>
      </c>
      <c r="H969" t="s">
        <v>1367</v>
      </c>
      <c r="J969" s="18" t="s">
        <v>4327</v>
      </c>
    </row>
    <row r="970" spans="3:10" x14ac:dyDescent="0.25">
      <c r="C970" s="17" t="str">
        <f t="shared" si="15"/>
        <v>28.801011.-161998.1679..CLEAR SCHEDULE.</v>
      </c>
      <c r="E970">
        <v>28</v>
      </c>
      <c r="F970">
        <v>801011</v>
      </c>
      <c r="G970" s="1">
        <v>-1619.98</v>
      </c>
      <c r="H970" t="s">
        <v>1368</v>
      </c>
      <c r="J970" s="18" t="s">
        <v>4327</v>
      </c>
    </row>
    <row r="971" spans="3:10" x14ac:dyDescent="0.25">
      <c r="C971" s="17" t="str">
        <f t="shared" ref="C971:C1034" si="16">IF(G971=0,"",(E971&amp;"."&amp;F971&amp;"."&amp;G971*100&amp;"."&amp;H971&amp;"."&amp;I971&amp;"."&amp;J971&amp;"."&amp;K971))</f>
        <v>28.801011.11188532.1680..CLEAR SCHEDULE.</v>
      </c>
      <c r="E971">
        <v>28</v>
      </c>
      <c r="F971">
        <v>801011</v>
      </c>
      <c r="G971" s="2">
        <v>111885.32</v>
      </c>
      <c r="H971" t="s">
        <v>1369</v>
      </c>
      <c r="J971" s="18" t="s">
        <v>4327</v>
      </c>
    </row>
    <row r="972" spans="3:10" x14ac:dyDescent="0.25">
      <c r="C972" s="17" t="str">
        <f t="shared" si="16"/>
        <v>28.801011.-900000.1681..CLEAR SCHEDULE.</v>
      </c>
      <c r="E972">
        <v>28</v>
      </c>
      <c r="F972">
        <v>801011</v>
      </c>
      <c r="G972" s="1">
        <v>-9000</v>
      </c>
      <c r="H972" t="s">
        <v>1370</v>
      </c>
      <c r="J972" s="18" t="s">
        <v>4327</v>
      </c>
    </row>
    <row r="973" spans="3:10" x14ac:dyDescent="0.25">
      <c r="C973" s="17" t="str">
        <f t="shared" si="16"/>
        <v>28.801011.-50000.1682..CLEAR SCHEDULE.</v>
      </c>
      <c r="E973">
        <v>28</v>
      </c>
      <c r="F973">
        <v>801011</v>
      </c>
      <c r="G973" s="2">
        <v>-500</v>
      </c>
      <c r="H973" t="s">
        <v>1371</v>
      </c>
      <c r="J973" s="18" t="s">
        <v>4327</v>
      </c>
    </row>
    <row r="974" spans="3:10" x14ac:dyDescent="0.25">
      <c r="C974" s="17" t="str">
        <f t="shared" si="16"/>
        <v>28.801011.-50000.1683..CLEAR SCHEDULE.</v>
      </c>
      <c r="E974">
        <v>28</v>
      </c>
      <c r="F974">
        <v>801011</v>
      </c>
      <c r="G974" s="1">
        <v>-500</v>
      </c>
      <c r="H974" t="s">
        <v>1372</v>
      </c>
      <c r="J974" s="18" t="s">
        <v>4327</v>
      </c>
    </row>
    <row r="975" spans="3:10" x14ac:dyDescent="0.25">
      <c r="C975" s="17" t="str">
        <f t="shared" si="16"/>
        <v>28.801011.-900000.1684..CLEAR SCHEDULE.</v>
      </c>
      <c r="E975">
        <v>28</v>
      </c>
      <c r="F975">
        <v>801011</v>
      </c>
      <c r="G975" s="2">
        <v>-9000</v>
      </c>
      <c r="H975" t="s">
        <v>1373</v>
      </c>
      <c r="J975" s="18" t="s">
        <v>4327</v>
      </c>
    </row>
    <row r="976" spans="3:10" x14ac:dyDescent="0.25">
      <c r="C976" s="17" t="str">
        <f t="shared" si="16"/>
        <v>28.801011.2340864.1685..CLEAR SCHEDULE.</v>
      </c>
      <c r="E976">
        <v>28</v>
      </c>
      <c r="F976">
        <v>801011</v>
      </c>
      <c r="G976" s="1">
        <v>23408.639999999999</v>
      </c>
      <c r="H976" t="s">
        <v>1374</v>
      </c>
      <c r="J976" s="18" t="s">
        <v>4327</v>
      </c>
    </row>
    <row r="977" spans="3:10" x14ac:dyDescent="0.25">
      <c r="C977" s="17" t="str">
        <f t="shared" si="16"/>
        <v>28.801011.-4500000.1686..CLEAR SCHEDULE.</v>
      </c>
      <c r="E977">
        <v>28</v>
      </c>
      <c r="F977">
        <v>801011</v>
      </c>
      <c r="G977" s="2">
        <v>-45000</v>
      </c>
      <c r="H977" t="s">
        <v>1375</v>
      </c>
      <c r="J977" s="18" t="s">
        <v>4327</v>
      </c>
    </row>
    <row r="978" spans="3:10" x14ac:dyDescent="0.25">
      <c r="C978" s="17" t="str">
        <f t="shared" si="16"/>
        <v>28.801011.-4750000.1687..CLEAR SCHEDULE.</v>
      </c>
      <c r="E978">
        <v>28</v>
      </c>
      <c r="F978">
        <v>801011</v>
      </c>
      <c r="G978" s="1">
        <v>-47500</v>
      </c>
      <c r="H978" t="s">
        <v>1376</v>
      </c>
      <c r="J978" s="18" t="s">
        <v>4327</v>
      </c>
    </row>
    <row r="979" spans="3:10" x14ac:dyDescent="0.25">
      <c r="C979" s="17" t="str">
        <f t="shared" si="16"/>
        <v>28.801011.-1000000.1688..CLEAR SCHEDULE.</v>
      </c>
      <c r="E979">
        <v>28</v>
      </c>
      <c r="F979">
        <v>801011</v>
      </c>
      <c r="G979" s="2">
        <v>-10000</v>
      </c>
      <c r="H979" t="s">
        <v>1377</v>
      </c>
      <c r="J979" s="18" t="s">
        <v>4327</v>
      </c>
    </row>
    <row r="980" spans="3:10" x14ac:dyDescent="0.25">
      <c r="C980" s="17" t="str">
        <f t="shared" si="16"/>
        <v>28.801011.12383347.1689..CLEAR SCHEDULE.</v>
      </c>
      <c r="E980">
        <v>28</v>
      </c>
      <c r="F980">
        <v>801011</v>
      </c>
      <c r="G980" s="1">
        <v>123833.47</v>
      </c>
      <c r="H980" t="s">
        <v>1378</v>
      </c>
      <c r="J980" s="18" t="s">
        <v>4327</v>
      </c>
    </row>
    <row r="981" spans="3:10" x14ac:dyDescent="0.25">
      <c r="C981" s="17" t="str">
        <f t="shared" si="16"/>
        <v>28.801011.-1000000.1690..CLEAR SCHEDULE.</v>
      </c>
      <c r="E981">
        <v>28</v>
      </c>
      <c r="F981">
        <v>801011</v>
      </c>
      <c r="G981" s="2">
        <v>-10000</v>
      </c>
      <c r="H981" t="s">
        <v>1379</v>
      </c>
      <c r="J981" s="18" t="s">
        <v>4327</v>
      </c>
    </row>
    <row r="982" spans="3:10" x14ac:dyDescent="0.25">
      <c r="C982" s="17" t="str">
        <f t="shared" si="16"/>
        <v>28.801011.-200000.1691..CLEAR SCHEDULE.</v>
      </c>
      <c r="E982">
        <v>28</v>
      </c>
      <c r="F982">
        <v>801011</v>
      </c>
      <c r="G982" s="1">
        <v>-2000</v>
      </c>
      <c r="H982" t="s">
        <v>1380</v>
      </c>
      <c r="J982" s="18" t="s">
        <v>4327</v>
      </c>
    </row>
    <row r="983" spans="3:10" x14ac:dyDescent="0.25">
      <c r="C983" s="17" t="str">
        <f t="shared" si="16"/>
        <v>28.801011.-4000000.1692..CLEAR SCHEDULE.</v>
      </c>
      <c r="E983">
        <v>28</v>
      </c>
      <c r="F983">
        <v>801011</v>
      </c>
      <c r="G983" s="2">
        <v>-40000</v>
      </c>
      <c r="H983" t="s">
        <v>1381</v>
      </c>
      <c r="J983" s="18" t="s">
        <v>4327</v>
      </c>
    </row>
    <row r="984" spans="3:10" x14ac:dyDescent="0.25">
      <c r="C984" s="17" t="str">
        <f t="shared" si="16"/>
        <v>28.801011.3433758.1693..CLEAR SCHEDULE.</v>
      </c>
      <c r="E984">
        <v>28</v>
      </c>
      <c r="F984">
        <v>801011</v>
      </c>
      <c r="G984" s="1">
        <v>34337.58</v>
      </c>
      <c r="H984" t="s">
        <v>1382</v>
      </c>
      <c r="J984" s="18" t="s">
        <v>4327</v>
      </c>
    </row>
    <row r="985" spans="3:10" x14ac:dyDescent="0.25">
      <c r="C985" s="17" t="str">
        <f t="shared" si="16"/>
        <v>28.801011.50000.1694..CLEAR SCHEDULE.</v>
      </c>
      <c r="E985">
        <v>28</v>
      </c>
      <c r="F985">
        <v>801011</v>
      </c>
      <c r="G985" s="2">
        <v>500</v>
      </c>
      <c r="H985" t="s">
        <v>1383</v>
      </c>
      <c r="J985" s="18" t="s">
        <v>4327</v>
      </c>
    </row>
    <row r="986" spans="3:10" x14ac:dyDescent="0.25">
      <c r="C986" s="17" t="str">
        <f t="shared" si="16"/>
        <v>28.801011.50000.1695..CLEAR SCHEDULE.</v>
      </c>
      <c r="E986">
        <v>28</v>
      </c>
      <c r="F986">
        <v>801011</v>
      </c>
      <c r="G986" s="1">
        <v>500</v>
      </c>
      <c r="H986" t="s">
        <v>1384</v>
      </c>
      <c r="J986" s="18" t="s">
        <v>4327</v>
      </c>
    </row>
    <row r="987" spans="3:10" x14ac:dyDescent="0.25">
      <c r="C987" s="17" t="str">
        <f t="shared" si="16"/>
        <v>28.801011.-1395781.1696..CLEAR SCHEDULE.</v>
      </c>
      <c r="E987">
        <v>28</v>
      </c>
      <c r="F987">
        <v>801011</v>
      </c>
      <c r="G987" s="2">
        <v>-13957.81</v>
      </c>
      <c r="H987" t="s">
        <v>1385</v>
      </c>
      <c r="J987" s="18" t="s">
        <v>4327</v>
      </c>
    </row>
    <row r="988" spans="3:10" x14ac:dyDescent="0.25">
      <c r="C988" s="17" t="str">
        <f t="shared" si="16"/>
        <v>28.801011.-50000.1697..CLEAR SCHEDULE.</v>
      </c>
      <c r="E988">
        <v>28</v>
      </c>
      <c r="F988">
        <v>801011</v>
      </c>
      <c r="G988" s="1">
        <v>-500</v>
      </c>
      <c r="H988" t="s">
        <v>1386</v>
      </c>
      <c r="J988" s="18" t="s">
        <v>4327</v>
      </c>
    </row>
    <row r="989" spans="3:10" x14ac:dyDescent="0.25">
      <c r="C989" s="17" t="str">
        <f t="shared" si="16"/>
        <v>28.801011.-800000.1698..CLEAR SCHEDULE.</v>
      </c>
      <c r="E989">
        <v>28</v>
      </c>
      <c r="F989">
        <v>801011</v>
      </c>
      <c r="G989" s="2">
        <v>-8000</v>
      </c>
      <c r="H989" t="s">
        <v>1387</v>
      </c>
      <c r="J989" s="18" t="s">
        <v>4327</v>
      </c>
    </row>
    <row r="990" spans="3:10" x14ac:dyDescent="0.25">
      <c r="C990" s="17" t="str">
        <f t="shared" si="16"/>
        <v>28.801011.-240000.1699..CLEAR SCHEDULE.</v>
      </c>
      <c r="E990">
        <v>28</v>
      </c>
      <c r="F990">
        <v>801011</v>
      </c>
      <c r="G990" s="1">
        <v>-2400</v>
      </c>
      <c r="H990" t="s">
        <v>1388</v>
      </c>
      <c r="J990" s="18" t="s">
        <v>4327</v>
      </c>
    </row>
    <row r="991" spans="3:10" x14ac:dyDescent="0.25">
      <c r="C991" s="17" t="str">
        <f t="shared" si="16"/>
        <v>28.801011.-250000.1700..CLEAR SCHEDULE.</v>
      </c>
      <c r="E991">
        <v>28</v>
      </c>
      <c r="F991">
        <v>801011</v>
      </c>
      <c r="G991" s="2">
        <v>-2500</v>
      </c>
      <c r="H991" t="s">
        <v>1389</v>
      </c>
      <c r="J991" s="18" t="s">
        <v>4327</v>
      </c>
    </row>
    <row r="992" spans="3:10" x14ac:dyDescent="0.25">
      <c r="C992" s="17" t="str">
        <f t="shared" si="16"/>
        <v>28.801011.-50000.1701..CLEAR SCHEDULE.</v>
      </c>
      <c r="E992">
        <v>28</v>
      </c>
      <c r="F992">
        <v>801011</v>
      </c>
      <c r="G992" s="1">
        <v>-500</v>
      </c>
      <c r="H992" t="s">
        <v>1390</v>
      </c>
      <c r="J992" s="18" t="s">
        <v>4327</v>
      </c>
    </row>
    <row r="993" spans="3:10" x14ac:dyDescent="0.25">
      <c r="C993" s="17" t="str">
        <f t="shared" si="16"/>
        <v>28.801011.-50000.1702..CLEAR SCHEDULE.</v>
      </c>
      <c r="E993">
        <v>28</v>
      </c>
      <c r="F993">
        <v>801011</v>
      </c>
      <c r="G993" s="2">
        <v>-500</v>
      </c>
      <c r="H993" t="s">
        <v>1391</v>
      </c>
      <c r="J993" s="18" t="s">
        <v>4327</v>
      </c>
    </row>
    <row r="994" spans="3:10" x14ac:dyDescent="0.25">
      <c r="C994" s="17" t="str">
        <f t="shared" si="16"/>
        <v>28.801011.8278712.1703..CLEAR SCHEDULE.</v>
      </c>
      <c r="E994">
        <v>28</v>
      </c>
      <c r="F994">
        <v>801011</v>
      </c>
      <c r="G994" s="1">
        <v>82787.12</v>
      </c>
      <c r="H994" t="s">
        <v>1392</v>
      </c>
      <c r="J994" s="18" t="s">
        <v>4327</v>
      </c>
    </row>
    <row r="995" spans="3:10" x14ac:dyDescent="0.25">
      <c r="C995" s="17" t="str">
        <f t="shared" si="16"/>
        <v>28.801011.-2500000.1704..CLEAR SCHEDULE.</v>
      </c>
      <c r="E995">
        <v>28</v>
      </c>
      <c r="F995">
        <v>801011</v>
      </c>
      <c r="G995" s="2">
        <v>-25000</v>
      </c>
      <c r="H995" t="s">
        <v>1393</v>
      </c>
      <c r="J995" s="18" t="s">
        <v>4327</v>
      </c>
    </row>
    <row r="996" spans="3:10" x14ac:dyDescent="0.25">
      <c r="C996" s="17" t="str">
        <f t="shared" si="16"/>
        <v>28.801011.-1050000.1705..CLEAR SCHEDULE.</v>
      </c>
      <c r="E996">
        <v>28</v>
      </c>
      <c r="F996">
        <v>801011</v>
      </c>
      <c r="G996" s="1">
        <v>-10500</v>
      </c>
      <c r="H996" t="s">
        <v>1394</v>
      </c>
      <c r="J996" s="18" t="s">
        <v>4327</v>
      </c>
    </row>
    <row r="997" spans="3:10" x14ac:dyDescent="0.25">
      <c r="C997" s="17" t="str">
        <f t="shared" si="16"/>
        <v>28.801011.-900000.1706..CLEAR SCHEDULE.</v>
      </c>
      <c r="E997">
        <v>28</v>
      </c>
      <c r="F997">
        <v>801011</v>
      </c>
      <c r="G997" s="2">
        <v>-9000</v>
      </c>
      <c r="H997" t="s">
        <v>1395</v>
      </c>
      <c r="J997" s="18" t="s">
        <v>4327</v>
      </c>
    </row>
    <row r="998" spans="3:10" x14ac:dyDescent="0.25">
      <c r="C998" s="17" t="str">
        <f t="shared" si="16"/>
        <v>28.801011.-1022600.1707..CLEAR SCHEDULE.</v>
      </c>
      <c r="E998">
        <v>28</v>
      </c>
      <c r="F998">
        <v>801011</v>
      </c>
      <c r="G998" s="1">
        <v>-10226</v>
      </c>
      <c r="H998" t="s">
        <v>1396</v>
      </c>
      <c r="J998" s="18" t="s">
        <v>4327</v>
      </c>
    </row>
    <row r="999" spans="3:10" x14ac:dyDescent="0.25">
      <c r="C999" s="17" t="str">
        <f t="shared" si="16"/>
        <v>28.801011.-3448604.1708..CLEAR SCHEDULE.</v>
      </c>
      <c r="E999">
        <v>28</v>
      </c>
      <c r="F999">
        <v>801011</v>
      </c>
      <c r="G999" s="2">
        <v>-34486.04</v>
      </c>
      <c r="H999" t="s">
        <v>1397</v>
      </c>
      <c r="J999" s="18" t="s">
        <v>4327</v>
      </c>
    </row>
    <row r="1000" spans="3:10" x14ac:dyDescent="0.25">
      <c r="C1000" s="17" t="str">
        <f t="shared" si="16"/>
        <v>28.801011.-1505000.1709..CLEAR SCHEDULE.</v>
      </c>
      <c r="E1000">
        <v>28</v>
      </c>
      <c r="F1000">
        <v>801011</v>
      </c>
      <c r="G1000" s="1">
        <v>-15050</v>
      </c>
      <c r="H1000" t="s">
        <v>1398</v>
      </c>
      <c r="J1000" s="18" t="s">
        <v>4327</v>
      </c>
    </row>
    <row r="1001" spans="3:10" x14ac:dyDescent="0.25">
      <c r="C1001" s="17" t="str">
        <f t="shared" si="16"/>
        <v>28.801011.-4360000.1710..CLEAR SCHEDULE.</v>
      </c>
      <c r="E1001">
        <v>28</v>
      </c>
      <c r="F1001">
        <v>801011</v>
      </c>
      <c r="G1001" s="2">
        <v>-43600</v>
      </c>
      <c r="H1001" t="s">
        <v>1399</v>
      </c>
      <c r="J1001" s="18" t="s">
        <v>4327</v>
      </c>
    </row>
    <row r="1002" spans="3:10" x14ac:dyDescent="0.25">
      <c r="C1002" s="17" t="str">
        <f t="shared" si="16"/>
        <v>28.801011.-50000.1711..CLEAR SCHEDULE.</v>
      </c>
      <c r="E1002">
        <v>28</v>
      </c>
      <c r="F1002">
        <v>801011</v>
      </c>
      <c r="G1002" s="1">
        <v>-500</v>
      </c>
      <c r="H1002" t="s">
        <v>1400</v>
      </c>
      <c r="J1002" s="18" t="s">
        <v>4327</v>
      </c>
    </row>
    <row r="1003" spans="3:10" x14ac:dyDescent="0.25">
      <c r="C1003" s="17" t="str">
        <f t="shared" si="16"/>
        <v>28.801011.15573118.1712..CLEAR SCHEDULE.</v>
      </c>
      <c r="E1003">
        <v>28</v>
      </c>
      <c r="F1003">
        <v>801011</v>
      </c>
      <c r="G1003" s="2">
        <v>155731.18</v>
      </c>
      <c r="H1003" t="s">
        <v>1401</v>
      </c>
      <c r="J1003" s="18" t="s">
        <v>4327</v>
      </c>
    </row>
    <row r="1004" spans="3:10" x14ac:dyDescent="0.25">
      <c r="C1004" s="17" t="str">
        <f t="shared" si="16"/>
        <v>28.801011.-8254.5003..CLEAR SCHEDULE.</v>
      </c>
      <c r="E1004">
        <v>28</v>
      </c>
      <c r="F1004">
        <v>801011</v>
      </c>
      <c r="G1004" s="1">
        <v>-82.54</v>
      </c>
      <c r="H1004" t="s">
        <v>1402</v>
      </c>
      <c r="J1004" s="18" t="s">
        <v>4327</v>
      </c>
    </row>
    <row r="1005" spans="3:10" x14ac:dyDescent="0.25">
      <c r="C1005" s="17" t="str">
        <f t="shared" si="16"/>
        <v>28.801011.-11308.5008..CLEAR SCHEDULE.</v>
      </c>
      <c r="E1005">
        <v>28</v>
      </c>
      <c r="F1005">
        <v>801011</v>
      </c>
      <c r="G1005" s="2">
        <v>-113.08</v>
      </c>
      <c r="H1005" t="s">
        <v>1403</v>
      </c>
      <c r="J1005" s="18" t="s">
        <v>4327</v>
      </c>
    </row>
    <row r="1006" spans="3:10" x14ac:dyDescent="0.25">
      <c r="C1006" s="17" t="str">
        <f t="shared" si="16"/>
        <v>28.801011.36.5026..CLEAR SCHEDULE.</v>
      </c>
      <c r="E1006">
        <v>28</v>
      </c>
      <c r="F1006">
        <v>801011</v>
      </c>
      <c r="G1006" s="1">
        <v>0.36</v>
      </c>
      <c r="H1006" t="s">
        <v>1404</v>
      </c>
      <c r="J1006" s="18" t="s">
        <v>4327</v>
      </c>
    </row>
    <row r="1007" spans="3:10" x14ac:dyDescent="0.25">
      <c r="C1007" s="17" t="str">
        <f t="shared" si="16"/>
        <v>28.801011.-9853.5036..CLEAR SCHEDULE.</v>
      </c>
      <c r="E1007">
        <v>28</v>
      </c>
      <c r="F1007">
        <v>801011</v>
      </c>
      <c r="G1007" s="2">
        <v>-98.53</v>
      </c>
      <c r="H1007" t="s">
        <v>1405</v>
      </c>
      <c r="J1007" s="18" t="s">
        <v>4327</v>
      </c>
    </row>
    <row r="1008" spans="3:10" x14ac:dyDescent="0.25">
      <c r="C1008" s="17" t="str">
        <f t="shared" si="16"/>
        <v>28.801011.89885.5038..CLEAR SCHEDULE.</v>
      </c>
      <c r="E1008">
        <v>28</v>
      </c>
      <c r="F1008">
        <v>801011</v>
      </c>
      <c r="G1008" s="1">
        <v>898.85</v>
      </c>
      <c r="H1008" t="s">
        <v>1406</v>
      </c>
      <c r="J1008" s="18" t="s">
        <v>4327</v>
      </c>
    </row>
    <row r="1009" spans="3:10" x14ac:dyDescent="0.25">
      <c r="C1009" s="17" t="str">
        <f t="shared" si="16"/>
        <v>28.801011.-30966.5046..CLEAR SCHEDULE.</v>
      </c>
      <c r="E1009">
        <v>28</v>
      </c>
      <c r="F1009">
        <v>801011</v>
      </c>
      <c r="G1009" s="2">
        <v>-309.66000000000003</v>
      </c>
      <c r="H1009" t="s">
        <v>1407</v>
      </c>
      <c r="J1009" s="18" t="s">
        <v>4327</v>
      </c>
    </row>
    <row r="1010" spans="3:10" x14ac:dyDescent="0.25">
      <c r="C1010" s="17" t="str">
        <f t="shared" si="16"/>
        <v>28.801011.624.5055..CLEAR SCHEDULE.</v>
      </c>
      <c r="E1010">
        <v>28</v>
      </c>
      <c r="F1010">
        <v>801011</v>
      </c>
      <c r="G1010" s="1">
        <v>6.24</v>
      </c>
      <c r="H1010" t="s">
        <v>1408</v>
      </c>
      <c r="J1010" s="18" t="s">
        <v>4327</v>
      </c>
    </row>
    <row r="1011" spans="3:10" x14ac:dyDescent="0.25">
      <c r="C1011" s="17" t="str">
        <f t="shared" si="16"/>
        <v>28.801011.591.5092..CLEAR SCHEDULE.</v>
      </c>
      <c r="E1011">
        <v>28</v>
      </c>
      <c r="F1011">
        <v>801011</v>
      </c>
      <c r="G1011" s="2">
        <v>5.91</v>
      </c>
      <c r="H1011" t="s">
        <v>1409</v>
      </c>
      <c r="J1011" s="18" t="s">
        <v>4327</v>
      </c>
    </row>
    <row r="1012" spans="3:10" x14ac:dyDescent="0.25">
      <c r="C1012" s="17" t="str">
        <f t="shared" si="16"/>
        <v>28.801011.-2084.5093..CLEAR SCHEDULE.</v>
      </c>
      <c r="E1012">
        <v>28</v>
      </c>
      <c r="F1012">
        <v>801011</v>
      </c>
      <c r="G1012" s="1">
        <v>-20.84</v>
      </c>
      <c r="H1012" t="s">
        <v>1410</v>
      </c>
      <c r="J1012" s="18" t="s">
        <v>4327</v>
      </c>
    </row>
    <row r="1013" spans="3:10" x14ac:dyDescent="0.25">
      <c r="C1013" s="17" t="str">
        <f t="shared" si="16"/>
        <v>28.801011.496.5113..CLEAR SCHEDULE.</v>
      </c>
      <c r="E1013">
        <v>28</v>
      </c>
      <c r="F1013">
        <v>801011</v>
      </c>
      <c r="G1013" s="2">
        <v>4.96</v>
      </c>
      <c r="H1013" t="s">
        <v>1411</v>
      </c>
      <c r="J1013" s="18" t="s">
        <v>4327</v>
      </c>
    </row>
    <row r="1014" spans="3:10" x14ac:dyDescent="0.25">
      <c r="C1014" s="17" t="str">
        <f t="shared" si="16"/>
        <v>28.801011.-124475.5120..CLEAR SCHEDULE.</v>
      </c>
      <c r="E1014">
        <v>28</v>
      </c>
      <c r="F1014">
        <v>801011</v>
      </c>
      <c r="G1014" s="1">
        <v>-1244.75</v>
      </c>
      <c r="H1014" t="s">
        <v>1412</v>
      </c>
      <c r="J1014" s="18" t="s">
        <v>4327</v>
      </c>
    </row>
    <row r="1015" spans="3:10" x14ac:dyDescent="0.25">
      <c r="C1015" s="17" t="str">
        <f t="shared" si="16"/>
        <v>28.801011.-100000.5145..CLEAR SCHEDULE.</v>
      </c>
      <c r="E1015">
        <v>28</v>
      </c>
      <c r="F1015">
        <v>801011</v>
      </c>
      <c r="G1015" s="2">
        <v>-1000</v>
      </c>
      <c r="H1015" t="s">
        <v>1413</v>
      </c>
      <c r="J1015" s="18" t="s">
        <v>4327</v>
      </c>
    </row>
    <row r="1016" spans="3:10" x14ac:dyDescent="0.25">
      <c r="C1016" s="17" t="str">
        <f t="shared" si="16"/>
        <v>28.801011.-49454.5158..CLEAR SCHEDULE.</v>
      </c>
      <c r="E1016">
        <v>28</v>
      </c>
      <c r="F1016">
        <v>801011</v>
      </c>
      <c r="G1016" s="1">
        <v>-494.54</v>
      </c>
      <c r="H1016" t="s">
        <v>1414</v>
      </c>
      <c r="J1016" s="18" t="s">
        <v>4327</v>
      </c>
    </row>
    <row r="1017" spans="3:10" x14ac:dyDescent="0.25">
      <c r="C1017" s="17" t="str">
        <f t="shared" si="16"/>
        <v>28.801011.-4800.5351..CLEAR SCHEDULE.</v>
      </c>
      <c r="E1017">
        <v>28</v>
      </c>
      <c r="F1017">
        <v>801011</v>
      </c>
      <c r="G1017" s="2">
        <v>-48</v>
      </c>
      <c r="H1017" t="s">
        <v>1415</v>
      </c>
      <c r="J1017" s="18" t="s">
        <v>4327</v>
      </c>
    </row>
    <row r="1018" spans="3:10" x14ac:dyDescent="0.25">
      <c r="C1018" s="17" t="str">
        <f t="shared" si="16"/>
        <v>28.801011.-9751.5380..CLEAR SCHEDULE.</v>
      </c>
      <c r="E1018">
        <v>28</v>
      </c>
      <c r="F1018">
        <v>801011</v>
      </c>
      <c r="G1018" s="1">
        <v>-97.51</v>
      </c>
      <c r="H1018" t="s">
        <v>1416</v>
      </c>
      <c r="J1018" s="18" t="s">
        <v>4327</v>
      </c>
    </row>
    <row r="1019" spans="3:10" x14ac:dyDescent="0.25">
      <c r="C1019" s="17" t="str">
        <f t="shared" si="16"/>
        <v>28.801011.771.5466..CLEAR SCHEDULE.</v>
      </c>
      <c r="E1019">
        <v>28</v>
      </c>
      <c r="F1019">
        <v>801011</v>
      </c>
      <c r="G1019" s="2">
        <v>7.71</v>
      </c>
      <c r="H1019" t="s">
        <v>1417</v>
      </c>
      <c r="J1019" s="18" t="s">
        <v>4327</v>
      </c>
    </row>
    <row r="1020" spans="3:10" x14ac:dyDescent="0.25">
      <c r="C1020" s="17" t="str">
        <f t="shared" si="16"/>
        <v>28.801011.-18234.5502..CLEAR SCHEDULE.</v>
      </c>
      <c r="E1020">
        <v>28</v>
      </c>
      <c r="F1020">
        <v>801011</v>
      </c>
      <c r="G1020" s="1">
        <v>-182.34</v>
      </c>
      <c r="H1020" t="s">
        <v>1418</v>
      </c>
      <c r="J1020" s="18" t="s">
        <v>4327</v>
      </c>
    </row>
    <row r="1021" spans="3:10" x14ac:dyDescent="0.25">
      <c r="C1021" s="17" t="str">
        <f t="shared" si="16"/>
        <v>28.801011.5144.5516..CLEAR SCHEDULE.</v>
      </c>
      <c r="E1021">
        <v>28</v>
      </c>
      <c r="F1021">
        <v>801011</v>
      </c>
      <c r="G1021" s="2">
        <v>51.44</v>
      </c>
      <c r="H1021" t="s">
        <v>1419</v>
      </c>
      <c r="J1021" s="18" t="s">
        <v>4327</v>
      </c>
    </row>
    <row r="1022" spans="3:10" x14ac:dyDescent="0.25">
      <c r="C1022" s="17" t="str">
        <f t="shared" si="16"/>
        <v>28.801011.10004.5527..CLEAR SCHEDULE.</v>
      </c>
      <c r="E1022">
        <v>28</v>
      </c>
      <c r="F1022">
        <v>801011</v>
      </c>
      <c r="G1022" s="1">
        <v>100.04</v>
      </c>
      <c r="H1022" t="s">
        <v>1420</v>
      </c>
      <c r="J1022" s="18" t="s">
        <v>4327</v>
      </c>
    </row>
    <row r="1023" spans="3:10" x14ac:dyDescent="0.25">
      <c r="C1023" s="17" t="str">
        <f t="shared" si="16"/>
        <v>28.801011.6817.5553..CLEAR SCHEDULE.</v>
      </c>
      <c r="E1023">
        <v>28</v>
      </c>
      <c r="F1023">
        <v>801011</v>
      </c>
      <c r="G1023" s="2">
        <v>68.17</v>
      </c>
      <c r="H1023" t="s">
        <v>1421</v>
      </c>
      <c r="J1023" s="18" t="s">
        <v>4327</v>
      </c>
    </row>
    <row r="1024" spans="3:10" x14ac:dyDescent="0.25">
      <c r="C1024" s="17" t="str">
        <f t="shared" si="16"/>
        <v>28.801011.-5144.5616..CLEAR SCHEDULE.</v>
      </c>
      <c r="E1024">
        <v>28</v>
      </c>
      <c r="F1024">
        <v>801011</v>
      </c>
      <c r="G1024" s="1">
        <v>-51.44</v>
      </c>
      <c r="H1024" t="s">
        <v>1422</v>
      </c>
      <c r="J1024" s="18" t="s">
        <v>4327</v>
      </c>
    </row>
    <row r="1025" spans="3:10" x14ac:dyDescent="0.25">
      <c r="C1025" s="17" t="str">
        <f t="shared" si="16"/>
        <v>28.801011.-10004.5627..CLEAR SCHEDULE.</v>
      </c>
      <c r="E1025">
        <v>28</v>
      </c>
      <c r="F1025">
        <v>801011</v>
      </c>
      <c r="G1025" s="2">
        <v>-100.04</v>
      </c>
      <c r="H1025" t="s">
        <v>1423</v>
      </c>
      <c r="J1025" s="18" t="s">
        <v>4327</v>
      </c>
    </row>
    <row r="1026" spans="3:10" x14ac:dyDescent="0.25">
      <c r="C1026" s="17" t="str">
        <f t="shared" si="16"/>
        <v>28.801011.267517.5639..CLEAR SCHEDULE.</v>
      </c>
      <c r="E1026">
        <v>28</v>
      </c>
      <c r="F1026">
        <v>801011</v>
      </c>
      <c r="G1026" s="1">
        <v>2675.17</v>
      </c>
      <c r="H1026" t="s">
        <v>1424</v>
      </c>
      <c r="J1026" s="18" t="s">
        <v>4327</v>
      </c>
    </row>
    <row r="1027" spans="3:10" x14ac:dyDescent="0.25">
      <c r="C1027" s="17" t="str">
        <f t="shared" si="16"/>
        <v>28.801011.-1600839.5660..CLEAR SCHEDULE.</v>
      </c>
      <c r="E1027">
        <v>28</v>
      </c>
      <c r="F1027">
        <v>801011</v>
      </c>
      <c r="G1027" s="2">
        <v>-16008.39</v>
      </c>
      <c r="H1027" t="s">
        <v>1425</v>
      </c>
      <c r="J1027" s="18" t="s">
        <v>4327</v>
      </c>
    </row>
    <row r="1028" spans="3:10" x14ac:dyDescent="0.25">
      <c r="C1028" s="17" t="str">
        <f t="shared" si="16"/>
        <v>28.801011.3.5712..CLEAR SCHEDULE.</v>
      </c>
      <c r="E1028">
        <v>28</v>
      </c>
      <c r="F1028">
        <v>801011</v>
      </c>
      <c r="G1028" s="1">
        <v>0.03</v>
      </c>
      <c r="H1028" t="s">
        <v>1426</v>
      </c>
      <c r="J1028" s="18" t="s">
        <v>4327</v>
      </c>
    </row>
    <row r="1029" spans="3:10" x14ac:dyDescent="0.25">
      <c r="C1029" s="17" t="str">
        <f t="shared" si="16"/>
        <v>28.801011.-990767.5718..CLEAR SCHEDULE.</v>
      </c>
      <c r="E1029">
        <v>28</v>
      </c>
      <c r="F1029">
        <v>801011</v>
      </c>
      <c r="G1029" s="2">
        <v>-9907.67</v>
      </c>
      <c r="H1029" t="s">
        <v>1427</v>
      </c>
      <c r="J1029" s="18" t="s">
        <v>4327</v>
      </c>
    </row>
    <row r="1030" spans="3:10" x14ac:dyDescent="0.25">
      <c r="C1030" s="17" t="str">
        <f t="shared" si="16"/>
        <v>28.801011.160.5746..CLEAR SCHEDULE.</v>
      </c>
      <c r="E1030">
        <v>28</v>
      </c>
      <c r="F1030">
        <v>801011</v>
      </c>
      <c r="G1030" s="1">
        <v>1.6</v>
      </c>
      <c r="H1030" t="s">
        <v>1428</v>
      </c>
      <c r="J1030" s="18" t="s">
        <v>4327</v>
      </c>
    </row>
    <row r="1031" spans="3:10" x14ac:dyDescent="0.25">
      <c r="C1031" s="17" t="str">
        <f t="shared" si="16"/>
        <v>28.801011.-6.5750..CLEAR SCHEDULE.</v>
      </c>
      <c r="E1031">
        <v>28</v>
      </c>
      <c r="F1031">
        <v>801011</v>
      </c>
      <c r="G1031" s="2">
        <v>-0.06</v>
      </c>
      <c r="H1031" t="s">
        <v>1429</v>
      </c>
      <c r="J1031" s="18" t="s">
        <v>4327</v>
      </c>
    </row>
    <row r="1032" spans="3:10" x14ac:dyDescent="0.25">
      <c r="C1032" s="17" t="str">
        <f t="shared" si="16"/>
        <v>28.801011.6000.5865..CLEAR SCHEDULE.</v>
      </c>
      <c r="E1032">
        <v>28</v>
      </c>
      <c r="F1032">
        <v>801011</v>
      </c>
      <c r="G1032" s="1">
        <v>60</v>
      </c>
      <c r="H1032" t="s">
        <v>1430</v>
      </c>
      <c r="J1032" s="18" t="s">
        <v>4327</v>
      </c>
    </row>
    <row r="1033" spans="3:10" x14ac:dyDescent="0.25">
      <c r="C1033" s="17" t="str">
        <f t="shared" si="16"/>
        <v>28.801011.2400.5869..CLEAR SCHEDULE.</v>
      </c>
      <c r="E1033">
        <v>28</v>
      </c>
      <c r="F1033">
        <v>801011</v>
      </c>
      <c r="G1033" s="2">
        <v>24</v>
      </c>
      <c r="H1033" t="s">
        <v>1431</v>
      </c>
      <c r="J1033" s="18" t="s">
        <v>4327</v>
      </c>
    </row>
    <row r="1034" spans="3:10" x14ac:dyDescent="0.25">
      <c r="C1034" s="17" t="str">
        <f t="shared" si="16"/>
        <v>28.801011.-5753.5878..CLEAR SCHEDULE.</v>
      </c>
      <c r="E1034">
        <v>28</v>
      </c>
      <c r="F1034">
        <v>801011</v>
      </c>
      <c r="G1034" s="1">
        <v>-57.53</v>
      </c>
      <c r="H1034" t="s">
        <v>1432</v>
      </c>
      <c r="J1034" s="18" t="s">
        <v>4327</v>
      </c>
    </row>
    <row r="1035" spans="3:10" x14ac:dyDescent="0.25">
      <c r="C1035" s="17" t="str">
        <f t="shared" ref="C1035:C1098" si="17">IF(G1035=0,"",(E1035&amp;"."&amp;F1035&amp;"."&amp;G1035*100&amp;"."&amp;H1035&amp;"."&amp;I1035&amp;"."&amp;J1035&amp;"."&amp;K1035))</f>
        <v>28.801011.-801.5916..CLEAR SCHEDULE.</v>
      </c>
      <c r="E1035">
        <v>28</v>
      </c>
      <c r="F1035">
        <v>801011</v>
      </c>
      <c r="G1035" s="2">
        <v>-8.01</v>
      </c>
      <c r="H1035" t="s">
        <v>1433</v>
      </c>
      <c r="J1035" s="18" t="s">
        <v>4327</v>
      </c>
    </row>
    <row r="1036" spans="3:10" x14ac:dyDescent="0.25">
      <c r="C1036" s="17" t="str">
        <f t="shared" si="17"/>
        <v>28.801011.-552432.5929..CLEAR SCHEDULE.</v>
      </c>
      <c r="E1036">
        <v>28</v>
      </c>
      <c r="F1036">
        <v>801011</v>
      </c>
      <c r="G1036" s="1">
        <v>-5524.32</v>
      </c>
      <c r="H1036" t="s">
        <v>1434</v>
      </c>
      <c r="J1036" s="18" t="s">
        <v>4327</v>
      </c>
    </row>
    <row r="1037" spans="3:10" x14ac:dyDescent="0.25">
      <c r="C1037" s="17" t="str">
        <f t="shared" si="17"/>
        <v>28.801011.-386892.5930..CLEAR SCHEDULE.</v>
      </c>
      <c r="E1037">
        <v>28</v>
      </c>
      <c r="F1037">
        <v>801011</v>
      </c>
      <c r="G1037" s="2">
        <v>-3868.92</v>
      </c>
      <c r="H1037" t="s">
        <v>1435</v>
      </c>
      <c r="J1037" s="18" t="s">
        <v>4327</v>
      </c>
    </row>
    <row r="1038" spans="3:10" x14ac:dyDescent="0.25">
      <c r="C1038" s="17" t="str">
        <f t="shared" si="17"/>
        <v>28.801011.-76271.5966..CLEAR SCHEDULE.</v>
      </c>
      <c r="E1038">
        <v>28</v>
      </c>
      <c r="F1038">
        <v>801011</v>
      </c>
      <c r="G1038" s="1">
        <v>-762.71</v>
      </c>
      <c r="H1038" t="s">
        <v>1436</v>
      </c>
      <c r="J1038" s="18" t="s">
        <v>4327</v>
      </c>
    </row>
    <row r="1039" spans="3:10" x14ac:dyDescent="0.25">
      <c r="C1039" s="17" t="str">
        <f t="shared" si="17"/>
        <v>28.801011.-101739.5978..CLEAR SCHEDULE.</v>
      </c>
      <c r="E1039">
        <v>28</v>
      </c>
      <c r="F1039">
        <v>801011</v>
      </c>
      <c r="G1039" s="2">
        <v>-1017.39</v>
      </c>
      <c r="H1039" t="s">
        <v>1437</v>
      </c>
      <c r="J1039" s="18" t="s">
        <v>4327</v>
      </c>
    </row>
    <row r="1040" spans="3:10" x14ac:dyDescent="0.25">
      <c r="C1040" s="17" t="str">
        <f t="shared" si="17"/>
        <v>28.801011.-19742.6005..CLEAR SCHEDULE.</v>
      </c>
      <c r="E1040">
        <v>28</v>
      </c>
      <c r="F1040">
        <v>801011</v>
      </c>
      <c r="G1040" s="1">
        <v>-197.42</v>
      </c>
      <c r="H1040" t="s">
        <v>1438</v>
      </c>
      <c r="J1040" s="18" t="s">
        <v>4327</v>
      </c>
    </row>
    <row r="1041" spans="3:10" x14ac:dyDescent="0.25">
      <c r="C1041" s="17" t="str">
        <f t="shared" si="17"/>
        <v>28.801011.-15945.6013..CLEAR SCHEDULE.</v>
      </c>
      <c r="E1041">
        <v>28</v>
      </c>
      <c r="F1041">
        <v>801011</v>
      </c>
      <c r="G1041" s="2">
        <v>-159.44999999999999</v>
      </c>
      <c r="H1041" t="s">
        <v>1439</v>
      </c>
      <c r="J1041" s="18" t="s">
        <v>4327</v>
      </c>
    </row>
    <row r="1042" spans="3:10" x14ac:dyDescent="0.25">
      <c r="C1042" s="17" t="str">
        <f t="shared" si="17"/>
        <v>28.801011.-5170.6014..CLEAR SCHEDULE.</v>
      </c>
      <c r="E1042">
        <v>28</v>
      </c>
      <c r="F1042">
        <v>801011</v>
      </c>
      <c r="G1042" s="1">
        <v>-51.7</v>
      </c>
      <c r="H1042" t="s">
        <v>1440</v>
      </c>
      <c r="J1042" s="18" t="s">
        <v>4327</v>
      </c>
    </row>
    <row r="1043" spans="3:10" x14ac:dyDescent="0.25">
      <c r="C1043" s="17" t="str">
        <f t="shared" si="17"/>
        <v>28.801011.-16092.6015..CLEAR SCHEDULE.</v>
      </c>
      <c r="E1043">
        <v>28</v>
      </c>
      <c r="F1043">
        <v>801011</v>
      </c>
      <c r="G1043" s="2">
        <v>-160.91999999999999</v>
      </c>
      <c r="H1043" t="s">
        <v>1441</v>
      </c>
      <c r="J1043" s="18" t="s">
        <v>4327</v>
      </c>
    </row>
    <row r="1044" spans="3:10" x14ac:dyDescent="0.25">
      <c r="C1044" s="17" t="str">
        <f t="shared" si="17"/>
        <v>28.801011.-5415.6017..CLEAR SCHEDULE.</v>
      </c>
      <c r="E1044">
        <v>28</v>
      </c>
      <c r="F1044">
        <v>801011</v>
      </c>
      <c r="G1044" s="1">
        <v>-54.15</v>
      </c>
      <c r="H1044" t="s">
        <v>1442</v>
      </c>
      <c r="J1044" s="18" t="s">
        <v>4327</v>
      </c>
    </row>
    <row r="1045" spans="3:10" x14ac:dyDescent="0.25">
      <c r="C1045" s="17" t="str">
        <f t="shared" si="17"/>
        <v>28.801011.-8972.6018..CLEAR SCHEDULE.</v>
      </c>
      <c r="E1045">
        <v>28</v>
      </c>
      <c r="F1045">
        <v>801011</v>
      </c>
      <c r="G1045" s="2">
        <v>-89.72</v>
      </c>
      <c r="H1045" t="s">
        <v>1443</v>
      </c>
      <c r="J1045" s="18" t="s">
        <v>4327</v>
      </c>
    </row>
    <row r="1046" spans="3:10" x14ac:dyDescent="0.25">
      <c r="C1046" s="17" t="str">
        <f t="shared" si="17"/>
        <v>28.801011.-19742.6019..CLEAR SCHEDULE.</v>
      </c>
      <c r="E1046">
        <v>28</v>
      </c>
      <c r="F1046">
        <v>801011</v>
      </c>
      <c r="G1046" s="1">
        <v>-197.42</v>
      </c>
      <c r="H1046" t="s">
        <v>1444</v>
      </c>
      <c r="J1046" s="18" t="s">
        <v>4327</v>
      </c>
    </row>
    <row r="1047" spans="3:10" x14ac:dyDescent="0.25">
      <c r="C1047" s="17" t="str">
        <f t="shared" si="17"/>
        <v>28.801011.-9871.6020..CLEAR SCHEDULE.</v>
      </c>
      <c r="E1047">
        <v>28</v>
      </c>
      <c r="F1047">
        <v>801011</v>
      </c>
      <c r="G1047" s="2">
        <v>-98.71</v>
      </c>
      <c r="H1047" t="s">
        <v>1445</v>
      </c>
      <c r="J1047" s="18" t="s">
        <v>4327</v>
      </c>
    </row>
    <row r="1048" spans="3:10" x14ac:dyDescent="0.25">
      <c r="C1048" s="17" t="str">
        <f t="shared" si="17"/>
        <v>28.801011.-77639.6023..CLEAR SCHEDULE.</v>
      </c>
      <c r="E1048">
        <v>28</v>
      </c>
      <c r="F1048">
        <v>801011</v>
      </c>
      <c r="G1048" s="1">
        <v>-776.39</v>
      </c>
      <c r="H1048" t="s">
        <v>1446</v>
      </c>
      <c r="J1048" s="18" t="s">
        <v>4327</v>
      </c>
    </row>
    <row r="1049" spans="3:10" x14ac:dyDescent="0.25">
      <c r="C1049" s="17" t="str">
        <f t="shared" si="17"/>
        <v>28.801011.-82066.6030..CLEAR SCHEDULE.</v>
      </c>
      <c r="E1049">
        <v>28</v>
      </c>
      <c r="F1049">
        <v>801011</v>
      </c>
      <c r="G1049" s="2">
        <v>-820.66</v>
      </c>
      <c r="H1049" t="s">
        <v>1447</v>
      </c>
      <c r="J1049" s="18" t="s">
        <v>4327</v>
      </c>
    </row>
    <row r="1050" spans="3:10" x14ac:dyDescent="0.25">
      <c r="C1050" s="17" t="str">
        <f t="shared" si="17"/>
        <v>28.801011.-203441.6031..CLEAR SCHEDULE.</v>
      </c>
      <c r="E1050">
        <v>28</v>
      </c>
      <c r="F1050">
        <v>801011</v>
      </c>
      <c r="G1050" s="1">
        <v>-2034.41</v>
      </c>
      <c r="H1050" t="s">
        <v>1448</v>
      </c>
      <c r="J1050" s="18" t="s">
        <v>4327</v>
      </c>
    </row>
    <row r="1051" spans="3:10" x14ac:dyDescent="0.25">
      <c r="C1051" s="17" t="str">
        <f t="shared" si="17"/>
        <v>28.801011.-101473.6033..CLEAR SCHEDULE.</v>
      </c>
      <c r="E1051">
        <v>28</v>
      </c>
      <c r="F1051">
        <v>801011</v>
      </c>
      <c r="G1051" s="2">
        <v>-1014.73</v>
      </c>
      <c r="H1051" t="s">
        <v>1449</v>
      </c>
      <c r="J1051" s="18" t="s">
        <v>4327</v>
      </c>
    </row>
    <row r="1052" spans="3:10" x14ac:dyDescent="0.25">
      <c r="C1052" s="17" t="str">
        <f t="shared" si="17"/>
        <v>28.801011.-5415.6034..CLEAR SCHEDULE.</v>
      </c>
      <c r="E1052">
        <v>28</v>
      </c>
      <c r="F1052">
        <v>801011</v>
      </c>
      <c r="G1052" s="1">
        <v>-54.15</v>
      </c>
      <c r="H1052" t="s">
        <v>1450</v>
      </c>
      <c r="J1052" s="18" t="s">
        <v>4327</v>
      </c>
    </row>
    <row r="1053" spans="3:10" x14ac:dyDescent="0.25">
      <c r="C1053" s="17" t="str">
        <f t="shared" si="17"/>
        <v>28.801011.-9180.6035..CLEAR SCHEDULE.</v>
      </c>
      <c r="E1053">
        <v>28</v>
      </c>
      <c r="F1053">
        <v>801011</v>
      </c>
      <c r="G1053" s="2">
        <v>-91.8</v>
      </c>
      <c r="H1053" t="s">
        <v>1451</v>
      </c>
      <c r="J1053" s="18" t="s">
        <v>4327</v>
      </c>
    </row>
    <row r="1054" spans="3:10" x14ac:dyDescent="0.25">
      <c r="C1054" s="17" t="str">
        <f t="shared" si="17"/>
        <v>28.801011.-7421.6036..CLEAR SCHEDULE.</v>
      </c>
      <c r="E1054">
        <v>28</v>
      </c>
      <c r="F1054">
        <v>801011</v>
      </c>
      <c r="G1054" s="1">
        <v>-74.209999999999994</v>
      </c>
      <c r="H1054" t="s">
        <v>1452</v>
      </c>
      <c r="J1054" s="18" t="s">
        <v>4327</v>
      </c>
    </row>
    <row r="1055" spans="3:10" x14ac:dyDescent="0.25">
      <c r="C1055" s="17" t="str">
        <f t="shared" si="17"/>
        <v>28.801011.-40932.6037..CLEAR SCHEDULE.</v>
      </c>
      <c r="E1055">
        <v>28</v>
      </c>
      <c r="F1055">
        <v>801011</v>
      </c>
      <c r="G1055" s="2">
        <v>-409.32</v>
      </c>
      <c r="H1055" t="s">
        <v>1453</v>
      </c>
      <c r="J1055" s="18" t="s">
        <v>4327</v>
      </c>
    </row>
    <row r="1056" spans="3:10" x14ac:dyDescent="0.25">
      <c r="C1056" s="17" t="str">
        <f t="shared" si="17"/>
        <v>28.801011.-39456.6038..CLEAR SCHEDULE.</v>
      </c>
      <c r="E1056">
        <v>28</v>
      </c>
      <c r="F1056">
        <v>801011</v>
      </c>
      <c r="G1056" s="1">
        <v>-394.56</v>
      </c>
      <c r="H1056" t="s">
        <v>1454</v>
      </c>
      <c r="J1056" s="18" t="s">
        <v>4327</v>
      </c>
    </row>
    <row r="1057" spans="3:10" x14ac:dyDescent="0.25">
      <c r="C1057" s="17" t="str">
        <f t="shared" si="17"/>
        <v>28.801011.-25613.6040..CLEAR SCHEDULE.</v>
      </c>
      <c r="E1057">
        <v>28</v>
      </c>
      <c r="F1057">
        <v>801011</v>
      </c>
      <c r="G1057" s="2">
        <v>-256.13</v>
      </c>
      <c r="H1057" t="s">
        <v>1455</v>
      </c>
      <c r="J1057" s="18" t="s">
        <v>4327</v>
      </c>
    </row>
    <row r="1058" spans="3:10" x14ac:dyDescent="0.25">
      <c r="C1058" s="17" t="str">
        <f t="shared" si="17"/>
        <v>28.801011.-14387.6042..CLEAR SCHEDULE.</v>
      </c>
      <c r="E1058">
        <v>28</v>
      </c>
      <c r="F1058">
        <v>801011</v>
      </c>
      <c r="G1058" s="1">
        <v>-143.87</v>
      </c>
      <c r="H1058" t="s">
        <v>1456</v>
      </c>
      <c r="J1058" s="18" t="s">
        <v>4327</v>
      </c>
    </row>
    <row r="1059" spans="3:10" x14ac:dyDescent="0.25">
      <c r="C1059" s="17" t="str">
        <f t="shared" si="17"/>
        <v>28.801011.-14387.6043..CLEAR SCHEDULE.</v>
      </c>
      <c r="E1059">
        <v>28</v>
      </c>
      <c r="F1059">
        <v>801011</v>
      </c>
      <c r="G1059" s="2">
        <v>-143.87</v>
      </c>
      <c r="H1059" t="s">
        <v>1457</v>
      </c>
      <c r="J1059" s="18" t="s">
        <v>4327</v>
      </c>
    </row>
    <row r="1060" spans="3:10" x14ac:dyDescent="0.25">
      <c r="C1060" s="17" t="str">
        <f t="shared" si="17"/>
        <v>28.801011.-15166.6044..CLEAR SCHEDULE.</v>
      </c>
      <c r="E1060">
        <v>28</v>
      </c>
      <c r="F1060">
        <v>801011</v>
      </c>
      <c r="G1060" s="1">
        <v>-151.66</v>
      </c>
      <c r="H1060" t="s">
        <v>1458</v>
      </c>
      <c r="J1060" s="18" t="s">
        <v>4327</v>
      </c>
    </row>
    <row r="1061" spans="3:10" x14ac:dyDescent="0.25">
      <c r="C1061" s="17" t="str">
        <f t="shared" si="17"/>
        <v>28.801011.-8750.6045..CLEAR SCHEDULE.</v>
      </c>
      <c r="E1061">
        <v>28</v>
      </c>
      <c r="F1061">
        <v>801011</v>
      </c>
      <c r="G1061" s="2">
        <v>-87.5</v>
      </c>
      <c r="H1061" t="s">
        <v>1459</v>
      </c>
      <c r="J1061" s="18" t="s">
        <v>4327</v>
      </c>
    </row>
    <row r="1062" spans="3:10" x14ac:dyDescent="0.25">
      <c r="C1062" s="17" t="str">
        <f t="shared" si="17"/>
        <v>28.801011.-52091.6048..CLEAR SCHEDULE.</v>
      </c>
      <c r="E1062">
        <v>28</v>
      </c>
      <c r="F1062">
        <v>801011</v>
      </c>
      <c r="G1062" s="1">
        <v>-520.91</v>
      </c>
      <c r="H1062" t="s">
        <v>1460</v>
      </c>
      <c r="J1062" s="18" t="s">
        <v>4327</v>
      </c>
    </row>
    <row r="1063" spans="3:10" x14ac:dyDescent="0.25">
      <c r="C1063" s="17" t="str">
        <f t="shared" si="17"/>
        <v>28.801011.-255322.6049..CLEAR SCHEDULE.</v>
      </c>
      <c r="E1063">
        <v>28</v>
      </c>
      <c r="F1063">
        <v>801011</v>
      </c>
      <c r="G1063" s="2">
        <v>-2553.2199999999998</v>
      </c>
      <c r="H1063" t="s">
        <v>1461</v>
      </c>
      <c r="J1063" s="18" t="s">
        <v>4327</v>
      </c>
    </row>
    <row r="1064" spans="3:10" x14ac:dyDescent="0.25">
      <c r="C1064" s="17" t="str">
        <f t="shared" si="17"/>
        <v>28.801011.-10530.6050..CLEAR SCHEDULE.</v>
      </c>
      <c r="E1064">
        <v>28</v>
      </c>
      <c r="F1064">
        <v>801011</v>
      </c>
      <c r="G1064" s="1">
        <v>-105.3</v>
      </c>
      <c r="H1064" t="s">
        <v>1462</v>
      </c>
      <c r="J1064" s="18" t="s">
        <v>4327</v>
      </c>
    </row>
    <row r="1065" spans="3:10" x14ac:dyDescent="0.25">
      <c r="C1065" s="17" t="str">
        <f t="shared" si="17"/>
        <v>28.801011.-15166.6052..CLEAR SCHEDULE.</v>
      </c>
      <c r="E1065">
        <v>28</v>
      </c>
      <c r="F1065">
        <v>801011</v>
      </c>
      <c r="G1065" s="2">
        <v>-151.66</v>
      </c>
      <c r="H1065" t="s">
        <v>1463</v>
      </c>
      <c r="J1065" s="18" t="s">
        <v>4327</v>
      </c>
    </row>
    <row r="1066" spans="3:10" x14ac:dyDescent="0.25">
      <c r="C1066" s="17" t="str">
        <f t="shared" si="17"/>
        <v>28.801011.-116883.6053..CLEAR SCHEDULE.</v>
      </c>
      <c r="E1066">
        <v>28</v>
      </c>
      <c r="F1066">
        <v>801011</v>
      </c>
      <c r="G1066" s="1">
        <v>-1168.83</v>
      </c>
      <c r="H1066" t="s">
        <v>1464</v>
      </c>
      <c r="J1066" s="18" t="s">
        <v>4327</v>
      </c>
    </row>
    <row r="1067" spans="3:10" x14ac:dyDescent="0.25">
      <c r="C1067" s="17" t="str">
        <f t="shared" si="17"/>
        <v>28.801011.-103725.6054..CLEAR SCHEDULE.</v>
      </c>
      <c r="E1067">
        <v>28</v>
      </c>
      <c r="F1067">
        <v>801011</v>
      </c>
      <c r="G1067" s="2">
        <v>-1037.25</v>
      </c>
      <c r="H1067" t="s">
        <v>1465</v>
      </c>
      <c r="J1067" s="18" t="s">
        <v>4327</v>
      </c>
    </row>
    <row r="1068" spans="3:10" x14ac:dyDescent="0.25">
      <c r="C1068" s="17" t="str">
        <f t="shared" si="17"/>
        <v>28.801011.-17500.6055..CLEAR SCHEDULE.</v>
      </c>
      <c r="E1068">
        <v>28</v>
      </c>
      <c r="F1068">
        <v>801011</v>
      </c>
      <c r="G1068" s="1">
        <v>-175</v>
      </c>
      <c r="H1068" t="s">
        <v>1466</v>
      </c>
      <c r="J1068" s="18" t="s">
        <v>4327</v>
      </c>
    </row>
    <row r="1069" spans="3:10" x14ac:dyDescent="0.25">
      <c r="C1069" s="17" t="str">
        <f t="shared" si="17"/>
        <v>28.801011.-5415.6056..CLEAR SCHEDULE.</v>
      </c>
      <c r="E1069">
        <v>28</v>
      </c>
      <c r="F1069">
        <v>801011</v>
      </c>
      <c r="G1069" s="2">
        <v>-54.15</v>
      </c>
      <c r="H1069" t="s">
        <v>1467</v>
      </c>
      <c r="J1069" s="18" t="s">
        <v>4327</v>
      </c>
    </row>
    <row r="1070" spans="3:10" x14ac:dyDescent="0.25">
      <c r="C1070" s="17" t="str">
        <f t="shared" si="17"/>
        <v>28.801011.-14387.6057..CLEAR SCHEDULE.</v>
      </c>
      <c r="E1070">
        <v>28</v>
      </c>
      <c r="F1070">
        <v>801011</v>
      </c>
      <c r="G1070" s="1">
        <v>-143.87</v>
      </c>
      <c r="H1070" t="s">
        <v>1468</v>
      </c>
      <c r="J1070" s="18" t="s">
        <v>4327</v>
      </c>
    </row>
    <row r="1071" spans="3:10" x14ac:dyDescent="0.25">
      <c r="C1071" s="17" t="str">
        <f t="shared" si="17"/>
        <v>28.801011.-9751.6058..CLEAR SCHEDULE.</v>
      </c>
      <c r="E1071">
        <v>28</v>
      </c>
      <c r="F1071">
        <v>801011</v>
      </c>
      <c r="G1071" s="2">
        <v>-97.51</v>
      </c>
      <c r="H1071" t="s">
        <v>1469</v>
      </c>
      <c r="J1071" s="18" t="s">
        <v>4327</v>
      </c>
    </row>
    <row r="1072" spans="3:10" x14ac:dyDescent="0.25">
      <c r="C1072" s="17" t="str">
        <f t="shared" si="17"/>
        <v>28.801011.-238993.6059..CLEAR SCHEDULE.</v>
      </c>
      <c r="E1072">
        <v>28</v>
      </c>
      <c r="F1072">
        <v>801011</v>
      </c>
      <c r="G1072" s="1">
        <v>-2389.9299999999998</v>
      </c>
      <c r="H1072" t="s">
        <v>1470</v>
      </c>
      <c r="J1072" s="18" t="s">
        <v>4327</v>
      </c>
    </row>
    <row r="1073" spans="3:10" x14ac:dyDescent="0.25">
      <c r="C1073" s="17" t="str">
        <f t="shared" si="17"/>
        <v>28.801011.-14408.6060..CLEAR SCHEDULE.</v>
      </c>
      <c r="E1073">
        <v>28</v>
      </c>
      <c r="F1073">
        <v>801011</v>
      </c>
      <c r="G1073" s="2">
        <v>-144.08000000000001</v>
      </c>
      <c r="H1073" t="s">
        <v>1471</v>
      </c>
      <c r="J1073" s="18" t="s">
        <v>4327</v>
      </c>
    </row>
    <row r="1074" spans="3:10" x14ac:dyDescent="0.25">
      <c r="C1074" s="17" t="str">
        <f t="shared" si="17"/>
        <v>28.801011.-31260.6061..CLEAR SCHEDULE.</v>
      </c>
      <c r="E1074">
        <v>28</v>
      </c>
      <c r="F1074">
        <v>801011</v>
      </c>
      <c r="G1074" s="1">
        <v>-312.60000000000002</v>
      </c>
      <c r="H1074" t="s">
        <v>1472</v>
      </c>
      <c r="J1074" s="18" t="s">
        <v>4327</v>
      </c>
    </row>
    <row r="1075" spans="3:10" x14ac:dyDescent="0.25">
      <c r="C1075" s="17" t="str">
        <f t="shared" si="17"/>
        <v>28.801011.-33775.6063..CLEAR SCHEDULE.</v>
      </c>
      <c r="E1075">
        <v>28</v>
      </c>
      <c r="F1075">
        <v>801011</v>
      </c>
      <c r="G1075" s="2">
        <v>-337.75</v>
      </c>
      <c r="H1075" t="s">
        <v>1473</v>
      </c>
      <c r="J1075" s="18" t="s">
        <v>4327</v>
      </c>
    </row>
    <row r="1076" spans="3:10" x14ac:dyDescent="0.25">
      <c r="C1076" s="17" t="str">
        <f t="shared" si="17"/>
        <v>28.801011.-17500.6065..CLEAR SCHEDULE.</v>
      </c>
      <c r="E1076">
        <v>28</v>
      </c>
      <c r="F1076">
        <v>801011</v>
      </c>
      <c r="G1076" s="1">
        <v>-175</v>
      </c>
      <c r="H1076" t="s">
        <v>1474</v>
      </c>
      <c r="J1076" s="18" t="s">
        <v>4327</v>
      </c>
    </row>
    <row r="1077" spans="3:10" x14ac:dyDescent="0.25">
      <c r="C1077" s="17" t="str">
        <f t="shared" si="17"/>
        <v>28.801011.-13572.6066..CLEAR SCHEDULE.</v>
      </c>
      <c r="E1077">
        <v>28</v>
      </c>
      <c r="F1077">
        <v>801011</v>
      </c>
      <c r="G1077" s="2">
        <v>-135.72</v>
      </c>
      <c r="H1077" t="s">
        <v>1475</v>
      </c>
      <c r="J1077" s="18" t="s">
        <v>4327</v>
      </c>
    </row>
    <row r="1078" spans="3:10" x14ac:dyDescent="0.25">
      <c r="C1078" s="17" t="str">
        <f t="shared" si="17"/>
        <v>28.801011.-14387.6067..CLEAR SCHEDULE.</v>
      </c>
      <c r="E1078">
        <v>28</v>
      </c>
      <c r="F1078">
        <v>801011</v>
      </c>
      <c r="G1078" s="1">
        <v>-143.87</v>
      </c>
      <c r="H1078" t="s">
        <v>1476</v>
      </c>
      <c r="J1078" s="18" t="s">
        <v>4327</v>
      </c>
    </row>
    <row r="1079" spans="3:10" x14ac:dyDescent="0.25">
      <c r="C1079" s="17" t="str">
        <f t="shared" si="17"/>
        <v>28.801011.-8972.6068..CLEAR SCHEDULE.</v>
      </c>
      <c r="E1079">
        <v>28</v>
      </c>
      <c r="F1079">
        <v>801011</v>
      </c>
      <c r="G1079" s="2">
        <v>-89.72</v>
      </c>
      <c r="H1079" t="s">
        <v>1477</v>
      </c>
      <c r="J1079" s="18" t="s">
        <v>4327</v>
      </c>
    </row>
    <row r="1080" spans="3:10" x14ac:dyDescent="0.25">
      <c r="C1080" s="17" t="str">
        <f t="shared" si="17"/>
        <v>28.801011.-16602.6070..CLEAR SCHEDULE.</v>
      </c>
      <c r="E1080">
        <v>28</v>
      </c>
      <c r="F1080">
        <v>801011</v>
      </c>
      <c r="G1080" s="1">
        <v>-166.02</v>
      </c>
      <c r="H1080" t="s">
        <v>1478</v>
      </c>
      <c r="J1080" s="18" t="s">
        <v>4327</v>
      </c>
    </row>
    <row r="1081" spans="3:10" x14ac:dyDescent="0.25">
      <c r="C1081" s="17" t="str">
        <f t="shared" si="17"/>
        <v>28.801011.-47817.6071..CLEAR SCHEDULE.</v>
      </c>
      <c r="E1081">
        <v>28</v>
      </c>
      <c r="F1081">
        <v>801011</v>
      </c>
      <c r="G1081" s="2">
        <v>-478.17</v>
      </c>
      <c r="H1081" t="s">
        <v>1479</v>
      </c>
      <c r="J1081" s="18" t="s">
        <v>4327</v>
      </c>
    </row>
    <row r="1082" spans="3:10" x14ac:dyDescent="0.25">
      <c r="C1082" s="17" t="str">
        <f t="shared" si="17"/>
        <v>28.801011.-5415.6072..CLEAR SCHEDULE.</v>
      </c>
      <c r="E1082">
        <v>28</v>
      </c>
      <c r="F1082">
        <v>801011</v>
      </c>
      <c r="G1082" s="1">
        <v>-54.15</v>
      </c>
      <c r="H1082" t="s">
        <v>1480</v>
      </c>
      <c r="J1082" s="18" t="s">
        <v>4327</v>
      </c>
    </row>
    <row r="1083" spans="3:10" x14ac:dyDescent="0.25">
      <c r="C1083" s="17" t="str">
        <f t="shared" si="17"/>
        <v>28.801011.-1693.6075..CLEAR SCHEDULE.</v>
      </c>
      <c r="E1083">
        <v>28</v>
      </c>
      <c r="F1083">
        <v>801011</v>
      </c>
      <c r="G1083" s="2">
        <v>-16.93</v>
      </c>
      <c r="H1083" t="s">
        <v>1481</v>
      </c>
      <c r="J1083" s="18" t="s">
        <v>4327</v>
      </c>
    </row>
    <row r="1084" spans="3:10" x14ac:dyDescent="0.25">
      <c r="C1084" s="17" t="str">
        <f t="shared" si="17"/>
        <v>28.801011.-15945.6077..CLEAR SCHEDULE.</v>
      </c>
      <c r="E1084">
        <v>28</v>
      </c>
      <c r="F1084">
        <v>801011</v>
      </c>
      <c r="G1084" s="1">
        <v>-159.44999999999999</v>
      </c>
      <c r="H1084" t="s">
        <v>1482</v>
      </c>
      <c r="J1084" s="18" t="s">
        <v>4327</v>
      </c>
    </row>
    <row r="1085" spans="3:10" x14ac:dyDescent="0.25">
      <c r="C1085" s="17" t="str">
        <f t="shared" si="17"/>
        <v>28.801011.-155070.6078..CLEAR SCHEDULE.</v>
      </c>
      <c r="E1085">
        <v>28</v>
      </c>
      <c r="F1085">
        <v>801011</v>
      </c>
      <c r="G1085" s="2">
        <v>-1550.7</v>
      </c>
      <c r="H1085" t="s">
        <v>1483</v>
      </c>
      <c r="J1085" s="18" t="s">
        <v>4327</v>
      </c>
    </row>
    <row r="1086" spans="3:10" x14ac:dyDescent="0.25">
      <c r="C1086" s="17" t="str">
        <f t="shared" si="17"/>
        <v>28.801011.-5415.6079..CLEAR SCHEDULE.</v>
      </c>
      <c r="E1086">
        <v>28</v>
      </c>
      <c r="F1086">
        <v>801011</v>
      </c>
      <c r="G1086" s="1">
        <v>-54.15</v>
      </c>
      <c r="H1086" t="s">
        <v>1484</v>
      </c>
      <c r="J1086" s="18" t="s">
        <v>4327</v>
      </c>
    </row>
    <row r="1087" spans="3:10" x14ac:dyDescent="0.25">
      <c r="C1087" s="17" t="str">
        <f t="shared" si="17"/>
        <v>28.801011.-15945.6083..CLEAR SCHEDULE.</v>
      </c>
      <c r="E1087">
        <v>28</v>
      </c>
      <c r="F1087">
        <v>801011</v>
      </c>
      <c r="G1087" s="2">
        <v>-159.44999999999999</v>
      </c>
      <c r="H1087" t="s">
        <v>1485</v>
      </c>
      <c r="J1087" s="18" t="s">
        <v>4327</v>
      </c>
    </row>
    <row r="1088" spans="3:10" x14ac:dyDescent="0.25">
      <c r="C1088" s="17" t="str">
        <f t="shared" si="17"/>
        <v>28.801011.-48349.6085..CLEAR SCHEDULE.</v>
      </c>
      <c r="E1088">
        <v>28</v>
      </c>
      <c r="F1088">
        <v>801011</v>
      </c>
      <c r="G1088" s="1">
        <v>-483.49</v>
      </c>
      <c r="H1088" t="s">
        <v>1486</v>
      </c>
      <c r="J1088" s="18" t="s">
        <v>4327</v>
      </c>
    </row>
    <row r="1089" spans="3:10" x14ac:dyDescent="0.25">
      <c r="C1089" s="17" t="str">
        <f t="shared" si="17"/>
        <v>28.801011.-15945.6087..CLEAR SCHEDULE.</v>
      </c>
      <c r="E1089">
        <v>28</v>
      </c>
      <c r="F1089">
        <v>801011</v>
      </c>
      <c r="G1089" s="2">
        <v>-159.44999999999999</v>
      </c>
      <c r="H1089" t="s">
        <v>1487</v>
      </c>
      <c r="J1089" s="18" t="s">
        <v>4327</v>
      </c>
    </row>
    <row r="1090" spans="3:10" x14ac:dyDescent="0.25">
      <c r="C1090" s="17" t="str">
        <f t="shared" si="17"/>
        <v>28.801011.-31192.6088..CLEAR SCHEDULE.</v>
      </c>
      <c r="E1090">
        <v>28</v>
      </c>
      <c r="F1090">
        <v>801011</v>
      </c>
      <c r="G1090" s="1">
        <v>-311.92</v>
      </c>
      <c r="H1090" t="s">
        <v>1488</v>
      </c>
      <c r="J1090" s="18" t="s">
        <v>4327</v>
      </c>
    </row>
    <row r="1091" spans="3:10" x14ac:dyDescent="0.25">
      <c r="C1091" s="17" t="str">
        <f t="shared" si="17"/>
        <v>28.801011.-15945.6090..CLEAR SCHEDULE.</v>
      </c>
      <c r="E1091">
        <v>28</v>
      </c>
      <c r="F1091">
        <v>801011</v>
      </c>
      <c r="G1091" s="2">
        <v>-159.44999999999999</v>
      </c>
      <c r="H1091" t="s">
        <v>1489</v>
      </c>
      <c r="J1091" s="18" t="s">
        <v>4327</v>
      </c>
    </row>
    <row r="1092" spans="3:10" x14ac:dyDescent="0.25">
      <c r="C1092" s="17" t="str">
        <f t="shared" si="17"/>
        <v>28.801011.-40823.6092..CLEAR SCHEDULE.</v>
      </c>
      <c r="E1092">
        <v>28</v>
      </c>
      <c r="F1092">
        <v>801011</v>
      </c>
      <c r="G1092" s="1">
        <v>-408.23</v>
      </c>
      <c r="H1092" t="s">
        <v>1490</v>
      </c>
      <c r="J1092" s="18" t="s">
        <v>4327</v>
      </c>
    </row>
    <row r="1093" spans="3:10" x14ac:dyDescent="0.25">
      <c r="C1093" s="17" t="str">
        <f t="shared" si="17"/>
        <v>28.801011.-175813.6093..CLEAR SCHEDULE.</v>
      </c>
      <c r="E1093">
        <v>28</v>
      </c>
      <c r="F1093">
        <v>801011</v>
      </c>
      <c r="G1093" s="2">
        <v>-1758.13</v>
      </c>
      <c r="H1093" t="s">
        <v>1491</v>
      </c>
      <c r="J1093" s="18" t="s">
        <v>4327</v>
      </c>
    </row>
    <row r="1094" spans="3:10" x14ac:dyDescent="0.25">
      <c r="C1094" s="17" t="str">
        <f t="shared" si="17"/>
        <v>28.801011.-14387.6095..CLEAR SCHEDULE.</v>
      </c>
      <c r="E1094">
        <v>28</v>
      </c>
      <c r="F1094">
        <v>801011</v>
      </c>
      <c r="G1094" s="1">
        <v>-143.87</v>
      </c>
      <c r="H1094" t="s">
        <v>1492</v>
      </c>
      <c r="J1094" s="18" t="s">
        <v>4327</v>
      </c>
    </row>
    <row r="1095" spans="3:10" x14ac:dyDescent="0.25">
      <c r="C1095" s="17" t="str">
        <f t="shared" si="17"/>
        <v>28.801011.-14387.6096..CLEAR SCHEDULE.</v>
      </c>
      <c r="E1095">
        <v>28</v>
      </c>
      <c r="F1095">
        <v>801011</v>
      </c>
      <c r="G1095" s="2">
        <v>-143.87</v>
      </c>
      <c r="H1095" t="s">
        <v>1493</v>
      </c>
      <c r="J1095" s="18" t="s">
        <v>4327</v>
      </c>
    </row>
    <row r="1096" spans="3:10" x14ac:dyDescent="0.25">
      <c r="C1096" s="17" t="str">
        <f t="shared" si="17"/>
        <v>28.801011.-132734.6097..CLEAR SCHEDULE.</v>
      </c>
      <c r="E1096">
        <v>28</v>
      </c>
      <c r="F1096">
        <v>801011</v>
      </c>
      <c r="G1096" s="1">
        <v>-1327.34</v>
      </c>
      <c r="H1096" t="s">
        <v>1494</v>
      </c>
      <c r="J1096" s="18" t="s">
        <v>4327</v>
      </c>
    </row>
    <row r="1097" spans="3:10" x14ac:dyDescent="0.25">
      <c r="C1097" s="17" t="str">
        <f t="shared" si="17"/>
        <v>28.801011.-103000.6098..CLEAR SCHEDULE.</v>
      </c>
      <c r="E1097">
        <v>28</v>
      </c>
      <c r="F1097">
        <v>801011</v>
      </c>
      <c r="G1097" s="2">
        <v>-1030</v>
      </c>
      <c r="H1097" t="s">
        <v>1495</v>
      </c>
      <c r="J1097" s="18" t="s">
        <v>4327</v>
      </c>
    </row>
    <row r="1098" spans="3:10" x14ac:dyDescent="0.25">
      <c r="C1098" s="17" t="str">
        <f t="shared" si="17"/>
        <v>28.801011.-11309.6101..CLEAR SCHEDULE.</v>
      </c>
      <c r="E1098">
        <v>28</v>
      </c>
      <c r="F1098">
        <v>801011</v>
      </c>
      <c r="G1098" s="1">
        <v>-113.09</v>
      </c>
      <c r="H1098" t="s">
        <v>1496</v>
      </c>
      <c r="J1098" s="18" t="s">
        <v>4327</v>
      </c>
    </row>
    <row r="1099" spans="3:10" x14ac:dyDescent="0.25">
      <c r="C1099" s="17" t="str">
        <f t="shared" ref="C1099:C1162" si="18">IF(G1099=0,"",(E1099&amp;"."&amp;F1099&amp;"."&amp;G1099*100&amp;"."&amp;H1099&amp;"."&amp;I1099&amp;"."&amp;J1099&amp;"."&amp;K1099))</f>
        <v>28.801011.-14387.6102..CLEAR SCHEDULE.</v>
      </c>
      <c r="E1099">
        <v>28</v>
      </c>
      <c r="F1099">
        <v>801011</v>
      </c>
      <c r="G1099" s="2">
        <v>-143.87</v>
      </c>
      <c r="H1099" t="s">
        <v>1497</v>
      </c>
      <c r="J1099" s="18" t="s">
        <v>4327</v>
      </c>
    </row>
    <row r="1100" spans="3:10" x14ac:dyDescent="0.25">
      <c r="C1100" s="17" t="str">
        <f t="shared" si="18"/>
        <v>28.801011.-43661.6104..CLEAR SCHEDULE.</v>
      </c>
      <c r="E1100">
        <v>28</v>
      </c>
      <c r="F1100">
        <v>801011</v>
      </c>
      <c r="G1100" s="1">
        <v>-436.61</v>
      </c>
      <c r="H1100" t="s">
        <v>1498</v>
      </c>
      <c r="J1100" s="18" t="s">
        <v>4327</v>
      </c>
    </row>
    <row r="1101" spans="3:10" x14ac:dyDescent="0.25">
      <c r="C1101" s="17" t="str">
        <f t="shared" si="18"/>
        <v>28.801011.-15945.6108..CLEAR SCHEDULE.</v>
      </c>
      <c r="E1101">
        <v>28</v>
      </c>
      <c r="F1101">
        <v>801011</v>
      </c>
      <c r="G1101" s="2">
        <v>-159.44999999999999</v>
      </c>
      <c r="H1101" t="s">
        <v>1499</v>
      </c>
      <c r="J1101" s="18" t="s">
        <v>4327</v>
      </c>
    </row>
    <row r="1102" spans="3:10" x14ac:dyDescent="0.25">
      <c r="C1102" s="17" t="str">
        <f t="shared" si="18"/>
        <v>28.801011.-60117.6110..CLEAR SCHEDULE.</v>
      </c>
      <c r="E1102">
        <v>28</v>
      </c>
      <c r="F1102">
        <v>801011</v>
      </c>
      <c r="G1102" s="1">
        <v>-601.16999999999996</v>
      </c>
      <c r="H1102" t="s">
        <v>1500</v>
      </c>
      <c r="J1102" s="18" t="s">
        <v>4327</v>
      </c>
    </row>
    <row r="1103" spans="3:10" x14ac:dyDescent="0.25">
      <c r="C1103" s="17" t="str">
        <f t="shared" si="18"/>
        <v>28.801011.-9871.6112..CLEAR SCHEDULE.</v>
      </c>
      <c r="E1103">
        <v>28</v>
      </c>
      <c r="F1103">
        <v>801011</v>
      </c>
      <c r="G1103" s="2">
        <v>-98.71</v>
      </c>
      <c r="H1103" t="s">
        <v>1501</v>
      </c>
      <c r="J1103" s="18" t="s">
        <v>4327</v>
      </c>
    </row>
    <row r="1104" spans="3:10" x14ac:dyDescent="0.25">
      <c r="C1104" s="17" t="str">
        <f t="shared" si="18"/>
        <v>28.801011.-14387.6113..CLEAR SCHEDULE.</v>
      </c>
      <c r="E1104">
        <v>28</v>
      </c>
      <c r="F1104">
        <v>801011</v>
      </c>
      <c r="G1104" s="1">
        <v>-143.87</v>
      </c>
      <c r="H1104" t="s">
        <v>1502</v>
      </c>
      <c r="J1104" s="18" t="s">
        <v>4327</v>
      </c>
    </row>
    <row r="1105" spans="3:10" x14ac:dyDescent="0.25">
      <c r="C1105" s="17" t="str">
        <f t="shared" si="18"/>
        <v>28.801011.-27924.6117..CLEAR SCHEDULE.</v>
      </c>
      <c r="E1105">
        <v>28</v>
      </c>
      <c r="F1105">
        <v>801011</v>
      </c>
      <c r="G1105" s="2">
        <v>-279.24</v>
      </c>
      <c r="H1105" t="s">
        <v>1503</v>
      </c>
      <c r="J1105" s="18" t="s">
        <v>4327</v>
      </c>
    </row>
    <row r="1106" spans="3:10" x14ac:dyDescent="0.25">
      <c r="C1106" s="17" t="str">
        <f t="shared" si="18"/>
        <v>28.801011.-94474.6118..CLEAR SCHEDULE.</v>
      </c>
      <c r="E1106">
        <v>28</v>
      </c>
      <c r="F1106">
        <v>801011</v>
      </c>
      <c r="G1106" s="1">
        <v>-944.74</v>
      </c>
      <c r="H1106" t="s">
        <v>1504</v>
      </c>
      <c r="J1106" s="18" t="s">
        <v>4327</v>
      </c>
    </row>
    <row r="1107" spans="3:10" x14ac:dyDescent="0.25">
      <c r="C1107" s="17" t="str">
        <f t="shared" si="18"/>
        <v>28.801011.-65372.6119..CLEAR SCHEDULE.</v>
      </c>
      <c r="E1107">
        <v>28</v>
      </c>
      <c r="F1107">
        <v>801011</v>
      </c>
      <c r="G1107" s="2">
        <v>-653.72</v>
      </c>
      <c r="H1107" t="s">
        <v>1505</v>
      </c>
      <c r="J1107" s="18" t="s">
        <v>4327</v>
      </c>
    </row>
    <row r="1108" spans="3:10" x14ac:dyDescent="0.25">
      <c r="C1108" s="17" t="str">
        <f t="shared" si="18"/>
        <v>28.801011.-10530.6120..CLEAR SCHEDULE.</v>
      </c>
      <c r="E1108">
        <v>28</v>
      </c>
      <c r="F1108">
        <v>801011</v>
      </c>
      <c r="G1108" s="1">
        <v>-105.3</v>
      </c>
      <c r="H1108" t="s">
        <v>1506</v>
      </c>
      <c r="J1108" s="18" t="s">
        <v>4327</v>
      </c>
    </row>
    <row r="1109" spans="3:10" x14ac:dyDescent="0.25">
      <c r="C1109" s="17" t="str">
        <f t="shared" si="18"/>
        <v>28.801011.-59566.6125..CLEAR SCHEDULE.</v>
      </c>
      <c r="E1109">
        <v>28</v>
      </c>
      <c r="F1109">
        <v>801011</v>
      </c>
      <c r="G1109" s="2">
        <v>-595.66</v>
      </c>
      <c r="H1109" t="s">
        <v>1507</v>
      </c>
      <c r="J1109" s="18" t="s">
        <v>4327</v>
      </c>
    </row>
    <row r="1110" spans="3:10" x14ac:dyDescent="0.25">
      <c r="C1110" s="17" t="str">
        <f t="shared" si="18"/>
        <v>28.801011.-28332.6129..CLEAR SCHEDULE.</v>
      </c>
      <c r="E1110">
        <v>28</v>
      </c>
      <c r="F1110">
        <v>801011</v>
      </c>
      <c r="G1110" s="1">
        <v>-283.32</v>
      </c>
      <c r="H1110" t="s">
        <v>1508</v>
      </c>
      <c r="J1110" s="18" t="s">
        <v>4327</v>
      </c>
    </row>
    <row r="1111" spans="3:10" x14ac:dyDescent="0.25">
      <c r="C1111" s="17" t="str">
        <f t="shared" si="18"/>
        <v>28.801011.-14387.6130..CLEAR SCHEDULE.</v>
      </c>
      <c r="E1111">
        <v>28</v>
      </c>
      <c r="F1111">
        <v>801011</v>
      </c>
      <c r="G1111" s="2">
        <v>-143.87</v>
      </c>
      <c r="H1111" t="s">
        <v>1509</v>
      </c>
      <c r="J1111" s="18" t="s">
        <v>4327</v>
      </c>
    </row>
    <row r="1112" spans="3:10" x14ac:dyDescent="0.25">
      <c r="C1112" s="17" t="str">
        <f t="shared" si="18"/>
        <v>28.801011.-14387.6131..CLEAR SCHEDULE.</v>
      </c>
      <c r="E1112">
        <v>28</v>
      </c>
      <c r="F1112">
        <v>801011</v>
      </c>
      <c r="G1112" s="1">
        <v>-143.87</v>
      </c>
      <c r="H1112" t="s">
        <v>1510</v>
      </c>
      <c r="J1112" s="18" t="s">
        <v>4327</v>
      </c>
    </row>
    <row r="1113" spans="3:10" x14ac:dyDescent="0.25">
      <c r="C1113" s="17" t="str">
        <f t="shared" si="18"/>
        <v>28.801011.-15166.6132..CLEAR SCHEDULE.</v>
      </c>
      <c r="E1113">
        <v>28</v>
      </c>
      <c r="F1113">
        <v>801011</v>
      </c>
      <c r="G1113" s="2">
        <v>-151.66</v>
      </c>
      <c r="H1113" t="s">
        <v>1511</v>
      </c>
      <c r="J1113" s="18" t="s">
        <v>4327</v>
      </c>
    </row>
    <row r="1114" spans="3:10" x14ac:dyDescent="0.25">
      <c r="C1114" s="17" t="str">
        <f t="shared" si="18"/>
        <v>28.801011.-9263.6134..CLEAR SCHEDULE.</v>
      </c>
      <c r="E1114">
        <v>28</v>
      </c>
      <c r="F1114">
        <v>801011</v>
      </c>
      <c r="G1114" s="1">
        <v>-92.63</v>
      </c>
      <c r="H1114" t="s">
        <v>1512</v>
      </c>
      <c r="J1114" s="18" t="s">
        <v>4327</v>
      </c>
    </row>
    <row r="1115" spans="3:10" x14ac:dyDescent="0.25">
      <c r="C1115" s="17" t="str">
        <f t="shared" si="18"/>
        <v>28.801011.-18275.6135..CLEAR SCHEDULE.</v>
      </c>
      <c r="E1115">
        <v>28</v>
      </c>
      <c r="F1115">
        <v>801011</v>
      </c>
      <c r="G1115" s="2">
        <v>-182.75</v>
      </c>
      <c r="H1115" t="s">
        <v>1513</v>
      </c>
      <c r="J1115" s="18" t="s">
        <v>4327</v>
      </c>
    </row>
    <row r="1116" spans="3:10" x14ac:dyDescent="0.25">
      <c r="C1116" s="17" t="str">
        <f t="shared" si="18"/>
        <v>28.801011.-15166.6136..CLEAR SCHEDULE.</v>
      </c>
      <c r="E1116">
        <v>28</v>
      </c>
      <c r="F1116">
        <v>801011</v>
      </c>
      <c r="G1116" s="1">
        <v>-151.66</v>
      </c>
      <c r="H1116" t="s">
        <v>1514</v>
      </c>
      <c r="J1116" s="18" t="s">
        <v>4327</v>
      </c>
    </row>
    <row r="1117" spans="3:10" x14ac:dyDescent="0.25">
      <c r="C1117" s="17" t="str">
        <f t="shared" si="18"/>
        <v>28.801011.-6769.6137..CLEAR SCHEDULE.</v>
      </c>
      <c r="E1117">
        <v>28</v>
      </c>
      <c r="F1117">
        <v>801011</v>
      </c>
      <c r="G1117" s="2">
        <v>-67.69</v>
      </c>
      <c r="H1117" t="s">
        <v>1515</v>
      </c>
      <c r="J1117" s="18" t="s">
        <v>4327</v>
      </c>
    </row>
    <row r="1118" spans="3:10" x14ac:dyDescent="0.25">
      <c r="C1118" s="17" t="str">
        <f t="shared" si="18"/>
        <v>28.801011.-6769.6140..CLEAR SCHEDULE.</v>
      </c>
      <c r="E1118">
        <v>28</v>
      </c>
      <c r="F1118">
        <v>801011</v>
      </c>
      <c r="G1118" s="1">
        <v>-67.69</v>
      </c>
      <c r="H1118" t="s">
        <v>1516</v>
      </c>
      <c r="J1118" s="18" t="s">
        <v>4327</v>
      </c>
    </row>
    <row r="1119" spans="3:10" x14ac:dyDescent="0.25">
      <c r="C1119" s="17" t="str">
        <f t="shared" si="18"/>
        <v>28.801011.-36287.6143..CLEAR SCHEDULE.</v>
      </c>
      <c r="E1119">
        <v>28</v>
      </c>
      <c r="F1119">
        <v>801011</v>
      </c>
      <c r="G1119" s="2">
        <v>-362.87</v>
      </c>
      <c r="H1119" t="s">
        <v>1517</v>
      </c>
      <c r="J1119" s="18" t="s">
        <v>4327</v>
      </c>
    </row>
    <row r="1120" spans="3:10" x14ac:dyDescent="0.25">
      <c r="C1120" s="17" t="str">
        <f t="shared" si="18"/>
        <v>28.801011.-29093.6144..CLEAR SCHEDULE.</v>
      </c>
      <c r="E1120">
        <v>28</v>
      </c>
      <c r="F1120">
        <v>801011</v>
      </c>
      <c r="G1120" s="1">
        <v>-290.93</v>
      </c>
      <c r="H1120" t="s">
        <v>1518</v>
      </c>
      <c r="J1120" s="18" t="s">
        <v>4327</v>
      </c>
    </row>
    <row r="1121" spans="3:10" x14ac:dyDescent="0.25">
      <c r="C1121" s="17" t="str">
        <f t="shared" si="18"/>
        <v>28.801011.-62622.6145..CLEAR SCHEDULE.</v>
      </c>
      <c r="E1121">
        <v>28</v>
      </c>
      <c r="F1121">
        <v>801011</v>
      </c>
      <c r="G1121" s="2">
        <v>-626.22</v>
      </c>
      <c r="H1121" t="s">
        <v>1519</v>
      </c>
      <c r="J1121" s="18" t="s">
        <v>4327</v>
      </c>
    </row>
    <row r="1122" spans="3:10" x14ac:dyDescent="0.25">
      <c r="C1122" s="17" t="str">
        <f t="shared" si="18"/>
        <v>28.801011.-15166.6146..CLEAR SCHEDULE.</v>
      </c>
      <c r="E1122">
        <v>28</v>
      </c>
      <c r="F1122">
        <v>801011</v>
      </c>
      <c r="G1122" s="1">
        <v>-151.66</v>
      </c>
      <c r="H1122" t="s">
        <v>1520</v>
      </c>
      <c r="J1122" s="18" t="s">
        <v>4327</v>
      </c>
    </row>
    <row r="1123" spans="3:10" x14ac:dyDescent="0.25">
      <c r="C1123" s="17" t="str">
        <f t="shared" si="18"/>
        <v>28.801011.-11575.6148..CLEAR SCHEDULE.</v>
      </c>
      <c r="E1123">
        <v>28</v>
      </c>
      <c r="F1123">
        <v>801011</v>
      </c>
      <c r="G1123" s="2">
        <v>-115.75</v>
      </c>
      <c r="H1123" t="s">
        <v>1521</v>
      </c>
      <c r="J1123" s="18" t="s">
        <v>4327</v>
      </c>
    </row>
    <row r="1124" spans="3:10" x14ac:dyDescent="0.25">
      <c r="C1124" s="17" t="str">
        <f t="shared" si="18"/>
        <v>28.801011.-89888.6149..CLEAR SCHEDULE.</v>
      </c>
      <c r="E1124">
        <v>28</v>
      </c>
      <c r="F1124">
        <v>801011</v>
      </c>
      <c r="G1124" s="1">
        <v>-898.88</v>
      </c>
      <c r="H1124" t="s">
        <v>1522</v>
      </c>
      <c r="J1124" s="18" t="s">
        <v>4327</v>
      </c>
    </row>
    <row r="1125" spans="3:10" x14ac:dyDescent="0.25">
      <c r="C1125" s="17" t="str">
        <f t="shared" si="18"/>
        <v>28.801011.-14387.6151..CLEAR SCHEDULE.</v>
      </c>
      <c r="E1125">
        <v>28</v>
      </c>
      <c r="F1125">
        <v>801011</v>
      </c>
      <c r="G1125" s="2">
        <v>-143.87</v>
      </c>
      <c r="H1125" t="s">
        <v>1523</v>
      </c>
      <c r="J1125" s="18" t="s">
        <v>4327</v>
      </c>
    </row>
    <row r="1126" spans="3:10" x14ac:dyDescent="0.25">
      <c r="C1126" s="17" t="str">
        <f t="shared" si="18"/>
        <v>28.801011.-68041.6154..CLEAR SCHEDULE.</v>
      </c>
      <c r="E1126">
        <v>28</v>
      </c>
      <c r="F1126">
        <v>801011</v>
      </c>
      <c r="G1126" s="1">
        <v>-680.41</v>
      </c>
      <c r="H1126" t="s">
        <v>1524</v>
      </c>
      <c r="J1126" s="18" t="s">
        <v>4327</v>
      </c>
    </row>
    <row r="1127" spans="3:10" x14ac:dyDescent="0.25">
      <c r="C1127" s="17" t="str">
        <f t="shared" si="18"/>
        <v>28.801011.-9871.6156..CLEAR SCHEDULE.</v>
      </c>
      <c r="E1127">
        <v>28</v>
      </c>
      <c r="F1127">
        <v>801011</v>
      </c>
      <c r="G1127" s="2">
        <v>-98.71</v>
      </c>
      <c r="H1127" t="s">
        <v>1525</v>
      </c>
      <c r="J1127" s="18" t="s">
        <v>4327</v>
      </c>
    </row>
    <row r="1128" spans="3:10" x14ac:dyDescent="0.25">
      <c r="C1128" s="17" t="str">
        <f t="shared" si="18"/>
        <v>28.801011.-128445.6157..CLEAR SCHEDULE.</v>
      </c>
      <c r="E1128">
        <v>28</v>
      </c>
      <c r="F1128">
        <v>801011</v>
      </c>
      <c r="G1128" s="1">
        <v>-1284.45</v>
      </c>
      <c r="H1128" t="s">
        <v>1526</v>
      </c>
      <c r="J1128" s="18" t="s">
        <v>4327</v>
      </c>
    </row>
    <row r="1129" spans="3:10" x14ac:dyDescent="0.25">
      <c r="C1129" s="17" t="str">
        <f t="shared" si="18"/>
        <v>28.801011.-8972.6158..CLEAR SCHEDULE.</v>
      </c>
      <c r="E1129">
        <v>28</v>
      </c>
      <c r="F1129">
        <v>801011</v>
      </c>
      <c r="G1129" s="2">
        <v>-89.72</v>
      </c>
      <c r="H1129" t="s">
        <v>1527</v>
      </c>
      <c r="J1129" s="18" t="s">
        <v>4327</v>
      </c>
    </row>
    <row r="1130" spans="3:10" x14ac:dyDescent="0.25">
      <c r="C1130" s="17" t="str">
        <f t="shared" si="18"/>
        <v>28.801011.-27248.6159..CLEAR SCHEDULE.</v>
      </c>
      <c r="E1130">
        <v>28</v>
      </c>
      <c r="F1130">
        <v>801011</v>
      </c>
      <c r="G1130" s="1">
        <v>-272.48</v>
      </c>
      <c r="H1130" t="s">
        <v>1528</v>
      </c>
      <c r="J1130" s="18" t="s">
        <v>4327</v>
      </c>
    </row>
    <row r="1131" spans="3:10" x14ac:dyDescent="0.25">
      <c r="C1131" s="17" t="str">
        <f t="shared" si="18"/>
        <v>28.801011.-28212.6160..CLEAR SCHEDULE.</v>
      </c>
      <c r="E1131">
        <v>28</v>
      </c>
      <c r="F1131">
        <v>801011</v>
      </c>
      <c r="G1131" s="2">
        <v>-282.12</v>
      </c>
      <c r="H1131" t="s">
        <v>1529</v>
      </c>
      <c r="J1131" s="18" t="s">
        <v>4327</v>
      </c>
    </row>
    <row r="1132" spans="3:10" x14ac:dyDescent="0.25">
      <c r="C1132" s="17" t="str">
        <f t="shared" si="18"/>
        <v>28.801011.-8972.6164..CLEAR SCHEDULE.</v>
      </c>
      <c r="E1132">
        <v>28</v>
      </c>
      <c r="F1132">
        <v>801011</v>
      </c>
      <c r="G1132" s="1">
        <v>-89.72</v>
      </c>
      <c r="H1132" t="s">
        <v>1530</v>
      </c>
      <c r="J1132" s="18" t="s">
        <v>4327</v>
      </c>
    </row>
    <row r="1133" spans="3:10" x14ac:dyDescent="0.25">
      <c r="C1133" s="17" t="str">
        <f t="shared" si="18"/>
        <v>28.801011.-22079.6165..CLEAR SCHEDULE.</v>
      </c>
      <c r="E1133">
        <v>28</v>
      </c>
      <c r="F1133">
        <v>801011</v>
      </c>
      <c r="G1133" s="2">
        <v>-220.79</v>
      </c>
      <c r="H1133" t="s">
        <v>1531</v>
      </c>
      <c r="J1133" s="18" t="s">
        <v>4327</v>
      </c>
    </row>
    <row r="1134" spans="3:10" x14ac:dyDescent="0.25">
      <c r="C1134" s="17" t="str">
        <f t="shared" si="18"/>
        <v>28.801011.-23366.6167..CLEAR SCHEDULE.</v>
      </c>
      <c r="E1134">
        <v>28</v>
      </c>
      <c r="F1134">
        <v>801011</v>
      </c>
      <c r="G1134" s="1">
        <v>-233.66</v>
      </c>
      <c r="H1134" t="s">
        <v>1532</v>
      </c>
      <c r="J1134" s="18" t="s">
        <v>4327</v>
      </c>
    </row>
    <row r="1135" spans="3:10" x14ac:dyDescent="0.25">
      <c r="C1135" s="17" t="str">
        <f t="shared" si="18"/>
        <v>28.801011.-86957.6170..CLEAR SCHEDULE.</v>
      </c>
      <c r="E1135">
        <v>28</v>
      </c>
      <c r="F1135">
        <v>801011</v>
      </c>
      <c r="G1135" s="2">
        <v>-869.57</v>
      </c>
      <c r="H1135" t="s">
        <v>1533</v>
      </c>
      <c r="J1135" s="18" t="s">
        <v>4327</v>
      </c>
    </row>
    <row r="1136" spans="3:10" x14ac:dyDescent="0.25">
      <c r="C1136" s="17" t="str">
        <f t="shared" si="18"/>
        <v>28.801011.-34129.6174..CLEAR SCHEDULE.</v>
      </c>
      <c r="E1136">
        <v>28</v>
      </c>
      <c r="F1136">
        <v>801011</v>
      </c>
      <c r="G1136" s="1">
        <v>-341.29</v>
      </c>
      <c r="H1136" t="s">
        <v>1534</v>
      </c>
      <c r="J1136" s="18" t="s">
        <v>4327</v>
      </c>
    </row>
    <row r="1137" spans="3:10" x14ac:dyDescent="0.25">
      <c r="C1137" s="17" t="str">
        <f t="shared" si="18"/>
        <v>28.801011.-14387.6175..CLEAR SCHEDULE.</v>
      </c>
      <c r="E1137">
        <v>28</v>
      </c>
      <c r="F1137">
        <v>801011</v>
      </c>
      <c r="G1137" s="2">
        <v>-143.87</v>
      </c>
      <c r="H1137" t="s">
        <v>1535</v>
      </c>
      <c r="J1137" s="18" t="s">
        <v>4327</v>
      </c>
    </row>
    <row r="1138" spans="3:10" x14ac:dyDescent="0.25">
      <c r="C1138" s="17" t="str">
        <f t="shared" si="18"/>
        <v>28.801011.-15945.6176..CLEAR SCHEDULE.</v>
      </c>
      <c r="E1138">
        <v>28</v>
      </c>
      <c r="F1138">
        <v>801011</v>
      </c>
      <c r="G1138" s="1">
        <v>-159.44999999999999</v>
      </c>
      <c r="H1138" t="s">
        <v>1536</v>
      </c>
      <c r="J1138" s="18" t="s">
        <v>4327</v>
      </c>
    </row>
    <row r="1139" spans="3:10" x14ac:dyDescent="0.25">
      <c r="C1139" s="17" t="str">
        <f t="shared" si="18"/>
        <v>28.801011.-14387.6177..CLEAR SCHEDULE.</v>
      </c>
      <c r="E1139">
        <v>28</v>
      </c>
      <c r="F1139">
        <v>801011</v>
      </c>
      <c r="G1139" s="2">
        <v>-143.87</v>
      </c>
      <c r="H1139" t="s">
        <v>1537</v>
      </c>
      <c r="J1139" s="18" t="s">
        <v>4327</v>
      </c>
    </row>
    <row r="1140" spans="3:10" x14ac:dyDescent="0.25">
      <c r="C1140" s="17" t="str">
        <f t="shared" si="18"/>
        <v>28.801011.-414807.6178..CLEAR SCHEDULE.</v>
      </c>
      <c r="E1140">
        <v>28</v>
      </c>
      <c r="F1140">
        <v>801011</v>
      </c>
      <c r="G1140" s="1">
        <v>-4148.07</v>
      </c>
      <c r="H1140" t="s">
        <v>1538</v>
      </c>
      <c r="J1140" s="18" t="s">
        <v>4327</v>
      </c>
    </row>
    <row r="1141" spans="3:10" x14ac:dyDescent="0.25">
      <c r="C1141" s="17" t="str">
        <f t="shared" si="18"/>
        <v>28.801011.-21537.6179..CLEAR SCHEDULE.</v>
      </c>
      <c r="E1141">
        <v>28</v>
      </c>
      <c r="F1141">
        <v>801011</v>
      </c>
      <c r="G1141" s="2">
        <v>-215.37</v>
      </c>
      <c r="H1141" t="s">
        <v>1539</v>
      </c>
      <c r="J1141" s="18" t="s">
        <v>4327</v>
      </c>
    </row>
    <row r="1142" spans="3:10" x14ac:dyDescent="0.25">
      <c r="C1142" s="17" t="str">
        <f t="shared" si="18"/>
        <v>28.801011.-92287.6180..CLEAR SCHEDULE.</v>
      </c>
      <c r="E1142">
        <v>28</v>
      </c>
      <c r="F1142">
        <v>801011</v>
      </c>
      <c r="G1142" s="1">
        <v>-922.87</v>
      </c>
      <c r="H1142" t="s">
        <v>1540</v>
      </c>
      <c r="J1142" s="18" t="s">
        <v>4327</v>
      </c>
    </row>
    <row r="1143" spans="3:10" x14ac:dyDescent="0.25">
      <c r="C1143" s="17" t="str">
        <f t="shared" si="18"/>
        <v>28.801011.-11801.6181..CLEAR SCHEDULE.</v>
      </c>
      <c r="E1143">
        <v>28</v>
      </c>
      <c r="F1143">
        <v>801011</v>
      </c>
      <c r="G1143" s="2">
        <v>-118.01</v>
      </c>
      <c r="H1143" t="s">
        <v>1541</v>
      </c>
      <c r="J1143" s="18" t="s">
        <v>4327</v>
      </c>
    </row>
    <row r="1144" spans="3:10" x14ac:dyDescent="0.25">
      <c r="C1144" s="17" t="str">
        <f t="shared" si="18"/>
        <v>28.801011.-15166.6182..CLEAR SCHEDULE.</v>
      </c>
      <c r="E1144">
        <v>28</v>
      </c>
      <c r="F1144">
        <v>801011</v>
      </c>
      <c r="G1144" s="1">
        <v>-151.66</v>
      </c>
      <c r="H1144" t="s">
        <v>1542</v>
      </c>
      <c r="J1144" s="18" t="s">
        <v>4327</v>
      </c>
    </row>
    <row r="1145" spans="3:10" x14ac:dyDescent="0.25">
      <c r="C1145" s="17" t="str">
        <f t="shared" si="18"/>
        <v>28.801011.-67920.6183..CLEAR SCHEDULE.</v>
      </c>
      <c r="E1145">
        <v>28</v>
      </c>
      <c r="F1145">
        <v>801011</v>
      </c>
      <c r="G1145" s="2">
        <v>-679.2</v>
      </c>
      <c r="H1145" t="s">
        <v>1543</v>
      </c>
      <c r="J1145" s="18" t="s">
        <v>4327</v>
      </c>
    </row>
    <row r="1146" spans="3:10" x14ac:dyDescent="0.25">
      <c r="C1146" s="17" t="str">
        <f t="shared" si="18"/>
        <v>28.801011.-16520.6184..CLEAR SCHEDULE.</v>
      </c>
      <c r="E1146">
        <v>28</v>
      </c>
      <c r="F1146">
        <v>801011</v>
      </c>
      <c r="G1146" s="1">
        <v>-165.2</v>
      </c>
      <c r="H1146" t="s">
        <v>1544</v>
      </c>
      <c r="J1146" s="18" t="s">
        <v>4327</v>
      </c>
    </row>
    <row r="1147" spans="3:10" x14ac:dyDescent="0.25">
      <c r="C1147" s="17" t="str">
        <f t="shared" si="18"/>
        <v>28.801011.-84253.6185..CLEAR SCHEDULE.</v>
      </c>
      <c r="E1147">
        <v>28</v>
      </c>
      <c r="F1147">
        <v>801011</v>
      </c>
      <c r="G1147" s="2">
        <v>-842.53</v>
      </c>
      <c r="H1147" t="s">
        <v>1545</v>
      </c>
      <c r="J1147" s="18" t="s">
        <v>4327</v>
      </c>
    </row>
    <row r="1148" spans="3:10" x14ac:dyDescent="0.25">
      <c r="C1148" s="17" t="str">
        <f t="shared" si="18"/>
        <v>28.801011.-15166.6186..CLEAR SCHEDULE.</v>
      </c>
      <c r="E1148">
        <v>28</v>
      </c>
      <c r="F1148">
        <v>801011</v>
      </c>
      <c r="G1148" s="1">
        <v>-151.66</v>
      </c>
      <c r="H1148" t="s">
        <v>1546</v>
      </c>
      <c r="J1148" s="18" t="s">
        <v>4327</v>
      </c>
    </row>
    <row r="1149" spans="3:10" x14ac:dyDescent="0.25">
      <c r="C1149" s="17" t="str">
        <f t="shared" si="18"/>
        <v>28.801011.-14387.6189..CLEAR SCHEDULE.</v>
      </c>
      <c r="E1149">
        <v>28</v>
      </c>
      <c r="F1149">
        <v>801011</v>
      </c>
      <c r="G1149" s="2">
        <v>-143.87</v>
      </c>
      <c r="H1149" t="s">
        <v>1547</v>
      </c>
      <c r="J1149" s="18" t="s">
        <v>4327</v>
      </c>
    </row>
    <row r="1150" spans="3:10" x14ac:dyDescent="0.25">
      <c r="C1150" s="17" t="str">
        <f t="shared" si="18"/>
        <v>28.801011.-27540.6191..CLEAR SCHEDULE.</v>
      </c>
      <c r="E1150">
        <v>28</v>
      </c>
      <c r="F1150">
        <v>801011</v>
      </c>
      <c r="G1150" s="1">
        <v>-275.39999999999998</v>
      </c>
      <c r="H1150" t="s">
        <v>1548</v>
      </c>
      <c r="J1150" s="18" t="s">
        <v>4327</v>
      </c>
    </row>
    <row r="1151" spans="3:10" x14ac:dyDescent="0.25">
      <c r="C1151" s="17" t="str">
        <f t="shared" si="18"/>
        <v>28.801011.-16233.6194..CLEAR SCHEDULE.</v>
      </c>
      <c r="E1151">
        <v>28</v>
      </c>
      <c r="F1151">
        <v>801011</v>
      </c>
      <c r="G1151" s="2">
        <v>-162.33000000000001</v>
      </c>
      <c r="H1151" t="s">
        <v>1549</v>
      </c>
      <c r="J1151" s="18" t="s">
        <v>4327</v>
      </c>
    </row>
    <row r="1152" spans="3:10" x14ac:dyDescent="0.25">
      <c r="C1152" s="17" t="str">
        <f t="shared" si="18"/>
        <v>28.801011.-16724.6196..CLEAR SCHEDULE.</v>
      </c>
      <c r="E1152">
        <v>28</v>
      </c>
      <c r="F1152">
        <v>801011</v>
      </c>
      <c r="G1152" s="1">
        <v>-167.24</v>
      </c>
      <c r="H1152" t="s">
        <v>1550</v>
      </c>
      <c r="J1152" s="18" t="s">
        <v>4327</v>
      </c>
    </row>
    <row r="1153" spans="3:10" x14ac:dyDescent="0.25">
      <c r="C1153" s="17" t="str">
        <f t="shared" si="18"/>
        <v>28.801011.-19742.6198..CLEAR SCHEDULE.</v>
      </c>
      <c r="E1153">
        <v>28</v>
      </c>
      <c r="F1153">
        <v>801011</v>
      </c>
      <c r="G1153" s="2">
        <v>-197.42</v>
      </c>
      <c r="H1153" t="s">
        <v>1551</v>
      </c>
      <c r="J1153" s="18" t="s">
        <v>4327</v>
      </c>
    </row>
    <row r="1154" spans="3:10" x14ac:dyDescent="0.25">
      <c r="C1154" s="17" t="str">
        <f t="shared" si="18"/>
        <v>28.801011.-14387.6200..CLEAR SCHEDULE.</v>
      </c>
      <c r="E1154">
        <v>28</v>
      </c>
      <c r="F1154">
        <v>801011</v>
      </c>
      <c r="G1154" s="1">
        <v>-143.87</v>
      </c>
      <c r="H1154" t="s">
        <v>1552</v>
      </c>
      <c r="J1154" s="18" t="s">
        <v>4327</v>
      </c>
    </row>
    <row r="1155" spans="3:10" x14ac:dyDescent="0.25">
      <c r="C1155" s="17" t="str">
        <f t="shared" si="18"/>
        <v>28.801011.-8972.6201..CLEAR SCHEDULE.</v>
      </c>
      <c r="E1155">
        <v>28</v>
      </c>
      <c r="F1155">
        <v>801011</v>
      </c>
      <c r="G1155" s="2">
        <v>-89.72</v>
      </c>
      <c r="H1155" t="s">
        <v>1553</v>
      </c>
      <c r="J1155" s="18" t="s">
        <v>4327</v>
      </c>
    </row>
    <row r="1156" spans="3:10" x14ac:dyDescent="0.25">
      <c r="C1156" s="17" t="str">
        <f t="shared" si="18"/>
        <v>28.801011.-5415.6202..CLEAR SCHEDULE.</v>
      </c>
      <c r="E1156">
        <v>28</v>
      </c>
      <c r="F1156">
        <v>801011</v>
      </c>
      <c r="G1156" s="1">
        <v>-54.15</v>
      </c>
      <c r="H1156" t="s">
        <v>1554</v>
      </c>
      <c r="J1156" s="18" t="s">
        <v>4327</v>
      </c>
    </row>
    <row r="1157" spans="3:10" x14ac:dyDescent="0.25">
      <c r="C1157" s="17" t="str">
        <f t="shared" si="18"/>
        <v>28.801011.-14387.6204..CLEAR SCHEDULE.</v>
      </c>
      <c r="E1157">
        <v>28</v>
      </c>
      <c r="F1157">
        <v>801011</v>
      </c>
      <c r="G1157" s="2">
        <v>-143.87</v>
      </c>
      <c r="H1157" t="s">
        <v>1555</v>
      </c>
      <c r="J1157" s="18" t="s">
        <v>4327</v>
      </c>
    </row>
    <row r="1158" spans="3:10" x14ac:dyDescent="0.25">
      <c r="C1158" s="17" t="str">
        <f t="shared" si="18"/>
        <v>28.801011.-15945.6205..CLEAR SCHEDULE.</v>
      </c>
      <c r="E1158">
        <v>28</v>
      </c>
      <c r="F1158">
        <v>801011</v>
      </c>
      <c r="G1158" s="1">
        <v>-159.44999999999999</v>
      </c>
      <c r="H1158" t="s">
        <v>1556</v>
      </c>
      <c r="J1158" s="18" t="s">
        <v>4327</v>
      </c>
    </row>
    <row r="1159" spans="3:10" x14ac:dyDescent="0.25">
      <c r="C1159" s="17" t="str">
        <f t="shared" si="18"/>
        <v>28.801011.-21592.6206..CLEAR SCHEDULE.</v>
      </c>
      <c r="E1159">
        <v>28</v>
      </c>
      <c r="F1159">
        <v>801011</v>
      </c>
      <c r="G1159" s="2">
        <v>-215.92</v>
      </c>
      <c r="H1159" t="s">
        <v>1557</v>
      </c>
      <c r="J1159" s="18" t="s">
        <v>4327</v>
      </c>
    </row>
    <row r="1160" spans="3:10" x14ac:dyDescent="0.25">
      <c r="C1160" s="17" t="str">
        <f t="shared" si="18"/>
        <v>28.801011.-8972.6207..CLEAR SCHEDULE.</v>
      </c>
      <c r="E1160">
        <v>28</v>
      </c>
      <c r="F1160">
        <v>801011</v>
      </c>
      <c r="G1160" s="1">
        <v>-89.72</v>
      </c>
      <c r="H1160" t="s">
        <v>1558</v>
      </c>
      <c r="J1160" s="18" t="s">
        <v>4327</v>
      </c>
    </row>
    <row r="1161" spans="3:10" x14ac:dyDescent="0.25">
      <c r="C1161" s="17" t="str">
        <f t="shared" si="18"/>
        <v>28.801011.-17320.6208..CLEAR SCHEDULE.</v>
      </c>
      <c r="E1161">
        <v>28</v>
      </c>
      <c r="F1161">
        <v>801011</v>
      </c>
      <c r="G1161" s="2">
        <v>-173.2</v>
      </c>
      <c r="H1161" t="s">
        <v>1559</v>
      </c>
      <c r="J1161" s="18" t="s">
        <v>4327</v>
      </c>
    </row>
    <row r="1162" spans="3:10" x14ac:dyDescent="0.25">
      <c r="C1162" s="17" t="str">
        <f t="shared" si="18"/>
        <v>28.801011.-14387.6210..CLEAR SCHEDULE.</v>
      </c>
      <c r="E1162">
        <v>28</v>
      </c>
      <c r="F1162">
        <v>801011</v>
      </c>
      <c r="G1162" s="1">
        <v>-143.87</v>
      </c>
      <c r="H1162" t="s">
        <v>1560</v>
      </c>
      <c r="J1162" s="18" t="s">
        <v>4327</v>
      </c>
    </row>
    <row r="1163" spans="3:10" x14ac:dyDescent="0.25">
      <c r="C1163" s="17" t="str">
        <f t="shared" ref="C1163:C1226" si="19">IF(G1163=0,"",(E1163&amp;"."&amp;F1163&amp;"."&amp;G1163*100&amp;"."&amp;H1163&amp;"."&amp;I1163&amp;"."&amp;J1163&amp;"."&amp;K1163))</f>
        <v>28.801011.-69005.6214..CLEAR SCHEDULE.</v>
      </c>
      <c r="E1163">
        <v>28</v>
      </c>
      <c r="F1163">
        <v>801011</v>
      </c>
      <c r="G1163" s="2">
        <v>-690.05</v>
      </c>
      <c r="H1163" t="s">
        <v>1561</v>
      </c>
      <c r="J1163" s="18" t="s">
        <v>4327</v>
      </c>
    </row>
    <row r="1164" spans="3:10" x14ac:dyDescent="0.25">
      <c r="C1164" s="17" t="str">
        <f t="shared" si="19"/>
        <v>28.801011.-14675.6219..CLEAR SCHEDULE.</v>
      </c>
      <c r="E1164">
        <v>28</v>
      </c>
      <c r="F1164">
        <v>801011</v>
      </c>
      <c r="G1164" s="1">
        <v>-146.75</v>
      </c>
      <c r="H1164" t="s">
        <v>1562</v>
      </c>
      <c r="J1164" s="18" t="s">
        <v>4327</v>
      </c>
    </row>
    <row r="1165" spans="3:10" x14ac:dyDescent="0.25">
      <c r="C1165" s="17" t="str">
        <f t="shared" si="19"/>
        <v>28.801011.-32338.6222..CLEAR SCHEDULE.</v>
      </c>
      <c r="E1165">
        <v>28</v>
      </c>
      <c r="F1165">
        <v>801011</v>
      </c>
      <c r="G1165" s="2">
        <v>-323.38</v>
      </c>
      <c r="H1165" t="s">
        <v>1563</v>
      </c>
      <c r="J1165" s="18" t="s">
        <v>4327</v>
      </c>
    </row>
    <row r="1166" spans="3:10" x14ac:dyDescent="0.25">
      <c r="C1166" s="17" t="str">
        <f t="shared" si="19"/>
        <v>28.801011.-114685.6223..CLEAR SCHEDULE.</v>
      </c>
      <c r="E1166">
        <v>28</v>
      </c>
      <c r="F1166">
        <v>801011</v>
      </c>
      <c r="G1166" s="1">
        <v>-1146.8499999999999</v>
      </c>
      <c r="H1166" t="s">
        <v>1564</v>
      </c>
      <c r="J1166" s="18" t="s">
        <v>4327</v>
      </c>
    </row>
    <row r="1167" spans="3:10" x14ac:dyDescent="0.25">
      <c r="C1167" s="17" t="str">
        <f t="shared" si="19"/>
        <v>28.801011.-21104.6224..CLEAR SCHEDULE.</v>
      </c>
      <c r="E1167">
        <v>28</v>
      </c>
      <c r="F1167">
        <v>801011</v>
      </c>
      <c r="G1167" s="2">
        <v>-211.04</v>
      </c>
      <c r="H1167" t="s">
        <v>1565</v>
      </c>
      <c r="J1167" s="18" t="s">
        <v>4327</v>
      </c>
    </row>
    <row r="1168" spans="3:10" x14ac:dyDescent="0.25">
      <c r="C1168" s="17" t="str">
        <f t="shared" si="19"/>
        <v>28.801011.-46677.6227..CLEAR SCHEDULE.</v>
      </c>
      <c r="E1168">
        <v>28</v>
      </c>
      <c r="F1168">
        <v>801011</v>
      </c>
      <c r="G1168" s="1">
        <v>-466.77</v>
      </c>
      <c r="H1168" t="s">
        <v>1566</v>
      </c>
      <c r="J1168" s="18" t="s">
        <v>4327</v>
      </c>
    </row>
    <row r="1169" spans="3:10" x14ac:dyDescent="0.25">
      <c r="C1169" s="17" t="str">
        <f t="shared" si="19"/>
        <v>28.801011.-42051.6229..CLEAR SCHEDULE.</v>
      </c>
      <c r="E1169">
        <v>28</v>
      </c>
      <c r="F1169">
        <v>801011</v>
      </c>
      <c r="G1169" s="2">
        <v>-420.51</v>
      </c>
      <c r="H1169" t="s">
        <v>1567</v>
      </c>
      <c r="J1169" s="18" t="s">
        <v>4327</v>
      </c>
    </row>
    <row r="1170" spans="3:10" x14ac:dyDescent="0.25">
      <c r="C1170" s="17" t="str">
        <f t="shared" si="19"/>
        <v>28.801011.-6769.6230..CLEAR SCHEDULE.</v>
      </c>
      <c r="E1170">
        <v>28</v>
      </c>
      <c r="F1170">
        <v>801011</v>
      </c>
      <c r="G1170" s="1">
        <v>-67.69</v>
      </c>
      <c r="H1170" t="s">
        <v>1568</v>
      </c>
      <c r="J1170" s="18" t="s">
        <v>4327</v>
      </c>
    </row>
    <row r="1171" spans="3:10" x14ac:dyDescent="0.25">
      <c r="C1171" s="17" t="str">
        <f t="shared" si="19"/>
        <v>28.801011.-16621.6231..CLEAR SCHEDULE.</v>
      </c>
      <c r="E1171">
        <v>28</v>
      </c>
      <c r="F1171">
        <v>801011</v>
      </c>
      <c r="G1171" s="2">
        <v>-166.21</v>
      </c>
      <c r="H1171" t="s">
        <v>1569</v>
      </c>
      <c r="J1171" s="18" t="s">
        <v>4327</v>
      </c>
    </row>
    <row r="1172" spans="3:10" x14ac:dyDescent="0.25">
      <c r="C1172" s="17" t="str">
        <f t="shared" si="19"/>
        <v>28.801011.-8972.6234..CLEAR SCHEDULE.</v>
      </c>
      <c r="E1172">
        <v>28</v>
      </c>
      <c r="F1172">
        <v>801011</v>
      </c>
      <c r="G1172" s="1">
        <v>-89.72</v>
      </c>
      <c r="H1172" t="s">
        <v>1570</v>
      </c>
      <c r="J1172" s="18" t="s">
        <v>4327</v>
      </c>
    </row>
    <row r="1173" spans="3:10" x14ac:dyDescent="0.25">
      <c r="C1173" s="17" t="str">
        <f t="shared" si="19"/>
        <v>28.801011.-14387.6236..CLEAR SCHEDULE.</v>
      </c>
      <c r="E1173">
        <v>28</v>
      </c>
      <c r="F1173">
        <v>801011</v>
      </c>
      <c r="G1173" s="2">
        <v>-143.87</v>
      </c>
      <c r="H1173" t="s">
        <v>1571</v>
      </c>
      <c r="J1173" s="18" t="s">
        <v>4327</v>
      </c>
    </row>
    <row r="1174" spans="3:10" x14ac:dyDescent="0.25">
      <c r="C1174" s="17" t="str">
        <f t="shared" si="19"/>
        <v>28.801011.-58751.6238..CLEAR SCHEDULE.</v>
      </c>
      <c r="E1174">
        <v>28</v>
      </c>
      <c r="F1174">
        <v>801011</v>
      </c>
      <c r="G1174" s="1">
        <v>-587.51</v>
      </c>
      <c r="H1174" t="s">
        <v>1572</v>
      </c>
      <c r="J1174" s="18" t="s">
        <v>4327</v>
      </c>
    </row>
    <row r="1175" spans="3:10" x14ac:dyDescent="0.25">
      <c r="C1175" s="17" t="str">
        <f t="shared" si="19"/>
        <v>28.801011.-5613.6239..CLEAR SCHEDULE.</v>
      </c>
      <c r="E1175">
        <v>28</v>
      </c>
      <c r="F1175">
        <v>801011</v>
      </c>
      <c r="G1175" s="2">
        <v>-56.13</v>
      </c>
      <c r="H1175" t="s">
        <v>1573</v>
      </c>
      <c r="J1175" s="18" t="s">
        <v>4327</v>
      </c>
    </row>
    <row r="1176" spans="3:10" x14ac:dyDescent="0.25">
      <c r="C1176" s="17" t="str">
        <f t="shared" si="19"/>
        <v>28.801011.-23930.6240..CLEAR SCHEDULE.</v>
      </c>
      <c r="E1176">
        <v>28</v>
      </c>
      <c r="F1176">
        <v>801011</v>
      </c>
      <c r="G1176" s="1">
        <v>-239.3</v>
      </c>
      <c r="H1176" t="s">
        <v>1574</v>
      </c>
      <c r="J1176" s="18" t="s">
        <v>4327</v>
      </c>
    </row>
    <row r="1177" spans="3:10" x14ac:dyDescent="0.25">
      <c r="C1177" s="17" t="str">
        <f t="shared" si="19"/>
        <v>28.801011.-96666.6241..CLEAR SCHEDULE.</v>
      </c>
      <c r="E1177">
        <v>28</v>
      </c>
      <c r="F1177">
        <v>801011</v>
      </c>
      <c r="G1177" s="2">
        <v>-966.66</v>
      </c>
      <c r="H1177" t="s">
        <v>1575</v>
      </c>
      <c r="J1177" s="18" t="s">
        <v>4327</v>
      </c>
    </row>
    <row r="1178" spans="3:10" x14ac:dyDescent="0.25">
      <c r="C1178" s="17" t="str">
        <f t="shared" si="19"/>
        <v>28.801011.-9751.6244..CLEAR SCHEDULE.</v>
      </c>
      <c r="E1178">
        <v>28</v>
      </c>
      <c r="F1178">
        <v>801011</v>
      </c>
      <c r="G1178" s="1">
        <v>-97.51</v>
      </c>
      <c r="H1178" t="s">
        <v>1576</v>
      </c>
      <c r="J1178" s="18" t="s">
        <v>4327</v>
      </c>
    </row>
    <row r="1179" spans="3:10" x14ac:dyDescent="0.25">
      <c r="C1179" s="17" t="str">
        <f t="shared" si="19"/>
        <v>28.801011.-9751.6246..CLEAR SCHEDULE.</v>
      </c>
      <c r="E1179">
        <v>28</v>
      </c>
      <c r="F1179">
        <v>801011</v>
      </c>
      <c r="G1179" s="2">
        <v>-97.51</v>
      </c>
      <c r="H1179" t="s">
        <v>1577</v>
      </c>
      <c r="J1179" s="18" t="s">
        <v>4327</v>
      </c>
    </row>
    <row r="1180" spans="3:10" x14ac:dyDescent="0.25">
      <c r="C1180" s="17" t="str">
        <f t="shared" si="19"/>
        <v>28.801011.-23311.6252..CLEAR SCHEDULE.</v>
      </c>
      <c r="E1180">
        <v>28</v>
      </c>
      <c r="F1180">
        <v>801011</v>
      </c>
      <c r="G1180" s="1">
        <v>-233.11</v>
      </c>
      <c r="H1180" t="s">
        <v>1578</v>
      </c>
      <c r="J1180" s="18" t="s">
        <v>4327</v>
      </c>
    </row>
    <row r="1181" spans="3:10" x14ac:dyDescent="0.25">
      <c r="C1181" s="17" t="str">
        <f t="shared" si="19"/>
        <v>28.801011.-32338.6254..CLEAR SCHEDULE.</v>
      </c>
      <c r="E1181">
        <v>28</v>
      </c>
      <c r="F1181">
        <v>801011</v>
      </c>
      <c r="G1181" s="2">
        <v>-323.38</v>
      </c>
      <c r="H1181" t="s">
        <v>1579</v>
      </c>
      <c r="J1181" s="18" t="s">
        <v>4327</v>
      </c>
    </row>
    <row r="1182" spans="3:10" x14ac:dyDescent="0.25">
      <c r="C1182" s="17" t="str">
        <f t="shared" si="19"/>
        <v>28.801011.-15166.6255..CLEAR SCHEDULE.</v>
      </c>
      <c r="E1182">
        <v>28</v>
      </c>
      <c r="F1182">
        <v>801011</v>
      </c>
      <c r="G1182" s="1">
        <v>-151.66</v>
      </c>
      <c r="H1182" t="s">
        <v>1580</v>
      </c>
      <c r="J1182" s="18" t="s">
        <v>4327</v>
      </c>
    </row>
    <row r="1183" spans="3:10" x14ac:dyDescent="0.25">
      <c r="C1183" s="17" t="str">
        <f t="shared" si="19"/>
        <v>28.801011.-39311.6258..CLEAR SCHEDULE.</v>
      </c>
      <c r="E1183">
        <v>28</v>
      </c>
      <c r="F1183">
        <v>801011</v>
      </c>
      <c r="G1183" s="2">
        <v>-393.11</v>
      </c>
      <c r="H1183" t="s">
        <v>1581</v>
      </c>
      <c r="J1183" s="18" t="s">
        <v>4327</v>
      </c>
    </row>
    <row r="1184" spans="3:10" x14ac:dyDescent="0.25">
      <c r="C1184" s="17" t="str">
        <f t="shared" si="19"/>
        <v>28.801011.-14387.6262..CLEAR SCHEDULE.</v>
      </c>
      <c r="E1184">
        <v>28</v>
      </c>
      <c r="F1184">
        <v>801011</v>
      </c>
      <c r="G1184" s="1">
        <v>-143.87</v>
      </c>
      <c r="H1184" t="s">
        <v>1582</v>
      </c>
      <c r="J1184" s="18" t="s">
        <v>4327</v>
      </c>
    </row>
    <row r="1185" spans="3:10" x14ac:dyDescent="0.25">
      <c r="C1185" s="17" t="str">
        <f t="shared" si="19"/>
        <v>28.801011.-9790.6265..CLEAR SCHEDULE.</v>
      </c>
      <c r="E1185">
        <v>28</v>
      </c>
      <c r="F1185">
        <v>801011</v>
      </c>
      <c r="G1185" s="2">
        <v>-97.9</v>
      </c>
      <c r="H1185" t="s">
        <v>1583</v>
      </c>
      <c r="J1185" s="18" t="s">
        <v>4327</v>
      </c>
    </row>
    <row r="1186" spans="3:10" x14ac:dyDescent="0.25">
      <c r="C1186" s="17" t="str">
        <f t="shared" si="19"/>
        <v>28.801011.-36580.6266..CLEAR SCHEDULE.</v>
      </c>
      <c r="E1186">
        <v>28</v>
      </c>
      <c r="F1186">
        <v>801011</v>
      </c>
      <c r="G1186" s="1">
        <v>-365.8</v>
      </c>
      <c r="H1186" t="s">
        <v>1584</v>
      </c>
      <c r="J1186" s="18" t="s">
        <v>4327</v>
      </c>
    </row>
    <row r="1187" spans="3:10" x14ac:dyDescent="0.25">
      <c r="C1187" s="17" t="str">
        <f t="shared" si="19"/>
        <v>28.801011.-9871.6267..CLEAR SCHEDULE.</v>
      </c>
      <c r="E1187">
        <v>28</v>
      </c>
      <c r="F1187">
        <v>801011</v>
      </c>
      <c r="G1187" s="2">
        <v>-98.71</v>
      </c>
      <c r="H1187" t="s">
        <v>1585</v>
      </c>
      <c r="J1187" s="18" t="s">
        <v>4327</v>
      </c>
    </row>
    <row r="1188" spans="3:10" x14ac:dyDescent="0.25">
      <c r="C1188" s="17" t="str">
        <f t="shared" si="19"/>
        <v>28.801011.-15166.6268..CLEAR SCHEDULE.</v>
      </c>
      <c r="E1188">
        <v>28</v>
      </c>
      <c r="F1188">
        <v>801011</v>
      </c>
      <c r="G1188" s="1">
        <v>-151.66</v>
      </c>
      <c r="H1188" t="s">
        <v>1586</v>
      </c>
      <c r="J1188" s="18" t="s">
        <v>4327</v>
      </c>
    </row>
    <row r="1189" spans="3:10" x14ac:dyDescent="0.25">
      <c r="C1189" s="17" t="str">
        <f t="shared" si="19"/>
        <v>28.801011.-54318.6276..CLEAR SCHEDULE.</v>
      </c>
      <c r="E1189">
        <v>28</v>
      </c>
      <c r="F1189">
        <v>801011</v>
      </c>
      <c r="G1189" s="2">
        <v>-543.17999999999995</v>
      </c>
      <c r="H1189" t="s">
        <v>1587</v>
      </c>
      <c r="J1189" s="18" t="s">
        <v>4327</v>
      </c>
    </row>
    <row r="1190" spans="3:10" x14ac:dyDescent="0.25">
      <c r="C1190" s="17" t="str">
        <f t="shared" si="19"/>
        <v>28.801011.-33896.6278..CLEAR SCHEDULE.</v>
      </c>
      <c r="E1190">
        <v>28</v>
      </c>
      <c r="F1190">
        <v>801011</v>
      </c>
      <c r="G1190" s="1">
        <v>-338.96</v>
      </c>
      <c r="H1190" t="s">
        <v>1588</v>
      </c>
      <c r="J1190" s="18" t="s">
        <v>4327</v>
      </c>
    </row>
    <row r="1191" spans="3:10" x14ac:dyDescent="0.25">
      <c r="C1191" s="17" t="str">
        <f t="shared" si="19"/>
        <v>28.801011.-8883.6280..CLEAR SCHEDULE.</v>
      </c>
      <c r="E1191">
        <v>28</v>
      </c>
      <c r="F1191">
        <v>801011</v>
      </c>
      <c r="G1191" s="2">
        <v>-88.83</v>
      </c>
      <c r="H1191" t="s">
        <v>1589</v>
      </c>
      <c r="J1191" s="18" t="s">
        <v>4327</v>
      </c>
    </row>
    <row r="1192" spans="3:10" x14ac:dyDescent="0.25">
      <c r="C1192" s="17" t="str">
        <f t="shared" si="19"/>
        <v>28.801011.-12301.6282..CLEAR SCHEDULE.</v>
      </c>
      <c r="E1192">
        <v>28</v>
      </c>
      <c r="F1192">
        <v>801011</v>
      </c>
      <c r="G1192" s="1">
        <v>-123.01</v>
      </c>
      <c r="H1192" t="s">
        <v>1590</v>
      </c>
      <c r="J1192" s="18" t="s">
        <v>4327</v>
      </c>
    </row>
    <row r="1193" spans="3:10" x14ac:dyDescent="0.25">
      <c r="C1193" s="17" t="str">
        <f t="shared" si="19"/>
        <v>28.801011.-41260.6283..CLEAR SCHEDULE.</v>
      </c>
      <c r="E1193">
        <v>28</v>
      </c>
      <c r="F1193">
        <v>801011</v>
      </c>
      <c r="G1193" s="2">
        <v>-412.6</v>
      </c>
      <c r="H1193" t="s">
        <v>1591</v>
      </c>
      <c r="J1193" s="18" t="s">
        <v>4327</v>
      </c>
    </row>
    <row r="1194" spans="3:10" x14ac:dyDescent="0.25">
      <c r="C1194" s="17" t="str">
        <f t="shared" si="19"/>
        <v>28.801011.-61761.6284..CLEAR SCHEDULE.</v>
      </c>
      <c r="E1194">
        <v>28</v>
      </c>
      <c r="F1194">
        <v>801011</v>
      </c>
      <c r="G1194" s="1">
        <v>-617.61</v>
      </c>
      <c r="H1194" t="s">
        <v>1592</v>
      </c>
      <c r="J1194" s="18" t="s">
        <v>4327</v>
      </c>
    </row>
    <row r="1195" spans="3:10" x14ac:dyDescent="0.25">
      <c r="C1195" s="17" t="str">
        <f t="shared" si="19"/>
        <v>28.801011.-32200.6288..CLEAR SCHEDULE.</v>
      </c>
      <c r="E1195">
        <v>28</v>
      </c>
      <c r="F1195">
        <v>801011</v>
      </c>
      <c r="G1195" s="2">
        <v>-322</v>
      </c>
      <c r="H1195" t="s">
        <v>1593</v>
      </c>
      <c r="J1195" s="18" t="s">
        <v>4327</v>
      </c>
    </row>
    <row r="1196" spans="3:10" x14ac:dyDescent="0.25">
      <c r="C1196" s="17" t="str">
        <f t="shared" si="19"/>
        <v>28.801011.-19742.6292..CLEAR SCHEDULE.</v>
      </c>
      <c r="E1196">
        <v>28</v>
      </c>
      <c r="F1196">
        <v>801011</v>
      </c>
      <c r="G1196" s="1">
        <v>-197.42</v>
      </c>
      <c r="H1196" t="s">
        <v>1594</v>
      </c>
      <c r="J1196" s="18" t="s">
        <v>4327</v>
      </c>
    </row>
    <row r="1197" spans="3:10" x14ac:dyDescent="0.25">
      <c r="C1197" s="17" t="str">
        <f t="shared" si="19"/>
        <v>28.801011.-5415.6294..CLEAR SCHEDULE.</v>
      </c>
      <c r="E1197">
        <v>28</v>
      </c>
      <c r="F1197">
        <v>801011</v>
      </c>
      <c r="G1197" s="2">
        <v>-54.15</v>
      </c>
      <c r="H1197" t="s">
        <v>1595</v>
      </c>
      <c r="J1197" s="18" t="s">
        <v>4327</v>
      </c>
    </row>
    <row r="1198" spans="3:10" x14ac:dyDescent="0.25">
      <c r="C1198" s="17" t="str">
        <f t="shared" si="19"/>
        <v>28.801011.-5415.6295..CLEAR SCHEDULE.</v>
      </c>
      <c r="E1198">
        <v>28</v>
      </c>
      <c r="F1198">
        <v>801011</v>
      </c>
      <c r="G1198" s="1">
        <v>-54.15</v>
      </c>
      <c r="H1198" t="s">
        <v>1596</v>
      </c>
      <c r="J1198" s="18" t="s">
        <v>4327</v>
      </c>
    </row>
    <row r="1199" spans="3:10" x14ac:dyDescent="0.25">
      <c r="C1199" s="17" t="str">
        <f t="shared" si="19"/>
        <v>28.801011.-8972.6297..CLEAR SCHEDULE.</v>
      </c>
      <c r="E1199">
        <v>28</v>
      </c>
      <c r="F1199">
        <v>801011</v>
      </c>
      <c r="G1199" s="2">
        <v>-89.72</v>
      </c>
      <c r="H1199" t="s">
        <v>1597</v>
      </c>
      <c r="J1199" s="18" t="s">
        <v>4327</v>
      </c>
    </row>
    <row r="1200" spans="3:10" x14ac:dyDescent="0.25">
      <c r="C1200" s="17" t="str">
        <f t="shared" si="19"/>
        <v>28.801011.-14387.6298..CLEAR SCHEDULE.</v>
      </c>
      <c r="E1200">
        <v>28</v>
      </c>
      <c r="F1200">
        <v>801011</v>
      </c>
      <c r="G1200" s="1">
        <v>-143.87</v>
      </c>
      <c r="H1200" t="s">
        <v>1598</v>
      </c>
      <c r="J1200" s="18" t="s">
        <v>4327</v>
      </c>
    </row>
    <row r="1201" spans="3:10" x14ac:dyDescent="0.25">
      <c r="C1201" s="17" t="str">
        <f t="shared" si="19"/>
        <v>28.801011.-15945.6302..CLEAR SCHEDULE.</v>
      </c>
      <c r="E1201">
        <v>28</v>
      </c>
      <c r="F1201">
        <v>801011</v>
      </c>
      <c r="G1201" s="2">
        <v>-159.44999999999999</v>
      </c>
      <c r="H1201" t="s">
        <v>1599</v>
      </c>
      <c r="J1201" s="18" t="s">
        <v>4327</v>
      </c>
    </row>
    <row r="1202" spans="3:10" x14ac:dyDescent="0.25">
      <c r="C1202" s="17" t="str">
        <f t="shared" si="19"/>
        <v>28.801011.-78863.6303..CLEAR SCHEDULE.</v>
      </c>
      <c r="E1202">
        <v>28</v>
      </c>
      <c r="F1202">
        <v>801011</v>
      </c>
      <c r="G1202" s="1">
        <v>-788.63</v>
      </c>
      <c r="H1202" t="s">
        <v>1600</v>
      </c>
      <c r="J1202" s="18" t="s">
        <v>4327</v>
      </c>
    </row>
    <row r="1203" spans="3:10" x14ac:dyDescent="0.25">
      <c r="C1203" s="17" t="str">
        <f t="shared" si="19"/>
        <v>28.801011.-52091.6304..CLEAR SCHEDULE.</v>
      </c>
      <c r="E1203">
        <v>28</v>
      </c>
      <c r="F1203">
        <v>801011</v>
      </c>
      <c r="G1203" s="2">
        <v>-520.91</v>
      </c>
      <c r="H1203" t="s">
        <v>1601</v>
      </c>
      <c r="J1203" s="18" t="s">
        <v>4327</v>
      </c>
    </row>
    <row r="1204" spans="3:10" x14ac:dyDescent="0.25">
      <c r="C1204" s="17" t="str">
        <f t="shared" si="19"/>
        <v>28.801011.-46706.6306..CLEAR SCHEDULE.</v>
      </c>
      <c r="E1204">
        <v>28</v>
      </c>
      <c r="F1204">
        <v>801011</v>
      </c>
      <c r="G1204" s="1">
        <v>-467.06</v>
      </c>
      <c r="H1204" t="s">
        <v>1602</v>
      </c>
      <c r="J1204" s="18" t="s">
        <v>4327</v>
      </c>
    </row>
    <row r="1205" spans="3:10" x14ac:dyDescent="0.25">
      <c r="C1205" s="17" t="str">
        <f t="shared" si="19"/>
        <v>28.801011.-16746.6308..CLEAR SCHEDULE.</v>
      </c>
      <c r="E1205">
        <v>28</v>
      </c>
      <c r="F1205">
        <v>801011</v>
      </c>
      <c r="G1205" s="2">
        <v>-167.46</v>
      </c>
      <c r="H1205" t="s">
        <v>1603</v>
      </c>
      <c r="J1205" s="18" t="s">
        <v>4327</v>
      </c>
    </row>
    <row r="1206" spans="3:10" x14ac:dyDescent="0.25">
      <c r="C1206" s="17" t="str">
        <f t="shared" si="19"/>
        <v>28.801011.-24649.6310..CLEAR SCHEDULE.</v>
      </c>
      <c r="E1206">
        <v>28</v>
      </c>
      <c r="F1206">
        <v>801011</v>
      </c>
      <c r="G1206" s="1">
        <v>-246.49</v>
      </c>
      <c r="H1206" t="s">
        <v>1604</v>
      </c>
      <c r="J1206" s="18" t="s">
        <v>4327</v>
      </c>
    </row>
    <row r="1207" spans="3:10" x14ac:dyDescent="0.25">
      <c r="C1207" s="17" t="str">
        <f t="shared" si="19"/>
        <v>28.801011.-15945.6311..CLEAR SCHEDULE.</v>
      </c>
      <c r="E1207">
        <v>28</v>
      </c>
      <c r="F1207">
        <v>801011</v>
      </c>
      <c r="G1207" s="2">
        <v>-159.44999999999999</v>
      </c>
      <c r="H1207" t="s">
        <v>1605</v>
      </c>
      <c r="J1207" s="18" t="s">
        <v>4327</v>
      </c>
    </row>
    <row r="1208" spans="3:10" x14ac:dyDescent="0.25">
      <c r="C1208" s="17" t="str">
        <f t="shared" si="19"/>
        <v>28.801011.-50857.6313..CLEAR SCHEDULE.</v>
      </c>
      <c r="E1208">
        <v>28</v>
      </c>
      <c r="F1208">
        <v>801011</v>
      </c>
      <c r="G1208" s="1">
        <v>-508.57</v>
      </c>
      <c r="H1208" t="s">
        <v>1606</v>
      </c>
      <c r="J1208" s="18" t="s">
        <v>4327</v>
      </c>
    </row>
    <row r="1209" spans="3:10" x14ac:dyDescent="0.25">
      <c r="C1209" s="17" t="str">
        <f t="shared" si="19"/>
        <v>28.801011.-15945.6315..CLEAR SCHEDULE.</v>
      </c>
      <c r="E1209">
        <v>28</v>
      </c>
      <c r="F1209">
        <v>801011</v>
      </c>
      <c r="G1209" s="2">
        <v>-159.44999999999999</v>
      </c>
      <c r="H1209" t="s">
        <v>1607</v>
      </c>
      <c r="J1209" s="18" t="s">
        <v>4327</v>
      </c>
    </row>
    <row r="1210" spans="3:10" x14ac:dyDescent="0.25">
      <c r="C1210" s="17" t="str">
        <f t="shared" si="19"/>
        <v>28.801011.-9751.6316..CLEAR SCHEDULE.</v>
      </c>
      <c r="E1210">
        <v>28</v>
      </c>
      <c r="F1210">
        <v>801011</v>
      </c>
      <c r="G1210" s="1">
        <v>-97.51</v>
      </c>
      <c r="H1210" t="s">
        <v>1608</v>
      </c>
      <c r="J1210" s="18" t="s">
        <v>4327</v>
      </c>
    </row>
    <row r="1211" spans="3:10" x14ac:dyDescent="0.25">
      <c r="C1211" s="17" t="str">
        <f t="shared" si="19"/>
        <v>28.801011.-23704.6321..CLEAR SCHEDULE.</v>
      </c>
      <c r="E1211">
        <v>28</v>
      </c>
      <c r="F1211">
        <v>801011</v>
      </c>
      <c r="G1211" s="2">
        <v>-237.04</v>
      </c>
      <c r="H1211" t="s">
        <v>1609</v>
      </c>
      <c r="J1211" s="18" t="s">
        <v>4327</v>
      </c>
    </row>
    <row r="1212" spans="3:10" x14ac:dyDescent="0.25">
      <c r="C1212" s="17" t="str">
        <f t="shared" si="19"/>
        <v>28.801011.-11309.6323..CLEAR SCHEDULE.</v>
      </c>
      <c r="E1212">
        <v>28</v>
      </c>
      <c r="F1212">
        <v>801011</v>
      </c>
      <c r="G1212" s="1">
        <v>-113.09</v>
      </c>
      <c r="H1212" t="s">
        <v>1610</v>
      </c>
      <c r="J1212" s="18" t="s">
        <v>4327</v>
      </c>
    </row>
    <row r="1213" spans="3:10" x14ac:dyDescent="0.25">
      <c r="C1213" s="17" t="str">
        <f t="shared" si="19"/>
        <v>28.801011.-5415.6325..CLEAR SCHEDULE.</v>
      </c>
      <c r="E1213">
        <v>28</v>
      </c>
      <c r="F1213">
        <v>801011</v>
      </c>
      <c r="G1213" s="2">
        <v>-54.15</v>
      </c>
      <c r="H1213" t="s">
        <v>1611</v>
      </c>
      <c r="J1213" s="18" t="s">
        <v>4327</v>
      </c>
    </row>
    <row r="1214" spans="3:10" x14ac:dyDescent="0.25">
      <c r="C1214" s="17" t="str">
        <f t="shared" si="19"/>
        <v>28.801011.-28088.6336..CLEAR SCHEDULE.</v>
      </c>
      <c r="E1214">
        <v>28</v>
      </c>
      <c r="F1214">
        <v>801011</v>
      </c>
      <c r="G1214" s="1">
        <v>-280.88</v>
      </c>
      <c r="H1214" t="s">
        <v>1612</v>
      </c>
      <c r="J1214" s="18" t="s">
        <v>4327</v>
      </c>
    </row>
    <row r="1215" spans="3:10" x14ac:dyDescent="0.25">
      <c r="C1215" s="17" t="str">
        <f t="shared" si="19"/>
        <v>28.801011.-8972.6337..CLEAR SCHEDULE.</v>
      </c>
      <c r="E1215">
        <v>28</v>
      </c>
      <c r="F1215">
        <v>801011</v>
      </c>
      <c r="G1215" s="2">
        <v>-89.72</v>
      </c>
      <c r="H1215" t="s">
        <v>1613</v>
      </c>
      <c r="J1215" s="18" t="s">
        <v>4327</v>
      </c>
    </row>
    <row r="1216" spans="3:10" x14ac:dyDescent="0.25">
      <c r="C1216" s="17" t="str">
        <f t="shared" si="19"/>
        <v>28.801011.-14387.6338..CLEAR SCHEDULE.</v>
      </c>
      <c r="E1216">
        <v>28</v>
      </c>
      <c r="F1216">
        <v>801011</v>
      </c>
      <c r="G1216" s="1">
        <v>-143.87</v>
      </c>
      <c r="H1216" t="s">
        <v>1614</v>
      </c>
      <c r="J1216" s="18" t="s">
        <v>4327</v>
      </c>
    </row>
    <row r="1217" spans="3:10" x14ac:dyDescent="0.25">
      <c r="C1217" s="17" t="str">
        <f t="shared" si="19"/>
        <v>28.801011.-14872.6340..CLEAR SCHEDULE.</v>
      </c>
      <c r="E1217">
        <v>28</v>
      </c>
      <c r="F1217">
        <v>801011</v>
      </c>
      <c r="G1217" s="2">
        <v>-148.72</v>
      </c>
      <c r="H1217" t="s">
        <v>1615</v>
      </c>
      <c r="J1217" s="18" t="s">
        <v>4327</v>
      </c>
    </row>
    <row r="1218" spans="3:10" x14ac:dyDescent="0.25">
      <c r="C1218" s="17" t="str">
        <f t="shared" si="19"/>
        <v>28.801011.-5415.6342..CLEAR SCHEDULE.</v>
      </c>
      <c r="E1218">
        <v>28</v>
      </c>
      <c r="F1218">
        <v>801011</v>
      </c>
      <c r="G1218" s="1">
        <v>-54.15</v>
      </c>
      <c r="H1218" t="s">
        <v>1616</v>
      </c>
      <c r="J1218" s="18" t="s">
        <v>4327</v>
      </c>
    </row>
    <row r="1219" spans="3:10" x14ac:dyDescent="0.25">
      <c r="C1219" s="17" t="str">
        <f t="shared" si="19"/>
        <v>28.801011.-19742.6343..CLEAR SCHEDULE.</v>
      </c>
      <c r="E1219">
        <v>28</v>
      </c>
      <c r="F1219">
        <v>801011</v>
      </c>
      <c r="G1219" s="2">
        <v>-197.42</v>
      </c>
      <c r="H1219" t="s">
        <v>1617</v>
      </c>
      <c r="J1219" s="18" t="s">
        <v>4327</v>
      </c>
    </row>
    <row r="1220" spans="3:10" x14ac:dyDescent="0.25">
      <c r="C1220" s="17" t="str">
        <f t="shared" si="19"/>
        <v>28.801011.-134637.6344..CLEAR SCHEDULE.</v>
      </c>
      <c r="E1220">
        <v>28</v>
      </c>
      <c r="F1220">
        <v>801011</v>
      </c>
      <c r="G1220" s="1">
        <v>-1346.37</v>
      </c>
      <c r="H1220" t="s">
        <v>1618</v>
      </c>
      <c r="J1220" s="18" t="s">
        <v>4327</v>
      </c>
    </row>
    <row r="1221" spans="3:10" x14ac:dyDescent="0.25">
      <c r="C1221" s="17" t="str">
        <f t="shared" si="19"/>
        <v>28.801011.-28767.6348..CLEAR SCHEDULE.</v>
      </c>
      <c r="E1221">
        <v>28</v>
      </c>
      <c r="F1221">
        <v>801011</v>
      </c>
      <c r="G1221" s="2">
        <v>-287.67</v>
      </c>
      <c r="H1221" t="s">
        <v>1619</v>
      </c>
      <c r="J1221" s="18" t="s">
        <v>4327</v>
      </c>
    </row>
    <row r="1222" spans="3:10" x14ac:dyDescent="0.25">
      <c r="C1222" s="17" t="str">
        <f t="shared" si="19"/>
        <v>28.801011.-91730.6350..CLEAR SCHEDULE.</v>
      </c>
      <c r="E1222">
        <v>28</v>
      </c>
      <c r="F1222">
        <v>801011</v>
      </c>
      <c r="G1222" s="1">
        <v>-917.3</v>
      </c>
      <c r="H1222" t="s">
        <v>1620</v>
      </c>
      <c r="J1222" s="18" t="s">
        <v>4327</v>
      </c>
    </row>
    <row r="1223" spans="3:10" x14ac:dyDescent="0.25">
      <c r="C1223" s="17" t="str">
        <f t="shared" si="19"/>
        <v>28.801011.-19742.6351..CLEAR SCHEDULE.</v>
      </c>
      <c r="E1223">
        <v>28</v>
      </c>
      <c r="F1223">
        <v>801011</v>
      </c>
      <c r="G1223" s="2">
        <v>-197.42</v>
      </c>
      <c r="H1223" t="s">
        <v>1621</v>
      </c>
      <c r="J1223" s="18" t="s">
        <v>4327</v>
      </c>
    </row>
    <row r="1224" spans="3:10" x14ac:dyDescent="0.25">
      <c r="C1224" s="17" t="str">
        <f t="shared" si="19"/>
        <v>28.801011.-10743.6352..CLEAR SCHEDULE.</v>
      </c>
      <c r="E1224">
        <v>28</v>
      </c>
      <c r="F1224">
        <v>801011</v>
      </c>
      <c r="G1224" s="1">
        <v>-107.43</v>
      </c>
      <c r="H1224" t="s">
        <v>1622</v>
      </c>
      <c r="J1224" s="18" t="s">
        <v>4327</v>
      </c>
    </row>
    <row r="1225" spans="3:10" x14ac:dyDescent="0.25">
      <c r="C1225" s="17" t="str">
        <f t="shared" si="19"/>
        <v>28.801011.-16724.6353..CLEAR SCHEDULE.</v>
      </c>
      <c r="E1225">
        <v>28</v>
      </c>
      <c r="F1225">
        <v>801011</v>
      </c>
      <c r="G1225" s="2">
        <v>-167.24</v>
      </c>
      <c r="H1225" t="s">
        <v>1623</v>
      </c>
      <c r="J1225" s="18" t="s">
        <v>4327</v>
      </c>
    </row>
    <row r="1226" spans="3:10" x14ac:dyDescent="0.25">
      <c r="C1226" s="17" t="str">
        <f t="shared" si="19"/>
        <v>28.801011.-136145.6354..CLEAR SCHEDULE.</v>
      </c>
      <c r="E1226">
        <v>28</v>
      </c>
      <c r="F1226">
        <v>801011</v>
      </c>
      <c r="G1226" s="1">
        <v>-1361.45</v>
      </c>
      <c r="H1226" t="s">
        <v>1624</v>
      </c>
      <c r="J1226" s="18" t="s">
        <v>4327</v>
      </c>
    </row>
    <row r="1227" spans="3:10" x14ac:dyDescent="0.25">
      <c r="C1227" s="17" t="str">
        <f t="shared" ref="C1227:C1290" si="20">IF(G1227=0,"",(E1227&amp;"."&amp;F1227&amp;"."&amp;G1227*100&amp;"."&amp;H1227&amp;"."&amp;I1227&amp;"."&amp;J1227&amp;"."&amp;K1227))</f>
        <v>28.801011.-191368.6355..CLEAR SCHEDULE.</v>
      </c>
      <c r="E1227">
        <v>28</v>
      </c>
      <c r="F1227">
        <v>801011</v>
      </c>
      <c r="G1227" s="2">
        <v>-1913.68</v>
      </c>
      <c r="H1227" t="s">
        <v>1625</v>
      </c>
      <c r="J1227" s="18" t="s">
        <v>4327</v>
      </c>
    </row>
    <row r="1228" spans="3:10" x14ac:dyDescent="0.25">
      <c r="C1228" s="17" t="str">
        <f t="shared" si="20"/>
        <v>28.801011.-31950.6358..CLEAR SCHEDULE.</v>
      </c>
      <c r="E1228">
        <v>28</v>
      </c>
      <c r="F1228">
        <v>801011</v>
      </c>
      <c r="G1228" s="1">
        <v>-319.5</v>
      </c>
      <c r="H1228" t="s">
        <v>1626</v>
      </c>
      <c r="J1228" s="18" t="s">
        <v>4327</v>
      </c>
    </row>
    <row r="1229" spans="3:10" x14ac:dyDescent="0.25">
      <c r="C1229" s="17" t="str">
        <f t="shared" si="20"/>
        <v>28.801011.-8972.6360..CLEAR SCHEDULE.</v>
      </c>
      <c r="E1229">
        <v>28</v>
      </c>
      <c r="F1229">
        <v>801011</v>
      </c>
      <c r="G1229" s="2">
        <v>-89.72</v>
      </c>
      <c r="H1229" t="s">
        <v>1627</v>
      </c>
      <c r="J1229" s="18" t="s">
        <v>4327</v>
      </c>
    </row>
    <row r="1230" spans="3:10" x14ac:dyDescent="0.25">
      <c r="C1230" s="17" t="str">
        <f t="shared" si="20"/>
        <v>28.801011.-14387.6361..CLEAR SCHEDULE.</v>
      </c>
      <c r="E1230">
        <v>28</v>
      </c>
      <c r="F1230">
        <v>801011</v>
      </c>
      <c r="G1230" s="1">
        <v>-143.87</v>
      </c>
      <c r="H1230" t="s">
        <v>1628</v>
      </c>
      <c r="J1230" s="18" t="s">
        <v>4327</v>
      </c>
    </row>
    <row r="1231" spans="3:10" x14ac:dyDescent="0.25">
      <c r="C1231" s="17" t="str">
        <f t="shared" si="20"/>
        <v>28.801011.-15945.6362..CLEAR SCHEDULE.</v>
      </c>
      <c r="E1231">
        <v>28</v>
      </c>
      <c r="F1231">
        <v>801011</v>
      </c>
      <c r="G1231" s="2">
        <v>-159.44999999999999</v>
      </c>
      <c r="H1231" t="s">
        <v>1629</v>
      </c>
      <c r="J1231" s="18" t="s">
        <v>4327</v>
      </c>
    </row>
    <row r="1232" spans="3:10" x14ac:dyDescent="0.25">
      <c r="C1232" s="17" t="str">
        <f t="shared" si="20"/>
        <v>28.801011.-43974.6367..CLEAR SCHEDULE.</v>
      </c>
      <c r="E1232">
        <v>28</v>
      </c>
      <c r="F1232">
        <v>801011</v>
      </c>
      <c r="G1232" s="1">
        <v>-439.74</v>
      </c>
      <c r="H1232" t="s">
        <v>1630</v>
      </c>
      <c r="J1232" s="18" t="s">
        <v>4327</v>
      </c>
    </row>
    <row r="1233" spans="3:10" x14ac:dyDescent="0.25">
      <c r="C1233" s="17" t="str">
        <f t="shared" si="20"/>
        <v>28.801011.-14387.6368..CLEAR SCHEDULE.</v>
      </c>
      <c r="E1233">
        <v>28</v>
      </c>
      <c r="F1233">
        <v>801011</v>
      </c>
      <c r="G1233" s="2">
        <v>-143.87</v>
      </c>
      <c r="H1233" t="s">
        <v>1631</v>
      </c>
      <c r="J1233" s="18" t="s">
        <v>4327</v>
      </c>
    </row>
    <row r="1234" spans="3:10" x14ac:dyDescent="0.25">
      <c r="C1234" s="17" t="str">
        <f t="shared" si="20"/>
        <v>28.801011.-56982.6369..CLEAR SCHEDULE.</v>
      </c>
      <c r="E1234">
        <v>28</v>
      </c>
      <c r="F1234">
        <v>801011</v>
      </c>
      <c r="G1234" s="1">
        <v>-569.82000000000005</v>
      </c>
      <c r="H1234" t="s">
        <v>1632</v>
      </c>
      <c r="J1234" s="18" t="s">
        <v>4327</v>
      </c>
    </row>
    <row r="1235" spans="3:10" x14ac:dyDescent="0.25">
      <c r="C1235" s="17" t="str">
        <f t="shared" si="20"/>
        <v>28.801011.-16850.6370..CLEAR SCHEDULE.</v>
      </c>
      <c r="E1235">
        <v>28</v>
      </c>
      <c r="F1235">
        <v>801011</v>
      </c>
      <c r="G1235" s="2">
        <v>-168.5</v>
      </c>
      <c r="H1235" t="s">
        <v>1633</v>
      </c>
      <c r="J1235" s="18" t="s">
        <v>4327</v>
      </c>
    </row>
    <row r="1236" spans="3:10" x14ac:dyDescent="0.25">
      <c r="C1236" s="17" t="str">
        <f t="shared" si="20"/>
        <v>28.801011.-15166.6374..CLEAR SCHEDULE.</v>
      </c>
      <c r="E1236">
        <v>28</v>
      </c>
      <c r="F1236">
        <v>801011</v>
      </c>
      <c r="G1236" s="1">
        <v>-151.66</v>
      </c>
      <c r="H1236" t="s">
        <v>1634</v>
      </c>
      <c r="J1236" s="18" t="s">
        <v>4327</v>
      </c>
    </row>
    <row r="1237" spans="3:10" x14ac:dyDescent="0.25">
      <c r="C1237" s="17" t="str">
        <f t="shared" si="20"/>
        <v>28.801011.-49486.6378..CLEAR SCHEDULE.</v>
      </c>
      <c r="E1237">
        <v>28</v>
      </c>
      <c r="F1237">
        <v>801011</v>
      </c>
      <c r="G1237" s="2">
        <v>-494.86</v>
      </c>
      <c r="H1237" t="s">
        <v>1635</v>
      </c>
      <c r="J1237" s="18" t="s">
        <v>4327</v>
      </c>
    </row>
    <row r="1238" spans="3:10" x14ac:dyDescent="0.25">
      <c r="C1238" s="17" t="str">
        <f t="shared" si="20"/>
        <v>28.801011.-156817.6379..CLEAR SCHEDULE.</v>
      </c>
      <c r="E1238">
        <v>28</v>
      </c>
      <c r="F1238">
        <v>801011</v>
      </c>
      <c r="G1238" s="1">
        <v>-1568.17</v>
      </c>
      <c r="H1238" t="s">
        <v>1636</v>
      </c>
      <c r="J1238" s="18" t="s">
        <v>4327</v>
      </c>
    </row>
    <row r="1239" spans="3:10" x14ac:dyDescent="0.25">
      <c r="C1239" s="17" t="str">
        <f t="shared" si="20"/>
        <v>28.801011.-19742.6382..CLEAR SCHEDULE.</v>
      </c>
      <c r="E1239">
        <v>28</v>
      </c>
      <c r="F1239">
        <v>801011</v>
      </c>
      <c r="G1239" s="2">
        <v>-197.42</v>
      </c>
      <c r="H1239" t="s">
        <v>1637</v>
      </c>
      <c r="J1239" s="18" t="s">
        <v>4327</v>
      </c>
    </row>
    <row r="1240" spans="3:10" x14ac:dyDescent="0.25">
      <c r="C1240" s="17" t="str">
        <f t="shared" si="20"/>
        <v>28.801011.-21745.6385..CLEAR SCHEDULE.</v>
      </c>
      <c r="E1240">
        <v>28</v>
      </c>
      <c r="F1240">
        <v>801011</v>
      </c>
      <c r="G1240" s="1">
        <v>-217.45</v>
      </c>
      <c r="H1240" t="s">
        <v>1638</v>
      </c>
      <c r="J1240" s="18" t="s">
        <v>4327</v>
      </c>
    </row>
    <row r="1241" spans="3:10" x14ac:dyDescent="0.25">
      <c r="C1241" s="17" t="str">
        <f t="shared" si="20"/>
        <v>28.801011.-42298.6389..CLEAR SCHEDULE.</v>
      </c>
      <c r="E1241">
        <v>28</v>
      </c>
      <c r="F1241">
        <v>801011</v>
      </c>
      <c r="G1241" s="2">
        <v>-422.98</v>
      </c>
      <c r="H1241" t="s">
        <v>1639</v>
      </c>
      <c r="J1241" s="18" t="s">
        <v>4327</v>
      </c>
    </row>
    <row r="1242" spans="3:10" x14ac:dyDescent="0.25">
      <c r="C1242" s="17" t="str">
        <f t="shared" si="20"/>
        <v>28.801011.-77074.6393..CLEAR SCHEDULE.</v>
      </c>
      <c r="E1242">
        <v>28</v>
      </c>
      <c r="F1242">
        <v>801011</v>
      </c>
      <c r="G1242" s="1">
        <v>-770.74</v>
      </c>
      <c r="H1242" t="s">
        <v>1640</v>
      </c>
      <c r="J1242" s="18" t="s">
        <v>4327</v>
      </c>
    </row>
    <row r="1243" spans="3:10" x14ac:dyDescent="0.25">
      <c r="C1243" s="17" t="str">
        <f t="shared" si="20"/>
        <v>28.801011.-68793.6394..CLEAR SCHEDULE.</v>
      </c>
      <c r="E1243">
        <v>28</v>
      </c>
      <c r="F1243">
        <v>801011</v>
      </c>
      <c r="G1243" s="2">
        <v>-687.93</v>
      </c>
      <c r="H1243" t="s">
        <v>1641</v>
      </c>
      <c r="J1243" s="18" t="s">
        <v>4327</v>
      </c>
    </row>
    <row r="1244" spans="3:10" x14ac:dyDescent="0.25">
      <c r="C1244" s="17" t="str">
        <f t="shared" si="20"/>
        <v>28.801011.-18987.6395..CLEAR SCHEDULE.</v>
      </c>
      <c r="E1244">
        <v>28</v>
      </c>
      <c r="F1244">
        <v>801011</v>
      </c>
      <c r="G1244" s="1">
        <v>-189.87</v>
      </c>
      <c r="H1244" t="s">
        <v>1642</v>
      </c>
      <c r="J1244" s="18" t="s">
        <v>4327</v>
      </c>
    </row>
    <row r="1245" spans="3:10" x14ac:dyDescent="0.25">
      <c r="C1245" s="17" t="str">
        <f t="shared" si="20"/>
        <v>28.801011.-39484.6396..CLEAR SCHEDULE.</v>
      </c>
      <c r="E1245">
        <v>28</v>
      </c>
      <c r="F1245">
        <v>801011</v>
      </c>
      <c r="G1245" s="2">
        <v>-394.84</v>
      </c>
      <c r="H1245" t="s">
        <v>1643</v>
      </c>
      <c r="J1245" s="18" t="s">
        <v>4327</v>
      </c>
    </row>
    <row r="1246" spans="3:10" x14ac:dyDescent="0.25">
      <c r="C1246" s="17" t="str">
        <f t="shared" si="20"/>
        <v>28.801011.-143148.6397..CLEAR SCHEDULE.</v>
      </c>
      <c r="E1246">
        <v>28</v>
      </c>
      <c r="F1246">
        <v>801011</v>
      </c>
      <c r="G1246" s="1">
        <v>-1431.48</v>
      </c>
      <c r="H1246" t="s">
        <v>1644</v>
      </c>
      <c r="J1246" s="18" t="s">
        <v>4327</v>
      </c>
    </row>
    <row r="1247" spans="3:10" x14ac:dyDescent="0.25">
      <c r="C1247" s="17" t="str">
        <f t="shared" si="20"/>
        <v>28.801011.-22563.6398..CLEAR SCHEDULE.</v>
      </c>
      <c r="E1247">
        <v>28</v>
      </c>
      <c r="F1247">
        <v>801011</v>
      </c>
      <c r="G1247" s="2">
        <v>-225.63</v>
      </c>
      <c r="H1247" t="s">
        <v>1645</v>
      </c>
      <c r="J1247" s="18" t="s">
        <v>4327</v>
      </c>
    </row>
    <row r="1248" spans="3:10" x14ac:dyDescent="0.25">
      <c r="C1248" s="17" t="str">
        <f t="shared" si="20"/>
        <v>28.801011.-31021.6399..CLEAR SCHEDULE.</v>
      </c>
      <c r="E1248">
        <v>28</v>
      </c>
      <c r="F1248">
        <v>801011</v>
      </c>
      <c r="G1248" s="1">
        <v>-310.20999999999998</v>
      </c>
      <c r="H1248" t="s">
        <v>1646</v>
      </c>
      <c r="J1248" s="18" t="s">
        <v>4327</v>
      </c>
    </row>
    <row r="1249" spans="3:10" x14ac:dyDescent="0.25">
      <c r="C1249" s="17" t="str">
        <f t="shared" si="20"/>
        <v>28.801011.-27090.6400..CLEAR SCHEDULE.</v>
      </c>
      <c r="E1249">
        <v>28</v>
      </c>
      <c r="F1249">
        <v>801011</v>
      </c>
      <c r="G1249" s="2">
        <v>-270.89999999999998</v>
      </c>
      <c r="H1249" t="s">
        <v>1647</v>
      </c>
      <c r="J1249" s="18" t="s">
        <v>4327</v>
      </c>
    </row>
    <row r="1250" spans="3:10" x14ac:dyDescent="0.25">
      <c r="C1250" s="17" t="str">
        <f t="shared" si="20"/>
        <v>28.801011.-13668.6401..CLEAR SCHEDULE.</v>
      </c>
      <c r="E1250">
        <v>28</v>
      </c>
      <c r="F1250">
        <v>801011</v>
      </c>
      <c r="G1250" s="1">
        <v>-136.68</v>
      </c>
      <c r="H1250" t="s">
        <v>1648</v>
      </c>
      <c r="J1250" s="18" t="s">
        <v>4327</v>
      </c>
    </row>
    <row r="1251" spans="3:10" x14ac:dyDescent="0.25">
      <c r="C1251" s="17" t="str">
        <f t="shared" si="20"/>
        <v>28.801011.-21090.6402..CLEAR SCHEDULE.</v>
      </c>
      <c r="E1251">
        <v>28</v>
      </c>
      <c r="F1251">
        <v>801011</v>
      </c>
      <c r="G1251" s="2">
        <v>-210.9</v>
      </c>
      <c r="H1251" t="s">
        <v>1649</v>
      </c>
      <c r="J1251" s="18" t="s">
        <v>4327</v>
      </c>
    </row>
    <row r="1252" spans="3:10" x14ac:dyDescent="0.25">
      <c r="C1252" s="17" t="str">
        <f t="shared" si="20"/>
        <v>28.801011.-24709.6405..CLEAR SCHEDULE.</v>
      </c>
      <c r="E1252">
        <v>28</v>
      </c>
      <c r="F1252">
        <v>801011</v>
      </c>
      <c r="G1252" s="1">
        <v>-247.09</v>
      </c>
      <c r="H1252" t="s">
        <v>1650</v>
      </c>
      <c r="J1252" s="18" t="s">
        <v>4327</v>
      </c>
    </row>
    <row r="1253" spans="3:10" x14ac:dyDescent="0.25">
      <c r="C1253" s="17" t="str">
        <f t="shared" si="20"/>
        <v>28.801011.-14387.6406..CLEAR SCHEDULE.</v>
      </c>
      <c r="E1253">
        <v>28</v>
      </c>
      <c r="F1253">
        <v>801011</v>
      </c>
      <c r="G1253" s="2">
        <v>-143.87</v>
      </c>
      <c r="H1253" t="s">
        <v>1651</v>
      </c>
      <c r="J1253" s="18" t="s">
        <v>4327</v>
      </c>
    </row>
    <row r="1254" spans="3:10" x14ac:dyDescent="0.25">
      <c r="C1254" s="17" t="str">
        <f t="shared" si="20"/>
        <v>28.801011.-44228.6407..CLEAR SCHEDULE.</v>
      </c>
      <c r="E1254">
        <v>28</v>
      </c>
      <c r="F1254">
        <v>801011</v>
      </c>
      <c r="G1254" s="1">
        <v>-442.28</v>
      </c>
      <c r="H1254" t="s">
        <v>1652</v>
      </c>
      <c r="J1254" s="18" t="s">
        <v>4327</v>
      </c>
    </row>
    <row r="1255" spans="3:10" x14ac:dyDescent="0.25">
      <c r="C1255" s="17" t="str">
        <f t="shared" si="20"/>
        <v>28.801011.-41586.6408..CLEAR SCHEDULE.</v>
      </c>
      <c r="E1255">
        <v>28</v>
      </c>
      <c r="F1255">
        <v>801011</v>
      </c>
      <c r="G1255" s="2">
        <v>-415.86</v>
      </c>
      <c r="H1255" t="s">
        <v>1653</v>
      </c>
      <c r="J1255" s="18" t="s">
        <v>4327</v>
      </c>
    </row>
    <row r="1256" spans="3:10" x14ac:dyDescent="0.25">
      <c r="C1256" s="17" t="str">
        <f t="shared" si="20"/>
        <v>28.801011.-23311.6409..CLEAR SCHEDULE.</v>
      </c>
      <c r="E1256">
        <v>28</v>
      </c>
      <c r="F1256">
        <v>801011</v>
      </c>
      <c r="G1256" s="1">
        <v>-233.11</v>
      </c>
      <c r="H1256" t="s">
        <v>1654</v>
      </c>
      <c r="J1256" s="18" t="s">
        <v>4327</v>
      </c>
    </row>
    <row r="1257" spans="3:10" x14ac:dyDescent="0.25">
      <c r="C1257" s="17" t="str">
        <f t="shared" si="20"/>
        <v>28.801011.-1197323.6410..CLEAR SCHEDULE.</v>
      </c>
      <c r="E1257">
        <v>28</v>
      </c>
      <c r="F1257">
        <v>801011</v>
      </c>
      <c r="G1257" s="2">
        <v>-11973.23</v>
      </c>
      <c r="H1257" t="s">
        <v>1655</v>
      </c>
      <c r="J1257" s="18" t="s">
        <v>4327</v>
      </c>
    </row>
    <row r="1258" spans="3:10" x14ac:dyDescent="0.25">
      <c r="C1258" s="17" t="str">
        <f t="shared" si="20"/>
        <v>28.801011.-17500.6419..CLEAR SCHEDULE.</v>
      </c>
      <c r="E1258">
        <v>28</v>
      </c>
      <c r="F1258">
        <v>801011</v>
      </c>
      <c r="G1258" s="1">
        <v>-175</v>
      </c>
      <c r="H1258" t="s">
        <v>1656</v>
      </c>
      <c r="J1258" s="18" t="s">
        <v>4327</v>
      </c>
    </row>
    <row r="1259" spans="3:10" x14ac:dyDescent="0.25">
      <c r="C1259" s="17" t="str">
        <f t="shared" si="20"/>
        <v>28.801011.-135183.6420..CLEAR SCHEDULE.</v>
      </c>
      <c r="E1259">
        <v>28</v>
      </c>
      <c r="F1259">
        <v>801011</v>
      </c>
      <c r="G1259" s="2">
        <v>-1351.83</v>
      </c>
      <c r="H1259" t="s">
        <v>1657</v>
      </c>
      <c r="J1259" s="18" t="s">
        <v>4327</v>
      </c>
    </row>
    <row r="1260" spans="3:10" x14ac:dyDescent="0.25">
      <c r="C1260" s="17" t="str">
        <f t="shared" si="20"/>
        <v>28.801011.-7242.6421..CLEAR SCHEDULE.</v>
      </c>
      <c r="E1260">
        <v>28</v>
      </c>
      <c r="F1260">
        <v>801011</v>
      </c>
      <c r="G1260" s="1">
        <v>-72.42</v>
      </c>
      <c r="H1260" t="s">
        <v>1658</v>
      </c>
      <c r="J1260" s="18" t="s">
        <v>4327</v>
      </c>
    </row>
    <row r="1261" spans="3:10" x14ac:dyDescent="0.25">
      <c r="C1261" s="17" t="str">
        <f t="shared" si="20"/>
        <v>28.801011.-51924.6422..CLEAR SCHEDULE.</v>
      </c>
      <c r="E1261">
        <v>28</v>
      </c>
      <c r="F1261">
        <v>801011</v>
      </c>
      <c r="G1261" s="2">
        <v>-519.24</v>
      </c>
      <c r="H1261" t="s">
        <v>1659</v>
      </c>
      <c r="J1261" s="18" t="s">
        <v>4327</v>
      </c>
    </row>
    <row r="1262" spans="3:10" x14ac:dyDescent="0.25">
      <c r="C1262" s="17" t="str">
        <f t="shared" si="20"/>
        <v>28.801011.-73974.6423..CLEAR SCHEDULE.</v>
      </c>
      <c r="E1262">
        <v>28</v>
      </c>
      <c r="F1262">
        <v>801011</v>
      </c>
      <c r="G1262" s="1">
        <v>-739.74</v>
      </c>
      <c r="H1262" t="s">
        <v>1660</v>
      </c>
      <c r="J1262" s="18" t="s">
        <v>4327</v>
      </c>
    </row>
    <row r="1263" spans="3:10" x14ac:dyDescent="0.25">
      <c r="C1263" s="17" t="str">
        <f t="shared" si="20"/>
        <v>28.801011.-19600.6425..CLEAR SCHEDULE.</v>
      </c>
      <c r="E1263">
        <v>28</v>
      </c>
      <c r="F1263">
        <v>801011</v>
      </c>
      <c r="G1263" s="2">
        <v>-196</v>
      </c>
      <c r="H1263" t="s">
        <v>1661</v>
      </c>
      <c r="J1263" s="18" t="s">
        <v>4327</v>
      </c>
    </row>
    <row r="1264" spans="3:10" x14ac:dyDescent="0.25">
      <c r="C1264" s="17" t="str">
        <f t="shared" si="20"/>
        <v>28.801011.-157309.6426..CLEAR SCHEDULE.</v>
      </c>
      <c r="E1264">
        <v>28</v>
      </c>
      <c r="F1264">
        <v>801011</v>
      </c>
      <c r="G1264" s="1">
        <v>-1573.09</v>
      </c>
      <c r="H1264" t="s">
        <v>1662</v>
      </c>
      <c r="J1264" s="18" t="s">
        <v>4327</v>
      </c>
    </row>
    <row r="1265" spans="3:10" x14ac:dyDescent="0.25">
      <c r="C1265" s="17" t="str">
        <f t="shared" si="20"/>
        <v>28.801011.-10530.6427..CLEAR SCHEDULE.</v>
      </c>
      <c r="E1265">
        <v>28</v>
      </c>
      <c r="F1265">
        <v>801011</v>
      </c>
      <c r="G1265" s="2">
        <v>-105.3</v>
      </c>
      <c r="H1265" t="s">
        <v>1663</v>
      </c>
      <c r="J1265" s="18" t="s">
        <v>4327</v>
      </c>
    </row>
    <row r="1266" spans="3:10" x14ac:dyDescent="0.25">
      <c r="C1266" s="17" t="str">
        <f t="shared" si="20"/>
        <v>28.801011.-41296.6428..CLEAR SCHEDULE.</v>
      </c>
      <c r="E1266">
        <v>28</v>
      </c>
      <c r="F1266">
        <v>801011</v>
      </c>
      <c r="G1266" s="1">
        <v>-412.96</v>
      </c>
      <c r="H1266" t="s">
        <v>1664</v>
      </c>
      <c r="J1266" s="18" t="s">
        <v>4327</v>
      </c>
    </row>
    <row r="1267" spans="3:10" x14ac:dyDescent="0.25">
      <c r="C1267" s="17" t="str">
        <f t="shared" si="20"/>
        <v>28.801011.-14387.6430..CLEAR SCHEDULE.</v>
      </c>
      <c r="E1267">
        <v>28</v>
      </c>
      <c r="F1267">
        <v>801011</v>
      </c>
      <c r="G1267" s="2">
        <v>-143.87</v>
      </c>
      <c r="H1267" t="s">
        <v>1665</v>
      </c>
      <c r="J1267" s="18" t="s">
        <v>4327</v>
      </c>
    </row>
    <row r="1268" spans="3:10" x14ac:dyDescent="0.25">
      <c r="C1268" s="17" t="str">
        <f t="shared" si="20"/>
        <v>28.801011.-14387.6433..CLEAR SCHEDULE.</v>
      </c>
      <c r="E1268">
        <v>28</v>
      </c>
      <c r="F1268">
        <v>801011</v>
      </c>
      <c r="G1268" s="1">
        <v>-143.87</v>
      </c>
      <c r="H1268" t="s">
        <v>1666</v>
      </c>
      <c r="J1268" s="18" t="s">
        <v>4327</v>
      </c>
    </row>
    <row r="1269" spans="3:10" x14ac:dyDescent="0.25">
      <c r="C1269" s="17" t="str">
        <f t="shared" si="20"/>
        <v>28.801011.-40326.6434..CLEAR SCHEDULE.</v>
      </c>
      <c r="E1269">
        <v>28</v>
      </c>
      <c r="F1269">
        <v>801011</v>
      </c>
      <c r="G1269" s="2">
        <v>-403.26</v>
      </c>
      <c r="H1269" t="s">
        <v>1667</v>
      </c>
      <c r="J1269" s="18" t="s">
        <v>4327</v>
      </c>
    </row>
    <row r="1270" spans="3:10" x14ac:dyDescent="0.25">
      <c r="C1270" s="17" t="str">
        <f t="shared" si="20"/>
        <v>28.801011.-16724.6435..CLEAR SCHEDULE.</v>
      </c>
      <c r="E1270">
        <v>28</v>
      </c>
      <c r="F1270">
        <v>801011</v>
      </c>
      <c r="G1270" s="1">
        <v>-167.24</v>
      </c>
      <c r="H1270" t="s">
        <v>1668</v>
      </c>
      <c r="J1270" s="18" t="s">
        <v>4327</v>
      </c>
    </row>
    <row r="1271" spans="3:10" x14ac:dyDescent="0.25">
      <c r="C1271" s="17" t="str">
        <f t="shared" si="20"/>
        <v>28.801011.-52694.6439..CLEAR SCHEDULE.</v>
      </c>
      <c r="E1271">
        <v>28</v>
      </c>
      <c r="F1271">
        <v>801011</v>
      </c>
      <c r="G1271" s="2">
        <v>-526.94000000000005</v>
      </c>
      <c r="H1271" t="s">
        <v>1669</v>
      </c>
      <c r="J1271" s="18" t="s">
        <v>4327</v>
      </c>
    </row>
    <row r="1272" spans="3:10" x14ac:dyDescent="0.25">
      <c r="C1272" s="17" t="str">
        <f t="shared" si="20"/>
        <v>28.801011.37400.6440..CLEAR SCHEDULE.</v>
      </c>
      <c r="E1272">
        <v>28</v>
      </c>
      <c r="F1272">
        <v>801011</v>
      </c>
      <c r="G1272" s="1">
        <v>374</v>
      </c>
      <c r="H1272" t="s">
        <v>1670</v>
      </c>
      <c r="J1272" s="18" t="s">
        <v>4327</v>
      </c>
    </row>
    <row r="1273" spans="3:10" x14ac:dyDescent="0.25">
      <c r="C1273" s="17" t="str">
        <f t="shared" si="20"/>
        <v>28.801011.-10530.6444..CLEAR SCHEDULE.</v>
      </c>
      <c r="E1273">
        <v>28</v>
      </c>
      <c r="F1273">
        <v>801011</v>
      </c>
      <c r="G1273" s="2">
        <v>-105.3</v>
      </c>
      <c r="H1273" t="s">
        <v>1671</v>
      </c>
      <c r="J1273" s="18" t="s">
        <v>4327</v>
      </c>
    </row>
    <row r="1274" spans="3:10" x14ac:dyDescent="0.25">
      <c r="C1274" s="17" t="str">
        <f t="shared" si="20"/>
        <v>28.801011.-18987.6445..CLEAR SCHEDULE.</v>
      </c>
      <c r="E1274">
        <v>28</v>
      </c>
      <c r="F1274">
        <v>801011</v>
      </c>
      <c r="G1274" s="1">
        <v>-189.87</v>
      </c>
      <c r="H1274" t="s">
        <v>1672</v>
      </c>
      <c r="J1274" s="18" t="s">
        <v>4327</v>
      </c>
    </row>
    <row r="1275" spans="3:10" x14ac:dyDescent="0.25">
      <c r="C1275" s="17" t="str">
        <f t="shared" si="20"/>
        <v>28.801011.-149113.6450..CLEAR SCHEDULE.</v>
      </c>
      <c r="E1275">
        <v>28</v>
      </c>
      <c r="F1275">
        <v>801011</v>
      </c>
      <c r="G1275" s="2">
        <v>-1491.13</v>
      </c>
      <c r="H1275" t="s">
        <v>1673</v>
      </c>
      <c r="J1275" s="18" t="s">
        <v>4327</v>
      </c>
    </row>
    <row r="1276" spans="3:10" x14ac:dyDescent="0.25">
      <c r="C1276" s="17" t="str">
        <f t="shared" si="20"/>
        <v>28.801011.-14387.6452..CLEAR SCHEDULE.</v>
      </c>
      <c r="E1276">
        <v>28</v>
      </c>
      <c r="F1276">
        <v>801011</v>
      </c>
      <c r="G1276" s="1">
        <v>-143.87</v>
      </c>
      <c r="H1276" t="s">
        <v>1674</v>
      </c>
      <c r="J1276" s="18" t="s">
        <v>4327</v>
      </c>
    </row>
    <row r="1277" spans="3:10" x14ac:dyDescent="0.25">
      <c r="C1277" s="17" t="str">
        <f t="shared" si="20"/>
        <v>28.801011.-87901.6453..CLEAR SCHEDULE.</v>
      </c>
      <c r="E1277">
        <v>28</v>
      </c>
      <c r="F1277">
        <v>801011</v>
      </c>
      <c r="G1277" s="2">
        <v>-879.01</v>
      </c>
      <c r="H1277" t="s">
        <v>1675</v>
      </c>
      <c r="J1277" s="18" t="s">
        <v>4327</v>
      </c>
    </row>
    <row r="1278" spans="3:10" x14ac:dyDescent="0.25">
      <c r="C1278" s="17" t="str">
        <f t="shared" si="20"/>
        <v>28.801011.-15166.6454..CLEAR SCHEDULE.</v>
      </c>
      <c r="E1278">
        <v>28</v>
      </c>
      <c r="F1278">
        <v>801011</v>
      </c>
      <c r="G1278" s="1">
        <v>-151.66</v>
      </c>
      <c r="H1278" t="s">
        <v>1676</v>
      </c>
      <c r="J1278" s="18" t="s">
        <v>4327</v>
      </c>
    </row>
    <row r="1279" spans="3:10" x14ac:dyDescent="0.25">
      <c r="C1279" s="17" t="str">
        <f t="shared" si="20"/>
        <v>28.801011.-16520.6455..CLEAR SCHEDULE.</v>
      </c>
      <c r="E1279">
        <v>28</v>
      </c>
      <c r="F1279">
        <v>801011</v>
      </c>
      <c r="G1279" s="2">
        <v>-165.2</v>
      </c>
      <c r="H1279" t="s">
        <v>1677</v>
      </c>
      <c r="J1279" s="18" t="s">
        <v>4327</v>
      </c>
    </row>
    <row r="1280" spans="3:10" x14ac:dyDescent="0.25">
      <c r="C1280" s="17" t="str">
        <f t="shared" si="20"/>
        <v>28.801011.-23000.6456..CLEAR SCHEDULE.</v>
      </c>
      <c r="E1280">
        <v>28</v>
      </c>
      <c r="F1280">
        <v>801011</v>
      </c>
      <c r="G1280" s="1">
        <v>-230</v>
      </c>
      <c r="H1280" t="s">
        <v>1678</v>
      </c>
      <c r="J1280" s="18" t="s">
        <v>4327</v>
      </c>
    </row>
    <row r="1281" spans="3:10" x14ac:dyDescent="0.25">
      <c r="C1281" s="17" t="str">
        <f t="shared" si="20"/>
        <v>28.801011.-28781.6458..CLEAR SCHEDULE.</v>
      </c>
      <c r="E1281">
        <v>28</v>
      </c>
      <c r="F1281">
        <v>801011</v>
      </c>
      <c r="G1281" s="2">
        <v>-287.81</v>
      </c>
      <c r="H1281" t="s">
        <v>1679</v>
      </c>
      <c r="J1281" s="18" t="s">
        <v>4327</v>
      </c>
    </row>
    <row r="1282" spans="3:10" x14ac:dyDescent="0.25">
      <c r="C1282" s="17" t="str">
        <f t="shared" si="20"/>
        <v>28.801011.-48114.6459..CLEAR SCHEDULE.</v>
      </c>
      <c r="E1282">
        <v>28</v>
      </c>
      <c r="F1282">
        <v>801011</v>
      </c>
      <c r="G1282" s="1">
        <v>-481.14</v>
      </c>
      <c r="H1282" t="s">
        <v>1680</v>
      </c>
      <c r="J1282" s="18" t="s">
        <v>4327</v>
      </c>
    </row>
    <row r="1283" spans="3:10" x14ac:dyDescent="0.25">
      <c r="C1283" s="17" t="str">
        <f t="shared" si="20"/>
        <v>28.801011.-173196.6460..CLEAR SCHEDULE.</v>
      </c>
      <c r="E1283">
        <v>28</v>
      </c>
      <c r="F1283">
        <v>801011</v>
      </c>
      <c r="G1283" s="2">
        <v>-1731.96</v>
      </c>
      <c r="H1283" t="s">
        <v>1681</v>
      </c>
      <c r="J1283" s="18" t="s">
        <v>4327</v>
      </c>
    </row>
    <row r="1284" spans="3:10" x14ac:dyDescent="0.25">
      <c r="C1284" s="17" t="str">
        <f t="shared" si="20"/>
        <v>28.801011.-90122.6461..CLEAR SCHEDULE.</v>
      </c>
      <c r="E1284">
        <v>28</v>
      </c>
      <c r="F1284">
        <v>801011</v>
      </c>
      <c r="G1284" s="1">
        <v>-901.22</v>
      </c>
      <c r="H1284" t="s">
        <v>1682</v>
      </c>
      <c r="J1284" s="18" t="s">
        <v>4327</v>
      </c>
    </row>
    <row r="1285" spans="3:10" x14ac:dyDescent="0.25">
      <c r="C1285" s="17" t="str">
        <f t="shared" si="20"/>
        <v>28.801011.-117749.6462..CLEAR SCHEDULE.</v>
      </c>
      <c r="E1285">
        <v>28</v>
      </c>
      <c r="F1285">
        <v>801011</v>
      </c>
      <c r="G1285" s="2">
        <v>-1177.49</v>
      </c>
      <c r="H1285" t="s">
        <v>1683</v>
      </c>
      <c r="J1285" s="18" t="s">
        <v>4327</v>
      </c>
    </row>
    <row r="1286" spans="3:10" x14ac:dyDescent="0.25">
      <c r="C1286" s="17" t="str">
        <f t="shared" si="20"/>
        <v>28.801011.-8972.6464..CLEAR SCHEDULE.</v>
      </c>
      <c r="E1286">
        <v>28</v>
      </c>
      <c r="F1286">
        <v>801011</v>
      </c>
      <c r="G1286" s="1">
        <v>-89.72</v>
      </c>
      <c r="H1286" t="s">
        <v>1684</v>
      </c>
      <c r="J1286" s="18" t="s">
        <v>4327</v>
      </c>
    </row>
    <row r="1287" spans="3:10" x14ac:dyDescent="0.25">
      <c r="C1287" s="17" t="str">
        <f t="shared" si="20"/>
        <v>28.801011.-15166.6466..CLEAR SCHEDULE.</v>
      </c>
      <c r="E1287">
        <v>28</v>
      </c>
      <c r="F1287">
        <v>801011</v>
      </c>
      <c r="G1287" s="2">
        <v>-151.66</v>
      </c>
      <c r="H1287" t="s">
        <v>1685</v>
      </c>
      <c r="J1287" s="18" t="s">
        <v>4327</v>
      </c>
    </row>
    <row r="1288" spans="3:10" x14ac:dyDescent="0.25">
      <c r="C1288" s="17" t="str">
        <f t="shared" si="20"/>
        <v>28.801011.-6769.6469..CLEAR SCHEDULE.</v>
      </c>
      <c r="E1288">
        <v>28</v>
      </c>
      <c r="F1288">
        <v>801011</v>
      </c>
      <c r="G1288" s="1">
        <v>-67.69</v>
      </c>
      <c r="H1288" t="s">
        <v>1686</v>
      </c>
      <c r="J1288" s="18" t="s">
        <v>4327</v>
      </c>
    </row>
    <row r="1289" spans="3:10" x14ac:dyDescent="0.25">
      <c r="C1289" s="17" t="str">
        <f t="shared" si="20"/>
        <v>28.801011.-16956.6471..CLEAR SCHEDULE.</v>
      </c>
      <c r="E1289">
        <v>28</v>
      </c>
      <c r="F1289">
        <v>801011</v>
      </c>
      <c r="G1289" s="2">
        <v>-169.56</v>
      </c>
      <c r="H1289" t="s">
        <v>1687</v>
      </c>
      <c r="J1289" s="18" t="s">
        <v>4327</v>
      </c>
    </row>
    <row r="1290" spans="3:10" x14ac:dyDescent="0.25">
      <c r="C1290" s="17" t="str">
        <f t="shared" si="20"/>
        <v>28.801011.-8972.6472..CLEAR SCHEDULE.</v>
      </c>
      <c r="E1290">
        <v>28</v>
      </c>
      <c r="F1290">
        <v>801011</v>
      </c>
      <c r="G1290" s="1">
        <v>-89.72</v>
      </c>
      <c r="H1290" t="s">
        <v>1688</v>
      </c>
      <c r="J1290" s="18" t="s">
        <v>4327</v>
      </c>
    </row>
    <row r="1291" spans="3:10" x14ac:dyDescent="0.25">
      <c r="C1291" s="17" t="str">
        <f t="shared" ref="C1291:C1354" si="21">IF(G1291=0,"",(E1291&amp;"."&amp;F1291&amp;"."&amp;G1291*100&amp;"."&amp;H1291&amp;"."&amp;I1291&amp;"."&amp;J1291&amp;"."&amp;K1291))</f>
        <v>28.801011.-14387.6473..CLEAR SCHEDULE.</v>
      </c>
      <c r="E1291">
        <v>28</v>
      </c>
      <c r="F1291">
        <v>801011</v>
      </c>
      <c r="G1291" s="2">
        <v>-143.87</v>
      </c>
      <c r="H1291" t="s">
        <v>1689</v>
      </c>
      <c r="J1291" s="18" t="s">
        <v>4327</v>
      </c>
    </row>
    <row r="1292" spans="3:10" x14ac:dyDescent="0.25">
      <c r="C1292" s="17" t="str">
        <f t="shared" si="21"/>
        <v>28.801011.-15945.6474..CLEAR SCHEDULE.</v>
      </c>
      <c r="E1292">
        <v>28</v>
      </c>
      <c r="F1292">
        <v>801011</v>
      </c>
      <c r="G1292" s="1">
        <v>-159.44999999999999</v>
      </c>
      <c r="H1292" t="s">
        <v>1690</v>
      </c>
      <c r="J1292" s="18" t="s">
        <v>4327</v>
      </c>
    </row>
    <row r="1293" spans="3:10" x14ac:dyDescent="0.25">
      <c r="C1293" s="17" t="str">
        <f t="shared" si="21"/>
        <v>28.801011.-17320.6477..CLEAR SCHEDULE.</v>
      </c>
      <c r="E1293">
        <v>28</v>
      </c>
      <c r="F1293">
        <v>801011</v>
      </c>
      <c r="G1293" s="2">
        <v>-173.2</v>
      </c>
      <c r="H1293" t="s">
        <v>1691</v>
      </c>
      <c r="J1293" s="18" t="s">
        <v>4327</v>
      </c>
    </row>
    <row r="1294" spans="3:10" x14ac:dyDescent="0.25">
      <c r="C1294" s="17" t="str">
        <f t="shared" si="21"/>
        <v>28.801011.-14387.6484..CLEAR SCHEDULE.</v>
      </c>
      <c r="E1294">
        <v>28</v>
      </c>
      <c r="F1294">
        <v>801011</v>
      </c>
      <c r="G1294" s="1">
        <v>-143.87</v>
      </c>
      <c r="H1294" t="s">
        <v>1692</v>
      </c>
      <c r="J1294" s="18" t="s">
        <v>4327</v>
      </c>
    </row>
    <row r="1295" spans="3:10" x14ac:dyDescent="0.25">
      <c r="C1295" s="17" t="str">
        <f t="shared" si="21"/>
        <v>28.801011.-15166.6486..CLEAR SCHEDULE.</v>
      </c>
      <c r="E1295">
        <v>28</v>
      </c>
      <c r="F1295">
        <v>801011</v>
      </c>
      <c r="G1295" s="2">
        <v>-151.66</v>
      </c>
      <c r="H1295" t="s">
        <v>1693</v>
      </c>
      <c r="J1295" s="18" t="s">
        <v>4327</v>
      </c>
    </row>
    <row r="1296" spans="3:10" x14ac:dyDescent="0.25">
      <c r="C1296" s="17" t="str">
        <f t="shared" si="21"/>
        <v>28.801011.-4804.6487..CLEAR SCHEDULE.</v>
      </c>
      <c r="E1296">
        <v>28</v>
      </c>
      <c r="F1296">
        <v>801011</v>
      </c>
      <c r="G1296" s="1">
        <v>-48.04</v>
      </c>
      <c r="H1296" t="s">
        <v>1694</v>
      </c>
      <c r="J1296" s="18" t="s">
        <v>4327</v>
      </c>
    </row>
    <row r="1297" spans="3:10" x14ac:dyDescent="0.25">
      <c r="C1297" s="17" t="str">
        <f t="shared" si="21"/>
        <v>28.801011.-51814.6490..CLEAR SCHEDULE.</v>
      </c>
      <c r="E1297">
        <v>28</v>
      </c>
      <c r="F1297">
        <v>801011</v>
      </c>
      <c r="G1297" s="2">
        <v>-518.14</v>
      </c>
      <c r="H1297" t="s">
        <v>1695</v>
      </c>
      <c r="J1297" s="18" t="s">
        <v>4327</v>
      </c>
    </row>
    <row r="1298" spans="3:10" x14ac:dyDescent="0.25">
      <c r="C1298" s="17" t="str">
        <f t="shared" si="21"/>
        <v>28.801011.-151390.6492..CLEAR SCHEDULE.</v>
      </c>
      <c r="E1298">
        <v>28</v>
      </c>
      <c r="F1298">
        <v>801011</v>
      </c>
      <c r="G1298" s="1">
        <v>-1513.9</v>
      </c>
      <c r="H1298" t="s">
        <v>1696</v>
      </c>
      <c r="J1298" s="18" t="s">
        <v>4327</v>
      </c>
    </row>
    <row r="1299" spans="3:10" x14ac:dyDescent="0.25">
      <c r="C1299" s="17" t="str">
        <f t="shared" si="21"/>
        <v>28.801011.-61063.6493..CLEAR SCHEDULE.</v>
      </c>
      <c r="E1299">
        <v>28</v>
      </c>
      <c r="F1299">
        <v>801011</v>
      </c>
      <c r="G1299" s="2">
        <v>-610.63</v>
      </c>
      <c r="H1299" t="s">
        <v>1697</v>
      </c>
      <c r="J1299" s="18" t="s">
        <v>4327</v>
      </c>
    </row>
    <row r="1300" spans="3:10" x14ac:dyDescent="0.25">
      <c r="C1300" s="17" t="str">
        <f t="shared" si="21"/>
        <v>28.801011.-19742.6494..CLEAR SCHEDULE.</v>
      </c>
      <c r="E1300">
        <v>28</v>
      </c>
      <c r="F1300">
        <v>801011</v>
      </c>
      <c r="G1300" s="1">
        <v>-197.42</v>
      </c>
      <c r="H1300" t="s">
        <v>1698</v>
      </c>
      <c r="J1300" s="18" t="s">
        <v>4327</v>
      </c>
    </row>
    <row r="1301" spans="3:10" x14ac:dyDescent="0.25">
      <c r="C1301" s="17" t="str">
        <f t="shared" si="21"/>
        <v>28.801011.-5415.6499..CLEAR SCHEDULE.</v>
      </c>
      <c r="E1301">
        <v>28</v>
      </c>
      <c r="F1301">
        <v>801011</v>
      </c>
      <c r="G1301" s="2">
        <v>-54.15</v>
      </c>
      <c r="H1301" t="s">
        <v>1699</v>
      </c>
      <c r="J1301" s="18" t="s">
        <v>4327</v>
      </c>
    </row>
    <row r="1302" spans="3:10" x14ac:dyDescent="0.25">
      <c r="C1302" s="17" t="str">
        <f t="shared" si="21"/>
        <v>28.801011.-2720.6501..CLEAR SCHEDULE.</v>
      </c>
      <c r="E1302">
        <v>28</v>
      </c>
      <c r="F1302">
        <v>801011</v>
      </c>
      <c r="G1302" s="1">
        <v>-27.2</v>
      </c>
      <c r="H1302" t="s">
        <v>1700</v>
      </c>
      <c r="J1302" s="18" t="s">
        <v>4327</v>
      </c>
    </row>
    <row r="1303" spans="3:10" x14ac:dyDescent="0.25">
      <c r="C1303" s="17" t="str">
        <f t="shared" si="21"/>
        <v>28.801011.-15166.6503..CLEAR SCHEDULE.</v>
      </c>
      <c r="E1303">
        <v>28</v>
      </c>
      <c r="F1303">
        <v>801011</v>
      </c>
      <c r="G1303" s="2">
        <v>-151.66</v>
      </c>
      <c r="H1303" t="s">
        <v>1701</v>
      </c>
      <c r="J1303" s="18" t="s">
        <v>4327</v>
      </c>
    </row>
    <row r="1304" spans="3:10" x14ac:dyDescent="0.25">
      <c r="C1304" s="17" t="str">
        <f t="shared" si="21"/>
        <v>28.801011.-679072.6504..CLEAR SCHEDULE.</v>
      </c>
      <c r="E1304">
        <v>28</v>
      </c>
      <c r="F1304">
        <v>801011</v>
      </c>
      <c r="G1304" s="1">
        <v>-6790.72</v>
      </c>
      <c r="H1304" t="s">
        <v>1702</v>
      </c>
      <c r="J1304" s="18" t="s">
        <v>4327</v>
      </c>
    </row>
    <row r="1305" spans="3:10" x14ac:dyDescent="0.25">
      <c r="C1305" s="17" t="str">
        <f t="shared" si="21"/>
        <v>28.801011.-8031.6505..CLEAR SCHEDULE.</v>
      </c>
      <c r="E1305">
        <v>28</v>
      </c>
      <c r="F1305">
        <v>801011</v>
      </c>
      <c r="G1305" s="2">
        <v>-80.31</v>
      </c>
      <c r="H1305" t="s">
        <v>1703</v>
      </c>
      <c r="J1305" s="18" t="s">
        <v>4327</v>
      </c>
    </row>
    <row r="1306" spans="3:10" x14ac:dyDescent="0.25">
      <c r="C1306" s="17" t="str">
        <f t="shared" si="21"/>
        <v>28.801011.-87853.6507..CLEAR SCHEDULE.</v>
      </c>
      <c r="E1306">
        <v>28</v>
      </c>
      <c r="F1306">
        <v>801011</v>
      </c>
      <c r="G1306" s="1">
        <v>-878.53</v>
      </c>
      <c r="H1306" t="s">
        <v>1704</v>
      </c>
      <c r="J1306" s="18" t="s">
        <v>4327</v>
      </c>
    </row>
    <row r="1307" spans="3:10" x14ac:dyDescent="0.25">
      <c r="C1307" s="17" t="str">
        <f t="shared" si="21"/>
        <v>28.801011.-15166.6509..CLEAR SCHEDULE.</v>
      </c>
      <c r="E1307">
        <v>28</v>
      </c>
      <c r="F1307">
        <v>801011</v>
      </c>
      <c r="G1307" s="2">
        <v>-151.66</v>
      </c>
      <c r="H1307" t="s">
        <v>1705</v>
      </c>
      <c r="J1307" s="18" t="s">
        <v>4327</v>
      </c>
    </row>
    <row r="1308" spans="3:10" x14ac:dyDescent="0.25">
      <c r="C1308" s="17" t="str">
        <f t="shared" si="21"/>
        <v>28.801011.-117377.6510..CLEAR SCHEDULE.</v>
      </c>
      <c r="E1308">
        <v>28</v>
      </c>
      <c r="F1308">
        <v>801011</v>
      </c>
      <c r="G1308" s="1">
        <v>-1173.77</v>
      </c>
      <c r="H1308" t="s">
        <v>1706</v>
      </c>
      <c r="J1308" s="18" t="s">
        <v>4327</v>
      </c>
    </row>
    <row r="1309" spans="3:10" x14ac:dyDescent="0.25">
      <c r="C1309" s="17" t="str">
        <f t="shared" si="21"/>
        <v>28.801011.-53018.6511..CLEAR SCHEDULE.</v>
      </c>
      <c r="E1309">
        <v>28</v>
      </c>
      <c r="F1309">
        <v>801011</v>
      </c>
      <c r="G1309" s="2">
        <v>-530.17999999999995</v>
      </c>
      <c r="H1309" t="s">
        <v>1707</v>
      </c>
      <c r="J1309" s="18" t="s">
        <v>4327</v>
      </c>
    </row>
    <row r="1310" spans="3:10" x14ac:dyDescent="0.25">
      <c r="C1310" s="17" t="str">
        <f t="shared" si="21"/>
        <v>28.801011.-44228.6513..CLEAR SCHEDULE.</v>
      </c>
      <c r="E1310">
        <v>28</v>
      </c>
      <c r="F1310">
        <v>801011</v>
      </c>
      <c r="G1310" s="1">
        <v>-442.28</v>
      </c>
      <c r="H1310" t="s">
        <v>1708</v>
      </c>
      <c r="J1310" s="18" t="s">
        <v>4327</v>
      </c>
    </row>
    <row r="1311" spans="3:10" x14ac:dyDescent="0.25">
      <c r="C1311" s="17" t="str">
        <f t="shared" si="21"/>
        <v>28.801011.-18825.6514..CLEAR SCHEDULE.</v>
      </c>
      <c r="E1311">
        <v>28</v>
      </c>
      <c r="F1311">
        <v>801011</v>
      </c>
      <c r="G1311" s="2">
        <v>-188.25</v>
      </c>
      <c r="H1311" t="s">
        <v>1709</v>
      </c>
      <c r="J1311" s="18" t="s">
        <v>4327</v>
      </c>
    </row>
    <row r="1312" spans="3:10" x14ac:dyDescent="0.25">
      <c r="C1312" s="17" t="str">
        <f t="shared" si="21"/>
        <v>28.801011.-113550.6517..CLEAR SCHEDULE.</v>
      </c>
      <c r="E1312">
        <v>28</v>
      </c>
      <c r="F1312">
        <v>801011</v>
      </c>
      <c r="G1312" s="1">
        <v>-1135.5</v>
      </c>
      <c r="H1312" t="s">
        <v>1710</v>
      </c>
      <c r="J1312" s="18" t="s">
        <v>4327</v>
      </c>
    </row>
    <row r="1313" spans="3:10" x14ac:dyDescent="0.25">
      <c r="C1313" s="17" t="str">
        <f t="shared" si="21"/>
        <v>28.801011.-5415.6519..CLEAR SCHEDULE.</v>
      </c>
      <c r="E1313">
        <v>28</v>
      </c>
      <c r="F1313">
        <v>801011</v>
      </c>
      <c r="G1313" s="2">
        <v>-54.15</v>
      </c>
      <c r="H1313" t="s">
        <v>1711</v>
      </c>
      <c r="J1313" s="18" t="s">
        <v>4327</v>
      </c>
    </row>
    <row r="1314" spans="3:10" x14ac:dyDescent="0.25">
      <c r="C1314" s="17" t="str">
        <f t="shared" si="21"/>
        <v>28.801011.-20252.6520..CLEAR SCHEDULE.</v>
      </c>
      <c r="E1314">
        <v>28</v>
      </c>
      <c r="F1314">
        <v>801011</v>
      </c>
      <c r="G1314" s="1">
        <v>-202.52</v>
      </c>
      <c r="H1314" t="s">
        <v>1712</v>
      </c>
      <c r="J1314" s="18" t="s">
        <v>4327</v>
      </c>
    </row>
    <row r="1315" spans="3:10" x14ac:dyDescent="0.25">
      <c r="C1315" s="17" t="str">
        <f t="shared" si="21"/>
        <v>28.801011.-10530.6523..CLEAR SCHEDULE.</v>
      </c>
      <c r="E1315">
        <v>28</v>
      </c>
      <c r="F1315">
        <v>801011</v>
      </c>
      <c r="G1315" s="2">
        <v>-105.3</v>
      </c>
      <c r="H1315" t="s">
        <v>1713</v>
      </c>
      <c r="J1315" s="18" t="s">
        <v>4327</v>
      </c>
    </row>
    <row r="1316" spans="3:10" x14ac:dyDescent="0.25">
      <c r="C1316" s="17" t="str">
        <f t="shared" si="21"/>
        <v>28.801011.-14387.6526..CLEAR SCHEDULE.</v>
      </c>
      <c r="E1316">
        <v>28</v>
      </c>
      <c r="F1316">
        <v>801011</v>
      </c>
      <c r="G1316" s="1">
        <v>-143.87</v>
      </c>
      <c r="H1316" t="s">
        <v>1714</v>
      </c>
      <c r="J1316" s="18" t="s">
        <v>4327</v>
      </c>
    </row>
    <row r="1317" spans="3:10" x14ac:dyDescent="0.25">
      <c r="C1317" s="17" t="str">
        <f t="shared" si="21"/>
        <v>28.801011.-160642.6527..CLEAR SCHEDULE.</v>
      </c>
      <c r="E1317">
        <v>28</v>
      </c>
      <c r="F1317">
        <v>801011</v>
      </c>
      <c r="G1317" s="2">
        <v>-1606.42</v>
      </c>
      <c r="H1317" t="s">
        <v>1715</v>
      </c>
      <c r="J1317" s="18" t="s">
        <v>4327</v>
      </c>
    </row>
    <row r="1318" spans="3:10" x14ac:dyDescent="0.25">
      <c r="C1318" s="17" t="str">
        <f t="shared" si="21"/>
        <v>28.801011.-10530.6529..CLEAR SCHEDULE.</v>
      </c>
      <c r="E1318">
        <v>28</v>
      </c>
      <c r="F1318">
        <v>801011</v>
      </c>
      <c r="G1318" s="1">
        <v>-105.3</v>
      </c>
      <c r="H1318" t="s">
        <v>1716</v>
      </c>
      <c r="J1318" s="18" t="s">
        <v>4327</v>
      </c>
    </row>
    <row r="1319" spans="3:10" x14ac:dyDescent="0.25">
      <c r="C1319" s="17" t="str">
        <f t="shared" si="21"/>
        <v>28.801011.-98252.6531..CLEAR SCHEDULE.</v>
      </c>
      <c r="E1319">
        <v>28</v>
      </c>
      <c r="F1319">
        <v>801011</v>
      </c>
      <c r="G1319" s="2">
        <v>-982.52</v>
      </c>
      <c r="H1319" t="s">
        <v>1717</v>
      </c>
      <c r="J1319" s="18" t="s">
        <v>4327</v>
      </c>
    </row>
    <row r="1320" spans="3:10" x14ac:dyDescent="0.25">
      <c r="C1320" s="17" t="str">
        <f t="shared" si="21"/>
        <v>28.801011.-22881.6533..CLEAR SCHEDULE.</v>
      </c>
      <c r="E1320">
        <v>28</v>
      </c>
      <c r="F1320">
        <v>801011</v>
      </c>
      <c r="G1320" s="1">
        <v>-228.81</v>
      </c>
      <c r="H1320" t="s">
        <v>1718</v>
      </c>
      <c r="J1320" s="18" t="s">
        <v>4327</v>
      </c>
    </row>
    <row r="1321" spans="3:10" x14ac:dyDescent="0.25">
      <c r="C1321" s="17" t="str">
        <f t="shared" si="21"/>
        <v>28.801011.-48544.6535..CLEAR SCHEDULE.</v>
      </c>
      <c r="E1321">
        <v>28</v>
      </c>
      <c r="F1321">
        <v>801011</v>
      </c>
      <c r="G1321" s="2">
        <v>-485.44</v>
      </c>
      <c r="H1321" t="s">
        <v>1719</v>
      </c>
      <c r="J1321" s="18" t="s">
        <v>4327</v>
      </c>
    </row>
    <row r="1322" spans="3:10" x14ac:dyDescent="0.25">
      <c r="C1322" s="17" t="str">
        <f t="shared" si="21"/>
        <v>28.801011.-56199.6536..CLEAR SCHEDULE.</v>
      </c>
      <c r="E1322">
        <v>28</v>
      </c>
      <c r="F1322">
        <v>801011</v>
      </c>
      <c r="G1322" s="1">
        <v>-561.99</v>
      </c>
      <c r="H1322" t="s">
        <v>1720</v>
      </c>
      <c r="J1322" s="18" t="s">
        <v>4327</v>
      </c>
    </row>
    <row r="1323" spans="3:10" x14ac:dyDescent="0.25">
      <c r="C1323" s="17" t="str">
        <f t="shared" si="21"/>
        <v>28.801011.-23648.6539..CLEAR SCHEDULE.</v>
      </c>
      <c r="E1323">
        <v>28</v>
      </c>
      <c r="F1323">
        <v>801011</v>
      </c>
      <c r="G1323" s="2">
        <v>-236.48</v>
      </c>
      <c r="H1323" t="s">
        <v>1721</v>
      </c>
      <c r="J1323" s="18" t="s">
        <v>4327</v>
      </c>
    </row>
    <row r="1324" spans="3:10" x14ac:dyDescent="0.25">
      <c r="C1324" s="17" t="str">
        <f t="shared" si="21"/>
        <v>28.801011.-25561.6542..CLEAR SCHEDULE.</v>
      </c>
      <c r="E1324">
        <v>28</v>
      </c>
      <c r="F1324">
        <v>801011</v>
      </c>
      <c r="G1324" s="1">
        <v>-255.61</v>
      </c>
      <c r="H1324" t="s">
        <v>1722</v>
      </c>
      <c r="J1324" s="18" t="s">
        <v>4327</v>
      </c>
    </row>
    <row r="1325" spans="3:10" x14ac:dyDescent="0.25">
      <c r="C1325" s="17" t="str">
        <f t="shared" si="21"/>
        <v>28.801011.-14387.6543..CLEAR SCHEDULE.</v>
      </c>
      <c r="E1325">
        <v>28</v>
      </c>
      <c r="F1325">
        <v>801011</v>
      </c>
      <c r="G1325" s="2">
        <v>-143.87</v>
      </c>
      <c r="H1325" t="s">
        <v>1723</v>
      </c>
      <c r="J1325" s="18" t="s">
        <v>4327</v>
      </c>
    </row>
    <row r="1326" spans="3:10" x14ac:dyDescent="0.25">
      <c r="C1326" s="17" t="str">
        <f t="shared" si="21"/>
        <v>28.801011.-25982.6547..CLEAR SCHEDULE.</v>
      </c>
      <c r="E1326">
        <v>28</v>
      </c>
      <c r="F1326">
        <v>801011</v>
      </c>
      <c r="G1326" s="1">
        <v>-259.82</v>
      </c>
      <c r="H1326" t="s">
        <v>1724</v>
      </c>
      <c r="J1326" s="18" t="s">
        <v>4327</v>
      </c>
    </row>
    <row r="1327" spans="3:10" x14ac:dyDescent="0.25">
      <c r="C1327" s="17" t="str">
        <f t="shared" si="21"/>
        <v>28.801011.-65532.6552..CLEAR SCHEDULE.</v>
      </c>
      <c r="E1327">
        <v>28</v>
      </c>
      <c r="F1327">
        <v>801011</v>
      </c>
      <c r="G1327" s="2">
        <v>-655.32000000000005</v>
      </c>
      <c r="H1327" t="s">
        <v>1725</v>
      </c>
      <c r="J1327" s="18" t="s">
        <v>4327</v>
      </c>
    </row>
    <row r="1328" spans="3:10" x14ac:dyDescent="0.25">
      <c r="C1328" s="17" t="str">
        <f t="shared" si="21"/>
        <v>28.801011.-46569.6555..CLEAR SCHEDULE.</v>
      </c>
      <c r="E1328">
        <v>28</v>
      </c>
      <c r="F1328">
        <v>801011</v>
      </c>
      <c r="G1328" s="1">
        <v>-465.69</v>
      </c>
      <c r="H1328" t="s">
        <v>1726</v>
      </c>
      <c r="J1328" s="18" t="s">
        <v>4327</v>
      </c>
    </row>
    <row r="1329" spans="3:10" x14ac:dyDescent="0.25">
      <c r="C1329" s="17" t="str">
        <f t="shared" si="21"/>
        <v>28.801011.-15005.6557..CLEAR SCHEDULE.</v>
      </c>
      <c r="E1329">
        <v>28</v>
      </c>
      <c r="F1329">
        <v>801011</v>
      </c>
      <c r="G1329" s="2">
        <v>-150.05000000000001</v>
      </c>
      <c r="H1329" t="s">
        <v>1727</v>
      </c>
      <c r="J1329" s="18" t="s">
        <v>4327</v>
      </c>
    </row>
    <row r="1330" spans="3:10" x14ac:dyDescent="0.25">
      <c r="C1330" s="17" t="str">
        <f t="shared" si="21"/>
        <v>28.801011.-5798.6558..CLEAR SCHEDULE.</v>
      </c>
      <c r="E1330">
        <v>28</v>
      </c>
      <c r="F1330">
        <v>801011</v>
      </c>
      <c r="G1330" s="1">
        <v>-57.98</v>
      </c>
      <c r="H1330" t="s">
        <v>1728</v>
      </c>
      <c r="J1330" s="18" t="s">
        <v>4327</v>
      </c>
    </row>
    <row r="1331" spans="3:10" x14ac:dyDescent="0.25">
      <c r="C1331" s="17" t="str">
        <f t="shared" si="21"/>
        <v>28.801011.-14387.6559..CLEAR SCHEDULE.</v>
      </c>
      <c r="E1331">
        <v>28</v>
      </c>
      <c r="F1331">
        <v>801011</v>
      </c>
      <c r="G1331" s="2">
        <v>-143.87</v>
      </c>
      <c r="H1331" t="s">
        <v>1729</v>
      </c>
      <c r="J1331" s="18" t="s">
        <v>4327</v>
      </c>
    </row>
    <row r="1332" spans="3:10" x14ac:dyDescent="0.25">
      <c r="C1332" s="17" t="str">
        <f t="shared" si="21"/>
        <v>28.801011.-53533.6560..CLEAR SCHEDULE.</v>
      </c>
      <c r="E1332">
        <v>28</v>
      </c>
      <c r="F1332">
        <v>801011</v>
      </c>
      <c r="G1332" s="1">
        <v>-535.33000000000004</v>
      </c>
      <c r="H1332" t="s">
        <v>1730</v>
      </c>
      <c r="J1332" s="18" t="s">
        <v>4327</v>
      </c>
    </row>
    <row r="1333" spans="3:10" x14ac:dyDescent="0.25">
      <c r="C1333" s="17" t="str">
        <f t="shared" si="21"/>
        <v>28.801011.-5613.6562..CLEAR SCHEDULE.</v>
      </c>
      <c r="E1333">
        <v>28</v>
      </c>
      <c r="F1333">
        <v>801011</v>
      </c>
      <c r="G1333" s="2">
        <v>-56.13</v>
      </c>
      <c r="H1333" t="s">
        <v>1731</v>
      </c>
      <c r="J1333" s="18" t="s">
        <v>4327</v>
      </c>
    </row>
    <row r="1334" spans="3:10" x14ac:dyDescent="0.25">
      <c r="C1334" s="17" t="str">
        <f t="shared" si="21"/>
        <v>28.801011.-5415.6565..CLEAR SCHEDULE.</v>
      </c>
      <c r="E1334">
        <v>28</v>
      </c>
      <c r="F1334">
        <v>801011</v>
      </c>
      <c r="G1334" s="1">
        <v>-54.15</v>
      </c>
      <c r="H1334" t="s">
        <v>1732</v>
      </c>
      <c r="J1334" s="18" t="s">
        <v>4327</v>
      </c>
    </row>
    <row r="1335" spans="3:10" x14ac:dyDescent="0.25">
      <c r="C1335" s="17" t="str">
        <f t="shared" si="21"/>
        <v>28.801011.-48456.6567..CLEAR SCHEDULE.</v>
      </c>
      <c r="E1335">
        <v>28</v>
      </c>
      <c r="F1335">
        <v>801011</v>
      </c>
      <c r="G1335" s="2">
        <v>-484.56</v>
      </c>
      <c r="H1335" t="s">
        <v>1733</v>
      </c>
      <c r="J1335" s="18" t="s">
        <v>4327</v>
      </c>
    </row>
    <row r="1336" spans="3:10" x14ac:dyDescent="0.25">
      <c r="C1336" s="17" t="str">
        <f t="shared" si="21"/>
        <v>28.801011.-131515.6568..CLEAR SCHEDULE.</v>
      </c>
      <c r="E1336">
        <v>28</v>
      </c>
      <c r="F1336">
        <v>801011</v>
      </c>
      <c r="G1336" s="1">
        <v>-1315.15</v>
      </c>
      <c r="H1336" t="s">
        <v>1734</v>
      </c>
      <c r="J1336" s="18" t="s">
        <v>4327</v>
      </c>
    </row>
    <row r="1337" spans="3:10" x14ac:dyDescent="0.25">
      <c r="C1337" s="17" t="str">
        <f t="shared" si="21"/>
        <v>28.801011.-30272.6569..CLEAR SCHEDULE.</v>
      </c>
      <c r="E1337">
        <v>28</v>
      </c>
      <c r="F1337">
        <v>801011</v>
      </c>
      <c r="G1337" s="2">
        <v>-302.72000000000003</v>
      </c>
      <c r="H1337" t="s">
        <v>1735</v>
      </c>
      <c r="J1337" s="18" t="s">
        <v>4327</v>
      </c>
    </row>
    <row r="1338" spans="3:10" x14ac:dyDescent="0.25">
      <c r="C1338" s="17" t="str">
        <f t="shared" si="21"/>
        <v>28.801011.-146564.6570..CLEAR SCHEDULE.</v>
      </c>
      <c r="E1338">
        <v>28</v>
      </c>
      <c r="F1338">
        <v>801011</v>
      </c>
      <c r="G1338" s="1">
        <v>-1465.64</v>
      </c>
      <c r="H1338" t="s">
        <v>1736</v>
      </c>
      <c r="J1338" s="18" t="s">
        <v>4327</v>
      </c>
    </row>
    <row r="1339" spans="3:10" x14ac:dyDescent="0.25">
      <c r="C1339" s="17" t="str">
        <f t="shared" si="21"/>
        <v>28.801011.-37783.6571..CLEAR SCHEDULE.</v>
      </c>
      <c r="E1339">
        <v>28</v>
      </c>
      <c r="F1339">
        <v>801011</v>
      </c>
      <c r="G1339" s="2">
        <v>-377.83</v>
      </c>
      <c r="H1339" t="s">
        <v>1737</v>
      </c>
      <c r="J1339" s="18" t="s">
        <v>4327</v>
      </c>
    </row>
    <row r="1340" spans="3:10" x14ac:dyDescent="0.25">
      <c r="C1340" s="17" t="str">
        <f t="shared" si="21"/>
        <v>28.801011.-17500.6574..CLEAR SCHEDULE.</v>
      </c>
      <c r="E1340">
        <v>28</v>
      </c>
      <c r="F1340">
        <v>801011</v>
      </c>
      <c r="G1340" s="1">
        <v>-175</v>
      </c>
      <c r="H1340" t="s">
        <v>1738</v>
      </c>
      <c r="J1340" s="18" t="s">
        <v>4327</v>
      </c>
    </row>
    <row r="1341" spans="3:10" x14ac:dyDescent="0.25">
      <c r="C1341" s="17" t="str">
        <f t="shared" si="21"/>
        <v>28.801011.-96568.6577..CLEAR SCHEDULE.</v>
      </c>
      <c r="E1341">
        <v>28</v>
      </c>
      <c r="F1341">
        <v>801011</v>
      </c>
      <c r="G1341" s="2">
        <v>-965.68</v>
      </c>
      <c r="H1341" t="s">
        <v>1739</v>
      </c>
      <c r="J1341" s="18" t="s">
        <v>4327</v>
      </c>
    </row>
    <row r="1342" spans="3:10" x14ac:dyDescent="0.25">
      <c r="C1342" s="17" t="str">
        <f t="shared" si="21"/>
        <v>28.801011.-113175.6578..CLEAR SCHEDULE.</v>
      </c>
      <c r="E1342">
        <v>28</v>
      </c>
      <c r="F1342">
        <v>801011</v>
      </c>
      <c r="G1342" s="1">
        <v>-1131.75</v>
      </c>
      <c r="H1342" t="s">
        <v>1740</v>
      </c>
      <c r="J1342" s="18" t="s">
        <v>4327</v>
      </c>
    </row>
    <row r="1343" spans="3:10" x14ac:dyDescent="0.25">
      <c r="C1343" s="17" t="str">
        <f t="shared" si="21"/>
        <v>28.801011.-53394.6579..CLEAR SCHEDULE.</v>
      </c>
      <c r="E1343">
        <v>28</v>
      </c>
      <c r="F1343">
        <v>801011</v>
      </c>
      <c r="G1343" s="2">
        <v>-533.94000000000005</v>
      </c>
      <c r="H1343" t="s">
        <v>1741</v>
      </c>
      <c r="J1343" s="18" t="s">
        <v>4327</v>
      </c>
    </row>
    <row r="1344" spans="3:10" x14ac:dyDescent="0.25">
      <c r="C1344" s="17" t="str">
        <f t="shared" si="21"/>
        <v>28.801011.-8972.6581..CLEAR SCHEDULE.</v>
      </c>
      <c r="E1344">
        <v>28</v>
      </c>
      <c r="F1344">
        <v>801011</v>
      </c>
      <c r="G1344" s="1">
        <v>-89.72</v>
      </c>
      <c r="H1344" t="s">
        <v>1742</v>
      </c>
      <c r="J1344" s="18" t="s">
        <v>4327</v>
      </c>
    </row>
    <row r="1345" spans="3:10" x14ac:dyDescent="0.25">
      <c r="C1345" s="17" t="str">
        <f t="shared" si="21"/>
        <v>28.801011.-16724.6584..CLEAR SCHEDULE.</v>
      </c>
      <c r="E1345">
        <v>28</v>
      </c>
      <c r="F1345">
        <v>801011</v>
      </c>
      <c r="G1345" s="2">
        <v>-167.24</v>
      </c>
      <c r="H1345" t="s">
        <v>1743</v>
      </c>
      <c r="J1345" s="18" t="s">
        <v>4327</v>
      </c>
    </row>
    <row r="1346" spans="3:10" x14ac:dyDescent="0.25">
      <c r="C1346" s="17" t="str">
        <f t="shared" si="21"/>
        <v>28.801011.-5654.6585..CLEAR SCHEDULE.</v>
      </c>
      <c r="E1346">
        <v>28</v>
      </c>
      <c r="F1346">
        <v>801011</v>
      </c>
      <c r="G1346" s="1">
        <v>-56.54</v>
      </c>
      <c r="H1346" t="s">
        <v>1744</v>
      </c>
      <c r="J1346" s="18" t="s">
        <v>4327</v>
      </c>
    </row>
    <row r="1347" spans="3:10" x14ac:dyDescent="0.25">
      <c r="C1347" s="17" t="str">
        <f t="shared" si="21"/>
        <v>28.801011.-9871.6587..CLEAR SCHEDULE.</v>
      </c>
      <c r="E1347">
        <v>28</v>
      </c>
      <c r="F1347">
        <v>801011</v>
      </c>
      <c r="G1347" s="2">
        <v>-98.71</v>
      </c>
      <c r="H1347" t="s">
        <v>1745</v>
      </c>
      <c r="J1347" s="18" t="s">
        <v>4327</v>
      </c>
    </row>
    <row r="1348" spans="3:10" x14ac:dyDescent="0.25">
      <c r="C1348" s="17" t="str">
        <f t="shared" si="21"/>
        <v>28.801011.-10530.6588..CLEAR SCHEDULE.</v>
      </c>
      <c r="E1348">
        <v>28</v>
      </c>
      <c r="F1348">
        <v>801011</v>
      </c>
      <c r="G1348" s="1">
        <v>-105.3</v>
      </c>
      <c r="H1348" t="s">
        <v>1746</v>
      </c>
      <c r="J1348" s="18" t="s">
        <v>4327</v>
      </c>
    </row>
    <row r="1349" spans="3:10" x14ac:dyDescent="0.25">
      <c r="C1349" s="17" t="str">
        <f t="shared" si="21"/>
        <v>28.801011.-14387.6589..CLEAR SCHEDULE.</v>
      </c>
      <c r="E1349">
        <v>28</v>
      </c>
      <c r="F1349">
        <v>801011</v>
      </c>
      <c r="G1349" s="2">
        <v>-143.87</v>
      </c>
      <c r="H1349" t="s">
        <v>1747</v>
      </c>
      <c r="J1349" s="18" t="s">
        <v>4327</v>
      </c>
    </row>
    <row r="1350" spans="3:10" x14ac:dyDescent="0.25">
      <c r="C1350" s="17" t="str">
        <f t="shared" si="21"/>
        <v>28.801011.-28030.6591..CLEAR SCHEDULE.</v>
      </c>
      <c r="E1350">
        <v>28</v>
      </c>
      <c r="F1350">
        <v>801011</v>
      </c>
      <c r="G1350" s="1">
        <v>-280.3</v>
      </c>
      <c r="H1350" t="s">
        <v>1748</v>
      </c>
      <c r="J1350" s="18" t="s">
        <v>4327</v>
      </c>
    </row>
    <row r="1351" spans="3:10" x14ac:dyDescent="0.25">
      <c r="C1351" s="17" t="str">
        <f t="shared" si="21"/>
        <v>28.801011.-15945.6592..CLEAR SCHEDULE.</v>
      </c>
      <c r="E1351">
        <v>28</v>
      </c>
      <c r="F1351">
        <v>801011</v>
      </c>
      <c r="G1351" s="2">
        <v>-159.44999999999999</v>
      </c>
      <c r="H1351" t="s">
        <v>1749</v>
      </c>
      <c r="J1351" s="18" t="s">
        <v>4327</v>
      </c>
    </row>
    <row r="1352" spans="3:10" x14ac:dyDescent="0.25">
      <c r="C1352" s="17" t="str">
        <f t="shared" si="21"/>
        <v>28.801011.-30715.6595..CLEAR SCHEDULE.</v>
      </c>
      <c r="E1352">
        <v>28</v>
      </c>
      <c r="F1352">
        <v>801011</v>
      </c>
      <c r="G1352" s="1">
        <v>-307.14999999999998</v>
      </c>
      <c r="H1352" t="s">
        <v>1750</v>
      </c>
      <c r="J1352" s="18" t="s">
        <v>4327</v>
      </c>
    </row>
    <row r="1353" spans="3:10" x14ac:dyDescent="0.25">
      <c r="C1353" s="17" t="str">
        <f t="shared" si="21"/>
        <v>28.801011.-9751.6596..CLEAR SCHEDULE.</v>
      </c>
      <c r="E1353">
        <v>28</v>
      </c>
      <c r="F1353">
        <v>801011</v>
      </c>
      <c r="G1353" s="2">
        <v>-97.51</v>
      </c>
      <c r="H1353" t="s">
        <v>1751</v>
      </c>
      <c r="J1353" s="18" t="s">
        <v>4327</v>
      </c>
    </row>
    <row r="1354" spans="3:10" x14ac:dyDescent="0.25">
      <c r="C1354" s="17" t="str">
        <f t="shared" si="21"/>
        <v>28.801011.-52523.6599..CLEAR SCHEDULE.</v>
      </c>
      <c r="E1354">
        <v>28</v>
      </c>
      <c r="F1354">
        <v>801011</v>
      </c>
      <c r="G1354" s="1">
        <v>-525.23</v>
      </c>
      <c r="H1354" t="s">
        <v>1752</v>
      </c>
      <c r="J1354" s="18" t="s">
        <v>4327</v>
      </c>
    </row>
    <row r="1355" spans="3:10" x14ac:dyDescent="0.25">
      <c r="C1355" s="17" t="str">
        <f t="shared" ref="C1355:C1418" si="22">IF(G1355=0,"",(E1355&amp;"."&amp;F1355&amp;"."&amp;G1355*100&amp;"."&amp;H1355&amp;"."&amp;I1355&amp;"."&amp;J1355&amp;"."&amp;K1355))</f>
        <v>28.801011.-26654.6600..CLEAR SCHEDULE.</v>
      </c>
      <c r="E1355">
        <v>28</v>
      </c>
      <c r="F1355">
        <v>801011</v>
      </c>
      <c r="G1355" s="2">
        <v>-266.54000000000002</v>
      </c>
      <c r="H1355" t="s">
        <v>1753</v>
      </c>
      <c r="J1355" s="18" t="s">
        <v>4327</v>
      </c>
    </row>
    <row r="1356" spans="3:10" x14ac:dyDescent="0.25">
      <c r="C1356" s="17" t="str">
        <f t="shared" si="22"/>
        <v>28.801011.-222702.6601..CLEAR SCHEDULE.</v>
      </c>
      <c r="E1356">
        <v>28</v>
      </c>
      <c r="F1356">
        <v>801011</v>
      </c>
      <c r="G1356" s="1">
        <v>-2227.02</v>
      </c>
      <c r="H1356" t="s">
        <v>1754</v>
      </c>
      <c r="J1356" s="18" t="s">
        <v>4327</v>
      </c>
    </row>
    <row r="1357" spans="3:10" x14ac:dyDescent="0.25">
      <c r="C1357" s="17" t="str">
        <f t="shared" si="22"/>
        <v>28.801011.-5415.6602..CLEAR SCHEDULE.</v>
      </c>
      <c r="E1357">
        <v>28</v>
      </c>
      <c r="F1357">
        <v>801011</v>
      </c>
      <c r="G1357" s="2">
        <v>-54.15</v>
      </c>
      <c r="H1357" t="s">
        <v>1755</v>
      </c>
      <c r="J1357" s="18" t="s">
        <v>4327</v>
      </c>
    </row>
    <row r="1358" spans="3:10" x14ac:dyDescent="0.25">
      <c r="C1358" s="17" t="str">
        <f t="shared" si="22"/>
        <v>28.801011.-9261.6605..CLEAR SCHEDULE.</v>
      </c>
      <c r="E1358">
        <v>28</v>
      </c>
      <c r="F1358">
        <v>801011</v>
      </c>
      <c r="G1358" s="1">
        <v>-92.61</v>
      </c>
      <c r="H1358" t="s">
        <v>1756</v>
      </c>
      <c r="J1358" s="18" t="s">
        <v>4327</v>
      </c>
    </row>
    <row r="1359" spans="3:10" x14ac:dyDescent="0.25">
      <c r="C1359" s="17" t="str">
        <f t="shared" si="22"/>
        <v>28.801011.-9263.6606..CLEAR SCHEDULE.</v>
      </c>
      <c r="E1359">
        <v>28</v>
      </c>
      <c r="F1359">
        <v>801011</v>
      </c>
      <c r="G1359" s="2">
        <v>-92.63</v>
      </c>
      <c r="H1359" t="s">
        <v>1757</v>
      </c>
      <c r="J1359" s="18" t="s">
        <v>4327</v>
      </c>
    </row>
    <row r="1360" spans="3:10" x14ac:dyDescent="0.25">
      <c r="C1360" s="17" t="str">
        <f t="shared" si="22"/>
        <v>28.801011.-19742.6607..CLEAR SCHEDULE.</v>
      </c>
      <c r="E1360">
        <v>28</v>
      </c>
      <c r="F1360">
        <v>801011</v>
      </c>
      <c r="G1360" s="1">
        <v>-197.42</v>
      </c>
      <c r="H1360" t="s">
        <v>1758</v>
      </c>
      <c r="J1360" s="18" t="s">
        <v>4327</v>
      </c>
    </row>
    <row r="1361" spans="3:10" x14ac:dyDescent="0.25">
      <c r="C1361" s="17" t="str">
        <f t="shared" si="22"/>
        <v>28.801011.-8972.6619..CLEAR SCHEDULE.</v>
      </c>
      <c r="E1361">
        <v>28</v>
      </c>
      <c r="F1361">
        <v>801011</v>
      </c>
      <c r="G1361" s="2">
        <v>-89.72</v>
      </c>
      <c r="H1361" t="s">
        <v>1759</v>
      </c>
      <c r="J1361" s="18" t="s">
        <v>4327</v>
      </c>
    </row>
    <row r="1362" spans="3:10" x14ac:dyDescent="0.25">
      <c r="C1362" s="17" t="str">
        <f t="shared" si="22"/>
        <v>28.801011.-82791.6621..CLEAR SCHEDULE.</v>
      </c>
      <c r="E1362">
        <v>28</v>
      </c>
      <c r="F1362">
        <v>801011</v>
      </c>
      <c r="G1362" s="1">
        <v>-827.91</v>
      </c>
      <c r="H1362" t="s">
        <v>1760</v>
      </c>
      <c r="J1362" s="18" t="s">
        <v>4327</v>
      </c>
    </row>
    <row r="1363" spans="3:10" x14ac:dyDescent="0.25">
      <c r="C1363" s="17" t="str">
        <f t="shared" si="22"/>
        <v>28.801011.-138592.6622..CLEAR SCHEDULE.</v>
      </c>
      <c r="E1363">
        <v>28</v>
      </c>
      <c r="F1363">
        <v>801011</v>
      </c>
      <c r="G1363" s="2">
        <v>-1385.92</v>
      </c>
      <c r="H1363" t="s">
        <v>1761</v>
      </c>
      <c r="J1363" s="18" t="s">
        <v>4327</v>
      </c>
    </row>
    <row r="1364" spans="3:10" x14ac:dyDescent="0.25">
      <c r="C1364" s="17" t="str">
        <f t="shared" si="22"/>
        <v>28.801011.-5415.6624..CLEAR SCHEDULE.</v>
      </c>
      <c r="E1364">
        <v>28</v>
      </c>
      <c r="F1364">
        <v>801011</v>
      </c>
      <c r="G1364" s="1">
        <v>-54.15</v>
      </c>
      <c r="H1364" t="s">
        <v>1762</v>
      </c>
      <c r="J1364" s="18" t="s">
        <v>4327</v>
      </c>
    </row>
    <row r="1365" spans="3:10" x14ac:dyDescent="0.25">
      <c r="C1365" s="17" t="str">
        <f t="shared" si="22"/>
        <v>28.801011.-16724.6625..CLEAR SCHEDULE.</v>
      </c>
      <c r="E1365">
        <v>28</v>
      </c>
      <c r="F1365">
        <v>801011</v>
      </c>
      <c r="G1365" s="2">
        <v>-167.24</v>
      </c>
      <c r="H1365" t="s">
        <v>1763</v>
      </c>
      <c r="J1365" s="18" t="s">
        <v>4327</v>
      </c>
    </row>
    <row r="1366" spans="3:10" x14ac:dyDescent="0.25">
      <c r="C1366" s="17" t="str">
        <f t="shared" si="22"/>
        <v>28.801011.-9482.6627..CLEAR SCHEDULE.</v>
      </c>
      <c r="E1366">
        <v>28</v>
      </c>
      <c r="F1366">
        <v>801011</v>
      </c>
      <c r="G1366" s="1">
        <v>-94.82</v>
      </c>
      <c r="H1366" t="s">
        <v>1764</v>
      </c>
      <c r="J1366" s="18" t="s">
        <v>4327</v>
      </c>
    </row>
    <row r="1367" spans="3:10" x14ac:dyDescent="0.25">
      <c r="C1367" s="17" t="str">
        <f t="shared" si="22"/>
        <v>28.801011.-14387.6628..CLEAR SCHEDULE.</v>
      </c>
      <c r="E1367">
        <v>28</v>
      </c>
      <c r="F1367">
        <v>801011</v>
      </c>
      <c r="G1367" s="2">
        <v>-143.87</v>
      </c>
      <c r="H1367" t="s">
        <v>1765</v>
      </c>
      <c r="J1367" s="18" t="s">
        <v>4327</v>
      </c>
    </row>
    <row r="1368" spans="3:10" x14ac:dyDescent="0.25">
      <c r="C1368" s="17" t="str">
        <f t="shared" si="22"/>
        <v>28.801011.-164202.6629..CLEAR SCHEDULE.</v>
      </c>
      <c r="E1368">
        <v>28</v>
      </c>
      <c r="F1368">
        <v>801011</v>
      </c>
      <c r="G1368" s="1">
        <v>-1642.02</v>
      </c>
      <c r="H1368" t="s">
        <v>1766</v>
      </c>
      <c r="J1368" s="18" t="s">
        <v>4327</v>
      </c>
    </row>
    <row r="1369" spans="3:10" x14ac:dyDescent="0.25">
      <c r="C1369" s="17" t="str">
        <f t="shared" si="22"/>
        <v>28.801011.-36357.6630..CLEAR SCHEDULE.</v>
      </c>
      <c r="E1369">
        <v>28</v>
      </c>
      <c r="F1369">
        <v>801011</v>
      </c>
      <c r="G1369" s="2">
        <v>-363.57</v>
      </c>
      <c r="H1369" t="s">
        <v>1767</v>
      </c>
      <c r="J1369" s="18" t="s">
        <v>4327</v>
      </c>
    </row>
    <row r="1370" spans="3:10" x14ac:dyDescent="0.25">
      <c r="C1370" s="17" t="str">
        <f t="shared" si="22"/>
        <v>28.801011.-96891.6631..CLEAR SCHEDULE.</v>
      </c>
      <c r="E1370">
        <v>28</v>
      </c>
      <c r="F1370">
        <v>801011</v>
      </c>
      <c r="G1370" s="1">
        <v>-968.91</v>
      </c>
      <c r="H1370" t="s">
        <v>1768</v>
      </c>
      <c r="J1370" s="18" t="s">
        <v>4327</v>
      </c>
    </row>
    <row r="1371" spans="3:10" x14ac:dyDescent="0.25">
      <c r="C1371" s="17" t="str">
        <f t="shared" si="22"/>
        <v>28.801011.-19742.6632..CLEAR SCHEDULE.</v>
      </c>
      <c r="E1371">
        <v>28</v>
      </c>
      <c r="F1371">
        <v>801011</v>
      </c>
      <c r="G1371" s="2">
        <v>-197.42</v>
      </c>
      <c r="H1371" t="s">
        <v>1769</v>
      </c>
      <c r="J1371" s="18" t="s">
        <v>4327</v>
      </c>
    </row>
    <row r="1372" spans="3:10" x14ac:dyDescent="0.25">
      <c r="C1372" s="17" t="str">
        <f t="shared" si="22"/>
        <v>28.801011.-127369.6633..CLEAR SCHEDULE.</v>
      </c>
      <c r="E1372">
        <v>28</v>
      </c>
      <c r="F1372">
        <v>801011</v>
      </c>
      <c r="G1372" s="1">
        <v>-1273.69</v>
      </c>
      <c r="H1372" t="s">
        <v>1770</v>
      </c>
      <c r="J1372" s="18" t="s">
        <v>4327</v>
      </c>
    </row>
    <row r="1373" spans="3:10" x14ac:dyDescent="0.25">
      <c r="C1373" s="17" t="str">
        <f t="shared" si="22"/>
        <v>28.801011.-15966.6634..CLEAR SCHEDULE.</v>
      </c>
      <c r="E1373">
        <v>28</v>
      </c>
      <c r="F1373">
        <v>801011</v>
      </c>
      <c r="G1373" s="2">
        <v>-159.66</v>
      </c>
      <c r="H1373" t="s">
        <v>1771</v>
      </c>
      <c r="J1373" s="18" t="s">
        <v>4327</v>
      </c>
    </row>
    <row r="1374" spans="3:10" x14ac:dyDescent="0.25">
      <c r="C1374" s="17" t="str">
        <f t="shared" si="22"/>
        <v>28.801011.-10530.6635..CLEAR SCHEDULE.</v>
      </c>
      <c r="E1374">
        <v>28</v>
      </c>
      <c r="F1374">
        <v>801011</v>
      </c>
      <c r="G1374" s="1">
        <v>-105.3</v>
      </c>
      <c r="H1374" t="s">
        <v>1772</v>
      </c>
      <c r="J1374" s="18" t="s">
        <v>4327</v>
      </c>
    </row>
    <row r="1375" spans="3:10" x14ac:dyDescent="0.25">
      <c r="C1375" s="17" t="str">
        <f t="shared" si="22"/>
        <v>28.801011.-5951.6636..CLEAR SCHEDULE.</v>
      </c>
      <c r="E1375">
        <v>28</v>
      </c>
      <c r="F1375">
        <v>801011</v>
      </c>
      <c r="G1375" s="2">
        <v>-59.51</v>
      </c>
      <c r="H1375" t="s">
        <v>1773</v>
      </c>
      <c r="J1375" s="18" t="s">
        <v>4327</v>
      </c>
    </row>
    <row r="1376" spans="3:10" x14ac:dyDescent="0.25">
      <c r="C1376" s="17" t="str">
        <f t="shared" si="22"/>
        <v>28.801011.-15166.6637..CLEAR SCHEDULE.</v>
      </c>
      <c r="E1376">
        <v>28</v>
      </c>
      <c r="F1376">
        <v>801011</v>
      </c>
      <c r="G1376" s="1">
        <v>-151.66</v>
      </c>
      <c r="H1376" t="s">
        <v>1774</v>
      </c>
      <c r="J1376" s="18" t="s">
        <v>4327</v>
      </c>
    </row>
    <row r="1377" spans="3:10" x14ac:dyDescent="0.25">
      <c r="C1377" s="17" t="str">
        <f t="shared" si="22"/>
        <v>28.801011.-127028.6638..CLEAR SCHEDULE.</v>
      </c>
      <c r="E1377">
        <v>28</v>
      </c>
      <c r="F1377">
        <v>801011</v>
      </c>
      <c r="G1377" s="2">
        <v>-1270.28</v>
      </c>
      <c r="H1377" t="s">
        <v>1775</v>
      </c>
      <c r="J1377" s="18" t="s">
        <v>4327</v>
      </c>
    </row>
    <row r="1378" spans="3:10" x14ac:dyDescent="0.25">
      <c r="C1378" s="17" t="str">
        <f t="shared" si="22"/>
        <v>28.801011.-12195.6640..CLEAR SCHEDULE.</v>
      </c>
      <c r="E1378">
        <v>28</v>
      </c>
      <c r="F1378">
        <v>801011</v>
      </c>
      <c r="G1378" s="1">
        <v>-121.95</v>
      </c>
      <c r="H1378" t="s">
        <v>1776</v>
      </c>
      <c r="J1378" s="18" t="s">
        <v>4327</v>
      </c>
    </row>
    <row r="1379" spans="3:10" x14ac:dyDescent="0.25">
      <c r="C1379" s="17" t="str">
        <f t="shared" si="22"/>
        <v>28.801011.-19186.6641..CLEAR SCHEDULE.</v>
      </c>
      <c r="E1379">
        <v>28</v>
      </c>
      <c r="F1379">
        <v>801011</v>
      </c>
      <c r="G1379" s="2">
        <v>-191.86</v>
      </c>
      <c r="H1379" t="s">
        <v>1777</v>
      </c>
      <c r="J1379" s="18" t="s">
        <v>4327</v>
      </c>
    </row>
    <row r="1380" spans="3:10" x14ac:dyDescent="0.25">
      <c r="C1380" s="17" t="str">
        <f t="shared" si="22"/>
        <v>28.801011.-24903.6642..CLEAR SCHEDULE.</v>
      </c>
      <c r="E1380">
        <v>28</v>
      </c>
      <c r="F1380">
        <v>801011</v>
      </c>
      <c r="G1380" s="1">
        <v>-249.03</v>
      </c>
      <c r="H1380" t="s">
        <v>1778</v>
      </c>
      <c r="J1380" s="18" t="s">
        <v>4327</v>
      </c>
    </row>
    <row r="1381" spans="3:10" x14ac:dyDescent="0.25">
      <c r="C1381" s="17" t="str">
        <f t="shared" si="22"/>
        <v>28.801011.-15166.6644..CLEAR SCHEDULE.</v>
      </c>
      <c r="E1381">
        <v>28</v>
      </c>
      <c r="F1381">
        <v>801011</v>
      </c>
      <c r="G1381" s="2">
        <v>-151.66</v>
      </c>
      <c r="H1381" t="s">
        <v>1779</v>
      </c>
      <c r="J1381" s="18" t="s">
        <v>4327</v>
      </c>
    </row>
    <row r="1382" spans="3:10" x14ac:dyDescent="0.25">
      <c r="C1382" s="17" t="str">
        <f t="shared" si="22"/>
        <v>28.801011.-53435.6645..CLEAR SCHEDULE.</v>
      </c>
      <c r="E1382">
        <v>28</v>
      </c>
      <c r="F1382">
        <v>801011</v>
      </c>
      <c r="G1382" s="1">
        <v>-534.35</v>
      </c>
      <c r="H1382" t="s">
        <v>1780</v>
      </c>
      <c r="J1382" s="18" t="s">
        <v>4327</v>
      </c>
    </row>
    <row r="1383" spans="3:10" x14ac:dyDescent="0.25">
      <c r="C1383" s="17" t="str">
        <f t="shared" si="22"/>
        <v>28.801011.-11309.6646..CLEAR SCHEDULE.</v>
      </c>
      <c r="E1383">
        <v>28</v>
      </c>
      <c r="F1383">
        <v>801011</v>
      </c>
      <c r="G1383" s="2">
        <v>-113.09</v>
      </c>
      <c r="H1383" t="s">
        <v>1781</v>
      </c>
      <c r="J1383" s="18" t="s">
        <v>4327</v>
      </c>
    </row>
    <row r="1384" spans="3:10" x14ac:dyDescent="0.25">
      <c r="C1384" s="17" t="str">
        <f t="shared" si="22"/>
        <v>28.801011.-15166.6647..CLEAR SCHEDULE.</v>
      </c>
      <c r="E1384">
        <v>28</v>
      </c>
      <c r="F1384">
        <v>801011</v>
      </c>
      <c r="G1384" s="1">
        <v>-151.66</v>
      </c>
      <c r="H1384" t="s">
        <v>1782</v>
      </c>
      <c r="J1384" s="18" t="s">
        <v>4327</v>
      </c>
    </row>
    <row r="1385" spans="3:10" x14ac:dyDescent="0.25">
      <c r="C1385" s="17" t="str">
        <f t="shared" si="22"/>
        <v>28.801011.-5415.6648..CLEAR SCHEDULE.</v>
      </c>
      <c r="E1385">
        <v>28</v>
      </c>
      <c r="F1385">
        <v>801011</v>
      </c>
      <c r="G1385" s="2">
        <v>-54.15</v>
      </c>
      <c r="H1385" t="s">
        <v>1783</v>
      </c>
      <c r="J1385" s="18" t="s">
        <v>4327</v>
      </c>
    </row>
    <row r="1386" spans="3:10" x14ac:dyDescent="0.25">
      <c r="C1386" s="17" t="str">
        <f t="shared" si="22"/>
        <v>28.801011.-14408.6649..CLEAR SCHEDULE.</v>
      </c>
      <c r="E1386">
        <v>28</v>
      </c>
      <c r="F1386">
        <v>801011</v>
      </c>
      <c r="G1386" s="1">
        <v>-144.08000000000001</v>
      </c>
      <c r="H1386" t="s">
        <v>1784</v>
      </c>
      <c r="J1386" s="18" t="s">
        <v>4327</v>
      </c>
    </row>
    <row r="1387" spans="3:10" x14ac:dyDescent="0.25">
      <c r="C1387" s="17" t="str">
        <f t="shared" si="22"/>
        <v>28.801011.-100606.6650..CLEAR SCHEDULE.</v>
      </c>
      <c r="E1387">
        <v>28</v>
      </c>
      <c r="F1387">
        <v>801011</v>
      </c>
      <c r="G1387" s="2">
        <v>-1006.06</v>
      </c>
      <c r="H1387" t="s">
        <v>1785</v>
      </c>
      <c r="J1387" s="18" t="s">
        <v>4327</v>
      </c>
    </row>
    <row r="1388" spans="3:10" x14ac:dyDescent="0.25">
      <c r="C1388" s="17" t="str">
        <f t="shared" si="22"/>
        <v>28.801011.-18275.6651..CLEAR SCHEDULE.</v>
      </c>
      <c r="E1388">
        <v>28</v>
      </c>
      <c r="F1388">
        <v>801011</v>
      </c>
      <c r="G1388" s="1">
        <v>-182.75</v>
      </c>
      <c r="H1388" t="s">
        <v>1786</v>
      </c>
      <c r="J1388" s="18" t="s">
        <v>4327</v>
      </c>
    </row>
    <row r="1389" spans="3:10" x14ac:dyDescent="0.25">
      <c r="C1389" s="17" t="str">
        <f t="shared" si="22"/>
        <v>28.801011.-8972.6653..CLEAR SCHEDULE.</v>
      </c>
      <c r="E1389">
        <v>28</v>
      </c>
      <c r="F1389">
        <v>801011</v>
      </c>
      <c r="G1389" s="2">
        <v>-89.72</v>
      </c>
      <c r="H1389" t="s">
        <v>1787</v>
      </c>
      <c r="J1389" s="18" t="s">
        <v>4327</v>
      </c>
    </row>
    <row r="1390" spans="3:10" x14ac:dyDescent="0.25">
      <c r="C1390" s="17" t="str">
        <f t="shared" si="22"/>
        <v>28.801011.-15945.6656..CLEAR SCHEDULE.</v>
      </c>
      <c r="E1390">
        <v>28</v>
      </c>
      <c r="F1390">
        <v>801011</v>
      </c>
      <c r="G1390" s="1">
        <v>-159.44999999999999</v>
      </c>
      <c r="H1390" t="s">
        <v>1788</v>
      </c>
      <c r="J1390" s="18" t="s">
        <v>4327</v>
      </c>
    </row>
    <row r="1391" spans="3:10" x14ac:dyDescent="0.25">
      <c r="C1391" s="17" t="str">
        <f t="shared" si="22"/>
        <v>28.801011.-14387.6657..CLEAR SCHEDULE.</v>
      </c>
      <c r="E1391">
        <v>28</v>
      </c>
      <c r="F1391">
        <v>801011</v>
      </c>
      <c r="G1391" s="2">
        <v>-143.87</v>
      </c>
      <c r="H1391" t="s">
        <v>1789</v>
      </c>
      <c r="J1391" s="18" t="s">
        <v>4327</v>
      </c>
    </row>
    <row r="1392" spans="3:10" x14ac:dyDescent="0.25">
      <c r="C1392" s="17" t="str">
        <f t="shared" si="22"/>
        <v>28.801011.-5415.6658..CLEAR SCHEDULE.</v>
      </c>
      <c r="E1392">
        <v>28</v>
      </c>
      <c r="F1392">
        <v>801011</v>
      </c>
      <c r="G1392" s="1">
        <v>-54.15</v>
      </c>
      <c r="H1392" t="s">
        <v>1790</v>
      </c>
      <c r="J1392" s="18" t="s">
        <v>4327</v>
      </c>
    </row>
    <row r="1393" spans="3:10" x14ac:dyDescent="0.25">
      <c r="C1393" s="17" t="str">
        <f t="shared" si="22"/>
        <v>28.801011.-14387.6659..CLEAR SCHEDULE.</v>
      </c>
      <c r="E1393">
        <v>28</v>
      </c>
      <c r="F1393">
        <v>801011</v>
      </c>
      <c r="G1393" s="2">
        <v>-143.87</v>
      </c>
      <c r="H1393" t="s">
        <v>1791</v>
      </c>
      <c r="J1393" s="18" t="s">
        <v>4327</v>
      </c>
    </row>
    <row r="1394" spans="3:10" x14ac:dyDescent="0.25">
      <c r="C1394" s="17" t="str">
        <f t="shared" si="22"/>
        <v>28.801011.-15166.6661..CLEAR SCHEDULE.</v>
      </c>
      <c r="E1394">
        <v>28</v>
      </c>
      <c r="F1394">
        <v>801011</v>
      </c>
      <c r="G1394" s="1">
        <v>-151.66</v>
      </c>
      <c r="H1394" t="s">
        <v>1792</v>
      </c>
      <c r="J1394" s="18" t="s">
        <v>4327</v>
      </c>
    </row>
    <row r="1395" spans="3:10" x14ac:dyDescent="0.25">
      <c r="C1395" s="17" t="str">
        <f t="shared" si="22"/>
        <v>28.801011.-15187.6663..CLEAR SCHEDULE.</v>
      </c>
      <c r="E1395">
        <v>28</v>
      </c>
      <c r="F1395">
        <v>801011</v>
      </c>
      <c r="G1395" s="2">
        <v>-151.87</v>
      </c>
      <c r="H1395" t="s">
        <v>1793</v>
      </c>
      <c r="J1395" s="18" t="s">
        <v>4327</v>
      </c>
    </row>
    <row r="1396" spans="3:10" x14ac:dyDescent="0.25">
      <c r="C1396" s="17" t="str">
        <f t="shared" si="22"/>
        <v>28.801011.-31520.6667..CLEAR SCHEDULE.</v>
      </c>
      <c r="E1396">
        <v>28</v>
      </c>
      <c r="F1396">
        <v>801011</v>
      </c>
      <c r="G1396" s="1">
        <v>-315.2</v>
      </c>
      <c r="H1396" t="s">
        <v>1794</v>
      </c>
      <c r="J1396" s="18" t="s">
        <v>4327</v>
      </c>
    </row>
    <row r="1397" spans="3:10" x14ac:dyDescent="0.25">
      <c r="C1397" s="17" t="str">
        <f t="shared" si="22"/>
        <v>28.801011.-53871.6668..CLEAR SCHEDULE.</v>
      </c>
      <c r="E1397">
        <v>28</v>
      </c>
      <c r="F1397">
        <v>801011</v>
      </c>
      <c r="G1397" s="2">
        <v>-538.71</v>
      </c>
      <c r="H1397" t="s">
        <v>1795</v>
      </c>
      <c r="J1397" s="18" t="s">
        <v>4327</v>
      </c>
    </row>
    <row r="1398" spans="3:10" x14ac:dyDescent="0.25">
      <c r="C1398" s="17" t="str">
        <f t="shared" si="22"/>
        <v>28.801011.-14387.6669..CLEAR SCHEDULE.</v>
      </c>
      <c r="E1398">
        <v>28</v>
      </c>
      <c r="F1398">
        <v>801011</v>
      </c>
      <c r="G1398" s="1">
        <v>-143.87</v>
      </c>
      <c r="H1398" t="s">
        <v>1796</v>
      </c>
      <c r="J1398" s="18" t="s">
        <v>4327</v>
      </c>
    </row>
    <row r="1399" spans="3:10" x14ac:dyDescent="0.25">
      <c r="C1399" s="17" t="str">
        <f t="shared" si="22"/>
        <v>28.801011.-256456.6674..CLEAR SCHEDULE.</v>
      </c>
      <c r="E1399">
        <v>28</v>
      </c>
      <c r="F1399">
        <v>801011</v>
      </c>
      <c r="G1399" s="2">
        <v>-2564.56</v>
      </c>
      <c r="H1399" t="s">
        <v>1797</v>
      </c>
      <c r="J1399" s="18" t="s">
        <v>4327</v>
      </c>
    </row>
    <row r="1400" spans="3:10" x14ac:dyDescent="0.25">
      <c r="C1400" s="17" t="str">
        <f t="shared" si="22"/>
        <v>28.801011.-271932.6675..CLEAR SCHEDULE.</v>
      </c>
      <c r="E1400">
        <v>28</v>
      </c>
      <c r="F1400">
        <v>801011</v>
      </c>
      <c r="G1400" s="1">
        <v>-2719.32</v>
      </c>
      <c r="H1400" t="s">
        <v>1798</v>
      </c>
      <c r="J1400" s="18" t="s">
        <v>4327</v>
      </c>
    </row>
    <row r="1401" spans="3:10" x14ac:dyDescent="0.25">
      <c r="C1401" s="17" t="str">
        <f t="shared" si="22"/>
        <v>28.801011.-127792.6678..CLEAR SCHEDULE.</v>
      </c>
      <c r="E1401">
        <v>28</v>
      </c>
      <c r="F1401">
        <v>801011</v>
      </c>
      <c r="G1401" s="2">
        <v>-1277.92</v>
      </c>
      <c r="H1401" t="s">
        <v>1799</v>
      </c>
      <c r="J1401" s="18" t="s">
        <v>4327</v>
      </c>
    </row>
    <row r="1402" spans="3:10" x14ac:dyDescent="0.25">
      <c r="C1402" s="17" t="str">
        <f t="shared" si="22"/>
        <v>28.801011.-23091.6679..CLEAR SCHEDULE.</v>
      </c>
      <c r="E1402">
        <v>28</v>
      </c>
      <c r="F1402">
        <v>801011</v>
      </c>
      <c r="G1402" s="1">
        <v>-230.91</v>
      </c>
      <c r="H1402" t="s">
        <v>1800</v>
      </c>
      <c r="J1402" s="18" t="s">
        <v>4327</v>
      </c>
    </row>
    <row r="1403" spans="3:10" x14ac:dyDescent="0.25">
      <c r="C1403" s="17" t="str">
        <f t="shared" si="22"/>
        <v>28.801011.-39311.6681..CLEAR SCHEDULE.</v>
      </c>
      <c r="E1403">
        <v>28</v>
      </c>
      <c r="F1403">
        <v>801011</v>
      </c>
      <c r="G1403" s="2">
        <v>-393.11</v>
      </c>
      <c r="H1403" t="s">
        <v>1801</v>
      </c>
      <c r="J1403" s="18" t="s">
        <v>4327</v>
      </c>
    </row>
    <row r="1404" spans="3:10" x14ac:dyDescent="0.25">
      <c r="C1404" s="17" t="str">
        <f t="shared" si="22"/>
        <v>28.801011.-15166.6682..CLEAR SCHEDULE.</v>
      </c>
      <c r="E1404">
        <v>28</v>
      </c>
      <c r="F1404">
        <v>801011</v>
      </c>
      <c r="G1404" s="1">
        <v>-151.66</v>
      </c>
      <c r="H1404" t="s">
        <v>1802</v>
      </c>
      <c r="J1404" s="18" t="s">
        <v>4327</v>
      </c>
    </row>
    <row r="1405" spans="3:10" x14ac:dyDescent="0.25">
      <c r="C1405" s="17" t="str">
        <f t="shared" si="22"/>
        <v>28.801011.-80291.6683..CLEAR SCHEDULE.</v>
      </c>
      <c r="E1405">
        <v>28</v>
      </c>
      <c r="F1405">
        <v>801011</v>
      </c>
      <c r="G1405" s="2">
        <v>-802.91</v>
      </c>
      <c r="H1405" t="s">
        <v>1803</v>
      </c>
      <c r="J1405" s="18" t="s">
        <v>4327</v>
      </c>
    </row>
    <row r="1406" spans="3:10" x14ac:dyDescent="0.25">
      <c r="C1406" s="17" t="str">
        <f t="shared" si="22"/>
        <v>28.801011.-15166.6684..CLEAR SCHEDULE.</v>
      </c>
      <c r="E1406">
        <v>28</v>
      </c>
      <c r="F1406">
        <v>801011</v>
      </c>
      <c r="G1406" s="1">
        <v>-151.66</v>
      </c>
      <c r="H1406" t="s">
        <v>1804</v>
      </c>
      <c r="J1406" s="18" t="s">
        <v>4327</v>
      </c>
    </row>
    <row r="1407" spans="3:10" x14ac:dyDescent="0.25">
      <c r="C1407" s="17" t="str">
        <f t="shared" si="22"/>
        <v>28.801011.-14387.6685..CLEAR SCHEDULE.</v>
      </c>
      <c r="E1407">
        <v>28</v>
      </c>
      <c r="F1407">
        <v>801011</v>
      </c>
      <c r="G1407" s="2">
        <v>-143.87</v>
      </c>
      <c r="H1407" t="s">
        <v>1805</v>
      </c>
      <c r="J1407" s="18" t="s">
        <v>4327</v>
      </c>
    </row>
    <row r="1408" spans="3:10" x14ac:dyDescent="0.25">
      <c r="C1408" s="17" t="str">
        <f t="shared" si="22"/>
        <v>28.801011.-14387.6689..CLEAR SCHEDULE.</v>
      </c>
      <c r="E1408">
        <v>28</v>
      </c>
      <c r="F1408">
        <v>801011</v>
      </c>
      <c r="G1408" s="1">
        <v>-143.87</v>
      </c>
      <c r="H1408" t="s">
        <v>1806</v>
      </c>
      <c r="J1408" s="18" t="s">
        <v>4327</v>
      </c>
    </row>
    <row r="1409" spans="3:10" x14ac:dyDescent="0.25">
      <c r="C1409" s="17" t="str">
        <f t="shared" si="22"/>
        <v>28.801011.-77373.6691..CLEAR SCHEDULE.</v>
      </c>
      <c r="E1409">
        <v>28</v>
      </c>
      <c r="F1409">
        <v>801011</v>
      </c>
      <c r="G1409" s="2">
        <v>-773.73</v>
      </c>
      <c r="H1409" t="s">
        <v>1807</v>
      </c>
      <c r="J1409" s="18" t="s">
        <v>4327</v>
      </c>
    </row>
    <row r="1410" spans="3:10" x14ac:dyDescent="0.25">
      <c r="C1410" s="17" t="str">
        <f t="shared" si="22"/>
        <v>28.801011.-49876.6695..CLEAR SCHEDULE.</v>
      </c>
      <c r="E1410">
        <v>28</v>
      </c>
      <c r="F1410">
        <v>801011</v>
      </c>
      <c r="G1410" s="1">
        <v>-498.76</v>
      </c>
      <c r="H1410" t="s">
        <v>1808</v>
      </c>
      <c r="J1410" s="18" t="s">
        <v>4327</v>
      </c>
    </row>
    <row r="1411" spans="3:10" x14ac:dyDescent="0.25">
      <c r="C1411" s="17" t="str">
        <f t="shared" si="22"/>
        <v>28.801011.-8972.6696..CLEAR SCHEDULE.</v>
      </c>
      <c r="E1411">
        <v>28</v>
      </c>
      <c r="F1411">
        <v>801011</v>
      </c>
      <c r="G1411" s="2">
        <v>-89.72</v>
      </c>
      <c r="H1411" t="s">
        <v>1809</v>
      </c>
      <c r="J1411" s="18" t="s">
        <v>4327</v>
      </c>
    </row>
    <row r="1412" spans="3:10" x14ac:dyDescent="0.25">
      <c r="C1412" s="17" t="str">
        <f t="shared" si="22"/>
        <v>28.801011.-7991.6697..CLEAR SCHEDULE.</v>
      </c>
      <c r="E1412">
        <v>28</v>
      </c>
      <c r="F1412">
        <v>801011</v>
      </c>
      <c r="G1412" s="1">
        <v>-79.91</v>
      </c>
      <c r="H1412" t="s">
        <v>1810</v>
      </c>
      <c r="J1412" s="18" t="s">
        <v>4327</v>
      </c>
    </row>
    <row r="1413" spans="3:10" x14ac:dyDescent="0.25">
      <c r="C1413" s="17" t="str">
        <f t="shared" si="22"/>
        <v>28.801011.-14387.6698..CLEAR SCHEDULE.</v>
      </c>
      <c r="E1413">
        <v>28</v>
      </c>
      <c r="F1413">
        <v>801011</v>
      </c>
      <c r="G1413" s="2">
        <v>-143.87</v>
      </c>
      <c r="H1413" t="s">
        <v>1811</v>
      </c>
      <c r="J1413" s="18" t="s">
        <v>4327</v>
      </c>
    </row>
    <row r="1414" spans="3:10" x14ac:dyDescent="0.25">
      <c r="C1414" s="17" t="str">
        <f t="shared" si="22"/>
        <v>28.801011.-52475.6699..CLEAR SCHEDULE.</v>
      </c>
      <c r="E1414">
        <v>28</v>
      </c>
      <c r="F1414">
        <v>801011</v>
      </c>
      <c r="G1414" s="1">
        <v>-524.75</v>
      </c>
      <c r="H1414" t="s">
        <v>1812</v>
      </c>
      <c r="J1414" s="18" t="s">
        <v>4327</v>
      </c>
    </row>
    <row r="1415" spans="3:10" x14ac:dyDescent="0.25">
      <c r="C1415" s="17" t="str">
        <f t="shared" si="22"/>
        <v>28.801011.-50552.6700..CLEAR SCHEDULE.</v>
      </c>
      <c r="E1415">
        <v>28</v>
      </c>
      <c r="F1415">
        <v>801011</v>
      </c>
      <c r="G1415" s="2">
        <v>-505.52</v>
      </c>
      <c r="H1415" t="s">
        <v>1813</v>
      </c>
      <c r="J1415" s="18" t="s">
        <v>4327</v>
      </c>
    </row>
    <row r="1416" spans="3:10" x14ac:dyDescent="0.25">
      <c r="C1416" s="17" t="str">
        <f t="shared" si="22"/>
        <v>28.801011.-8972.6706..CLEAR SCHEDULE.</v>
      </c>
      <c r="E1416">
        <v>28</v>
      </c>
      <c r="F1416">
        <v>801011</v>
      </c>
      <c r="G1416" s="1">
        <v>-89.72</v>
      </c>
      <c r="H1416" t="s">
        <v>1814</v>
      </c>
      <c r="J1416" s="18" t="s">
        <v>4327</v>
      </c>
    </row>
    <row r="1417" spans="3:10" x14ac:dyDescent="0.25">
      <c r="C1417" s="17" t="str">
        <f t="shared" si="22"/>
        <v>28.801011.-39535.6707..CLEAR SCHEDULE.</v>
      </c>
      <c r="E1417">
        <v>28</v>
      </c>
      <c r="F1417">
        <v>801011</v>
      </c>
      <c r="G1417" s="2">
        <v>-395.35</v>
      </c>
      <c r="H1417" t="s">
        <v>1815</v>
      </c>
      <c r="J1417" s="18" t="s">
        <v>4327</v>
      </c>
    </row>
    <row r="1418" spans="3:10" x14ac:dyDescent="0.25">
      <c r="C1418" s="17" t="str">
        <f t="shared" si="22"/>
        <v>28.801011.-238893.6708..CLEAR SCHEDULE.</v>
      </c>
      <c r="E1418">
        <v>28</v>
      </c>
      <c r="F1418">
        <v>801011</v>
      </c>
      <c r="G1418" s="1">
        <v>-2388.9299999999998</v>
      </c>
      <c r="H1418" t="s">
        <v>1816</v>
      </c>
      <c r="J1418" s="18" t="s">
        <v>4327</v>
      </c>
    </row>
    <row r="1419" spans="3:10" x14ac:dyDescent="0.25">
      <c r="C1419" s="17" t="str">
        <f t="shared" ref="C1419:C1482" si="23">IF(G1419=0,"",(E1419&amp;"."&amp;F1419&amp;"."&amp;G1419*100&amp;"."&amp;H1419&amp;"."&amp;I1419&amp;"."&amp;J1419&amp;"."&amp;K1419))</f>
        <v>28.801011.-7083.6709..CLEAR SCHEDULE.</v>
      </c>
      <c r="E1419">
        <v>28</v>
      </c>
      <c r="F1419">
        <v>801011</v>
      </c>
      <c r="G1419" s="2">
        <v>-70.83</v>
      </c>
      <c r="H1419" t="s">
        <v>1817</v>
      </c>
      <c r="J1419" s="18" t="s">
        <v>4327</v>
      </c>
    </row>
    <row r="1420" spans="3:10" x14ac:dyDescent="0.25">
      <c r="C1420" s="17" t="str">
        <f t="shared" si="23"/>
        <v>28.801011.-38080.6710..CLEAR SCHEDULE.</v>
      </c>
      <c r="E1420">
        <v>28</v>
      </c>
      <c r="F1420">
        <v>801011</v>
      </c>
      <c r="G1420" s="1">
        <v>-380.8</v>
      </c>
      <c r="H1420" t="s">
        <v>1818</v>
      </c>
      <c r="J1420" s="18" t="s">
        <v>4327</v>
      </c>
    </row>
    <row r="1421" spans="3:10" x14ac:dyDescent="0.25">
      <c r="C1421" s="17" t="str">
        <f t="shared" si="23"/>
        <v>28.801011.-16748.6712..CLEAR SCHEDULE.</v>
      </c>
      <c r="E1421">
        <v>28</v>
      </c>
      <c r="F1421">
        <v>801011</v>
      </c>
      <c r="G1421" s="2">
        <v>-167.48</v>
      </c>
      <c r="H1421" t="s">
        <v>1819</v>
      </c>
      <c r="J1421" s="18" t="s">
        <v>4327</v>
      </c>
    </row>
    <row r="1422" spans="3:10" x14ac:dyDescent="0.25">
      <c r="C1422" s="17" t="str">
        <f t="shared" si="23"/>
        <v>28.801011.-19742.6713..CLEAR SCHEDULE.</v>
      </c>
      <c r="E1422">
        <v>28</v>
      </c>
      <c r="F1422">
        <v>801011</v>
      </c>
      <c r="G1422" s="1">
        <v>-197.42</v>
      </c>
      <c r="H1422" t="s">
        <v>1820</v>
      </c>
      <c r="J1422" s="18" t="s">
        <v>4327</v>
      </c>
    </row>
    <row r="1423" spans="3:10" x14ac:dyDescent="0.25">
      <c r="C1423" s="17" t="str">
        <f t="shared" si="23"/>
        <v>28.801011.-11309.6714..CLEAR SCHEDULE.</v>
      </c>
      <c r="E1423">
        <v>28</v>
      </c>
      <c r="F1423">
        <v>801011</v>
      </c>
      <c r="G1423" s="2">
        <v>-113.09</v>
      </c>
      <c r="H1423" t="s">
        <v>1821</v>
      </c>
      <c r="J1423" s="18" t="s">
        <v>4327</v>
      </c>
    </row>
    <row r="1424" spans="3:10" x14ac:dyDescent="0.25">
      <c r="C1424" s="17" t="str">
        <f t="shared" si="23"/>
        <v>28.801011.-15945.6715..CLEAR SCHEDULE.</v>
      </c>
      <c r="E1424">
        <v>28</v>
      </c>
      <c r="F1424">
        <v>801011</v>
      </c>
      <c r="G1424" s="1">
        <v>-159.44999999999999</v>
      </c>
      <c r="H1424" t="s">
        <v>1822</v>
      </c>
      <c r="J1424" s="18" t="s">
        <v>4327</v>
      </c>
    </row>
    <row r="1425" spans="3:10" x14ac:dyDescent="0.25">
      <c r="C1425" s="17" t="str">
        <f t="shared" si="23"/>
        <v>28.801011.-34386.6716..CLEAR SCHEDULE.</v>
      </c>
      <c r="E1425">
        <v>28</v>
      </c>
      <c r="F1425">
        <v>801011</v>
      </c>
      <c r="G1425" s="2">
        <v>-343.86</v>
      </c>
      <c r="H1425" t="s">
        <v>1823</v>
      </c>
      <c r="J1425" s="18" t="s">
        <v>4327</v>
      </c>
    </row>
    <row r="1426" spans="3:10" x14ac:dyDescent="0.25">
      <c r="C1426" s="17" t="str">
        <f t="shared" si="23"/>
        <v>28.801011.-10530.6717..CLEAR SCHEDULE.</v>
      </c>
      <c r="E1426">
        <v>28</v>
      </c>
      <c r="F1426">
        <v>801011</v>
      </c>
      <c r="G1426" s="1">
        <v>-105.3</v>
      </c>
      <c r="H1426" t="s">
        <v>1824</v>
      </c>
      <c r="J1426" s="18" t="s">
        <v>4327</v>
      </c>
    </row>
    <row r="1427" spans="3:10" x14ac:dyDescent="0.25">
      <c r="C1427" s="17" t="str">
        <f t="shared" si="23"/>
        <v>28.801011.-14387.6718..CLEAR SCHEDULE.</v>
      </c>
      <c r="E1427">
        <v>28</v>
      </c>
      <c r="F1427">
        <v>801011</v>
      </c>
      <c r="G1427" s="2">
        <v>-143.87</v>
      </c>
      <c r="H1427" t="s">
        <v>1825</v>
      </c>
      <c r="J1427" s="18" t="s">
        <v>4327</v>
      </c>
    </row>
    <row r="1428" spans="3:10" x14ac:dyDescent="0.25">
      <c r="C1428" s="17" t="str">
        <f t="shared" si="23"/>
        <v>28.801011.-11530.6720..CLEAR SCHEDULE.</v>
      </c>
      <c r="E1428">
        <v>28</v>
      </c>
      <c r="F1428">
        <v>801011</v>
      </c>
      <c r="G1428" s="1">
        <v>-115.3</v>
      </c>
      <c r="H1428" t="s">
        <v>1826</v>
      </c>
      <c r="J1428" s="18" t="s">
        <v>4327</v>
      </c>
    </row>
    <row r="1429" spans="3:10" x14ac:dyDescent="0.25">
      <c r="C1429" s="17" t="str">
        <f t="shared" si="23"/>
        <v>28.801011.-5415.6723..CLEAR SCHEDULE.</v>
      </c>
      <c r="E1429">
        <v>28</v>
      </c>
      <c r="F1429">
        <v>801011</v>
      </c>
      <c r="G1429" s="2">
        <v>-54.15</v>
      </c>
      <c r="H1429" t="s">
        <v>1827</v>
      </c>
      <c r="J1429" s="18" t="s">
        <v>4327</v>
      </c>
    </row>
    <row r="1430" spans="3:10" x14ac:dyDescent="0.25">
      <c r="C1430" s="17" t="str">
        <f t="shared" si="23"/>
        <v>28.801011.-52867.6724..CLEAR SCHEDULE.</v>
      </c>
      <c r="E1430">
        <v>28</v>
      </c>
      <c r="F1430">
        <v>801011</v>
      </c>
      <c r="G1430" s="1">
        <v>-528.66999999999996</v>
      </c>
      <c r="H1430" t="s">
        <v>1828</v>
      </c>
      <c r="J1430" s="18" t="s">
        <v>4327</v>
      </c>
    </row>
    <row r="1431" spans="3:10" x14ac:dyDescent="0.25">
      <c r="C1431" s="17" t="str">
        <f t="shared" si="23"/>
        <v>28.801011.-90149.6725..CLEAR SCHEDULE.</v>
      </c>
      <c r="E1431">
        <v>28</v>
      </c>
      <c r="F1431">
        <v>801011</v>
      </c>
      <c r="G1431" s="2">
        <v>-901.49</v>
      </c>
      <c r="H1431" t="s">
        <v>1829</v>
      </c>
      <c r="J1431" s="18" t="s">
        <v>4327</v>
      </c>
    </row>
    <row r="1432" spans="3:10" x14ac:dyDescent="0.25">
      <c r="C1432" s="17" t="str">
        <f t="shared" si="23"/>
        <v>28.801011.-45829.6727..CLEAR SCHEDULE.</v>
      </c>
      <c r="E1432">
        <v>28</v>
      </c>
      <c r="F1432">
        <v>801011</v>
      </c>
      <c r="G1432" s="1">
        <v>-458.29</v>
      </c>
      <c r="H1432" t="s">
        <v>1830</v>
      </c>
      <c r="J1432" s="18" t="s">
        <v>4327</v>
      </c>
    </row>
    <row r="1433" spans="3:10" x14ac:dyDescent="0.25">
      <c r="C1433" s="17" t="str">
        <f t="shared" si="23"/>
        <v>28.801011.-25000.6728..CLEAR SCHEDULE.</v>
      </c>
      <c r="E1433">
        <v>28</v>
      </c>
      <c r="F1433">
        <v>801011</v>
      </c>
      <c r="G1433" s="2">
        <v>-250</v>
      </c>
      <c r="H1433" t="s">
        <v>1831</v>
      </c>
      <c r="J1433" s="18" t="s">
        <v>4327</v>
      </c>
    </row>
    <row r="1434" spans="3:10" x14ac:dyDescent="0.25">
      <c r="C1434" s="17" t="str">
        <f t="shared" si="23"/>
        <v>28.801011.-13000.6729..CLEAR SCHEDULE.</v>
      </c>
      <c r="E1434">
        <v>28</v>
      </c>
      <c r="F1434">
        <v>801011</v>
      </c>
      <c r="G1434" s="1">
        <v>-130</v>
      </c>
      <c r="H1434" t="s">
        <v>1832</v>
      </c>
      <c r="J1434" s="18" t="s">
        <v>4327</v>
      </c>
    </row>
    <row r="1435" spans="3:10" x14ac:dyDescent="0.25">
      <c r="C1435" s="17" t="str">
        <f t="shared" si="23"/>
        <v>28.801011.-368498.6732..CLEAR SCHEDULE.</v>
      </c>
      <c r="E1435">
        <v>28</v>
      </c>
      <c r="F1435">
        <v>801011</v>
      </c>
      <c r="G1435" s="2">
        <v>-3684.98</v>
      </c>
      <c r="H1435" t="s">
        <v>1833</v>
      </c>
      <c r="J1435" s="18" t="s">
        <v>4327</v>
      </c>
    </row>
    <row r="1436" spans="3:10" x14ac:dyDescent="0.25">
      <c r="C1436" s="17" t="str">
        <f t="shared" si="23"/>
        <v>28.801011.-18629.6734..CLEAR SCHEDULE.</v>
      </c>
      <c r="E1436">
        <v>28</v>
      </c>
      <c r="F1436">
        <v>801011</v>
      </c>
      <c r="G1436" s="1">
        <v>-186.29</v>
      </c>
      <c r="H1436" t="s">
        <v>1834</v>
      </c>
      <c r="J1436" s="18" t="s">
        <v>4327</v>
      </c>
    </row>
    <row r="1437" spans="3:10" x14ac:dyDescent="0.25">
      <c r="C1437" s="17" t="str">
        <f t="shared" si="23"/>
        <v>28.801011.-39535.6735..CLEAR SCHEDULE.</v>
      </c>
      <c r="E1437">
        <v>28</v>
      </c>
      <c r="F1437">
        <v>801011</v>
      </c>
      <c r="G1437" s="2">
        <v>-395.35</v>
      </c>
      <c r="H1437" t="s">
        <v>1835</v>
      </c>
      <c r="J1437" s="18" t="s">
        <v>4327</v>
      </c>
    </row>
    <row r="1438" spans="3:10" x14ac:dyDescent="0.25">
      <c r="C1438" s="17" t="str">
        <f t="shared" si="23"/>
        <v>28.801011.-57494.6740..CLEAR SCHEDULE.</v>
      </c>
      <c r="E1438">
        <v>28</v>
      </c>
      <c r="F1438">
        <v>801011</v>
      </c>
      <c r="G1438" s="1">
        <v>-574.94000000000005</v>
      </c>
      <c r="H1438" t="s">
        <v>1836</v>
      </c>
      <c r="J1438" s="18" t="s">
        <v>4327</v>
      </c>
    </row>
    <row r="1439" spans="3:10" x14ac:dyDescent="0.25">
      <c r="C1439" s="17" t="str">
        <f t="shared" si="23"/>
        <v>28.801011.-34129.6741..CLEAR SCHEDULE.</v>
      </c>
      <c r="E1439">
        <v>28</v>
      </c>
      <c r="F1439">
        <v>801011</v>
      </c>
      <c r="G1439" s="2">
        <v>-341.29</v>
      </c>
      <c r="H1439" t="s">
        <v>1837</v>
      </c>
      <c r="J1439" s="18" t="s">
        <v>4327</v>
      </c>
    </row>
    <row r="1440" spans="3:10" x14ac:dyDescent="0.25">
      <c r="C1440" s="17" t="str">
        <f t="shared" si="23"/>
        <v>28.801011.-67867.6745..CLEAR SCHEDULE.</v>
      </c>
      <c r="E1440">
        <v>28</v>
      </c>
      <c r="F1440">
        <v>801011</v>
      </c>
      <c r="G1440" s="1">
        <v>-678.67</v>
      </c>
      <c r="H1440" t="s">
        <v>1838</v>
      </c>
      <c r="J1440" s="18" t="s">
        <v>4327</v>
      </c>
    </row>
    <row r="1441" spans="3:10" x14ac:dyDescent="0.25">
      <c r="C1441" s="17" t="str">
        <f t="shared" si="23"/>
        <v>28.801011.-15945.6747..CLEAR SCHEDULE.</v>
      </c>
      <c r="E1441">
        <v>28</v>
      </c>
      <c r="F1441">
        <v>801011</v>
      </c>
      <c r="G1441" s="2">
        <v>-159.44999999999999</v>
      </c>
      <c r="H1441" t="s">
        <v>1839</v>
      </c>
      <c r="J1441" s="18" t="s">
        <v>4327</v>
      </c>
    </row>
    <row r="1442" spans="3:10" x14ac:dyDescent="0.25">
      <c r="C1442" s="17" t="str">
        <f t="shared" si="23"/>
        <v>28.801011.-77323.6749..CLEAR SCHEDULE.</v>
      </c>
      <c r="E1442">
        <v>28</v>
      </c>
      <c r="F1442">
        <v>801011</v>
      </c>
      <c r="G1442" s="1">
        <v>-773.23</v>
      </c>
      <c r="H1442" t="s">
        <v>1840</v>
      </c>
      <c r="J1442" s="18" t="s">
        <v>4327</v>
      </c>
    </row>
    <row r="1443" spans="3:10" x14ac:dyDescent="0.25">
      <c r="C1443" s="17" t="str">
        <f t="shared" si="23"/>
        <v>28.801011.-14897.6750..CLEAR SCHEDULE.</v>
      </c>
      <c r="E1443">
        <v>28</v>
      </c>
      <c r="F1443">
        <v>801011</v>
      </c>
      <c r="G1443" s="2">
        <v>-148.97</v>
      </c>
      <c r="H1443" t="s">
        <v>1841</v>
      </c>
      <c r="J1443" s="18" t="s">
        <v>4327</v>
      </c>
    </row>
    <row r="1444" spans="3:10" x14ac:dyDescent="0.25">
      <c r="C1444" s="17" t="str">
        <f t="shared" si="23"/>
        <v>28.801011.-14387.6752..CLEAR SCHEDULE.</v>
      </c>
      <c r="E1444">
        <v>28</v>
      </c>
      <c r="F1444">
        <v>801011</v>
      </c>
      <c r="G1444" s="1">
        <v>-143.87</v>
      </c>
      <c r="H1444" t="s">
        <v>1842</v>
      </c>
      <c r="J1444" s="18" t="s">
        <v>4327</v>
      </c>
    </row>
    <row r="1445" spans="3:10" x14ac:dyDescent="0.25">
      <c r="C1445" s="17" t="str">
        <f t="shared" si="23"/>
        <v>28.801011.-137146.6754..CLEAR SCHEDULE.</v>
      </c>
      <c r="E1445">
        <v>28</v>
      </c>
      <c r="F1445">
        <v>801011</v>
      </c>
      <c r="G1445" s="2">
        <v>-1371.46</v>
      </c>
      <c r="H1445" t="s">
        <v>1843</v>
      </c>
      <c r="J1445" s="18" t="s">
        <v>4327</v>
      </c>
    </row>
    <row r="1446" spans="3:10" x14ac:dyDescent="0.25">
      <c r="C1446" s="17" t="str">
        <f t="shared" si="23"/>
        <v>28.801011.-14566.6755..CLEAR SCHEDULE.</v>
      </c>
      <c r="E1446">
        <v>28</v>
      </c>
      <c r="F1446">
        <v>801011</v>
      </c>
      <c r="G1446" s="1">
        <v>-145.66</v>
      </c>
      <c r="H1446" t="s">
        <v>1844</v>
      </c>
      <c r="J1446" s="18" t="s">
        <v>4327</v>
      </c>
    </row>
    <row r="1447" spans="3:10" x14ac:dyDescent="0.25">
      <c r="C1447" s="17" t="str">
        <f t="shared" si="23"/>
        <v>28.801011.-10530.6756..CLEAR SCHEDULE.</v>
      </c>
      <c r="E1447">
        <v>28</v>
      </c>
      <c r="F1447">
        <v>801011</v>
      </c>
      <c r="G1447" s="2">
        <v>-105.3</v>
      </c>
      <c r="H1447" t="s">
        <v>1845</v>
      </c>
      <c r="J1447" s="18" t="s">
        <v>4327</v>
      </c>
    </row>
    <row r="1448" spans="3:10" x14ac:dyDescent="0.25">
      <c r="C1448" s="17" t="str">
        <f t="shared" si="23"/>
        <v>28.801011.-11309.6757..CLEAR SCHEDULE.</v>
      </c>
      <c r="E1448">
        <v>28</v>
      </c>
      <c r="F1448">
        <v>801011</v>
      </c>
      <c r="G1448" s="1">
        <v>-113.09</v>
      </c>
      <c r="H1448" t="s">
        <v>1846</v>
      </c>
      <c r="J1448" s="18" t="s">
        <v>4327</v>
      </c>
    </row>
    <row r="1449" spans="3:10" x14ac:dyDescent="0.25">
      <c r="C1449" s="17" t="str">
        <f t="shared" si="23"/>
        <v>28.801011.-44029.6759..CLEAR SCHEDULE.</v>
      </c>
      <c r="E1449">
        <v>28</v>
      </c>
      <c r="F1449">
        <v>801011</v>
      </c>
      <c r="G1449" s="2">
        <v>-440.29</v>
      </c>
      <c r="H1449" t="s">
        <v>1847</v>
      </c>
      <c r="J1449" s="18" t="s">
        <v>4327</v>
      </c>
    </row>
    <row r="1450" spans="3:10" x14ac:dyDescent="0.25">
      <c r="C1450" s="17" t="str">
        <f t="shared" si="23"/>
        <v>28.801011.-85010.6761..CLEAR SCHEDULE.</v>
      </c>
      <c r="E1450">
        <v>28</v>
      </c>
      <c r="F1450">
        <v>801011</v>
      </c>
      <c r="G1450" s="1">
        <v>-850.1</v>
      </c>
      <c r="H1450" t="s">
        <v>1848</v>
      </c>
      <c r="J1450" s="18" t="s">
        <v>4327</v>
      </c>
    </row>
    <row r="1451" spans="3:10" x14ac:dyDescent="0.25">
      <c r="C1451" s="17" t="str">
        <f t="shared" si="23"/>
        <v>28.801011.-40584.6763..CLEAR SCHEDULE.</v>
      </c>
      <c r="E1451">
        <v>28</v>
      </c>
      <c r="F1451">
        <v>801011</v>
      </c>
      <c r="G1451" s="2">
        <v>-405.84</v>
      </c>
      <c r="H1451" t="s">
        <v>1849</v>
      </c>
      <c r="J1451" s="18" t="s">
        <v>4327</v>
      </c>
    </row>
    <row r="1452" spans="3:10" x14ac:dyDescent="0.25">
      <c r="C1452" s="17" t="str">
        <f t="shared" si="23"/>
        <v>28.801011.-96206.6765..CLEAR SCHEDULE.</v>
      </c>
      <c r="E1452">
        <v>28</v>
      </c>
      <c r="F1452">
        <v>801011</v>
      </c>
      <c r="G1452" s="1">
        <v>-962.06</v>
      </c>
      <c r="H1452" t="s">
        <v>1850</v>
      </c>
      <c r="J1452" s="18" t="s">
        <v>4327</v>
      </c>
    </row>
    <row r="1453" spans="3:10" x14ac:dyDescent="0.25">
      <c r="C1453" s="17" t="str">
        <f t="shared" si="23"/>
        <v>28.801011.-14387.6768..CLEAR SCHEDULE.</v>
      </c>
      <c r="E1453">
        <v>28</v>
      </c>
      <c r="F1453">
        <v>801011</v>
      </c>
      <c r="G1453" s="2">
        <v>-143.87</v>
      </c>
      <c r="H1453" t="s">
        <v>1851</v>
      </c>
      <c r="J1453" s="18" t="s">
        <v>4327</v>
      </c>
    </row>
    <row r="1454" spans="3:10" x14ac:dyDescent="0.25">
      <c r="C1454" s="17" t="str">
        <f t="shared" si="23"/>
        <v>28.801011.-28327.6773..CLEAR SCHEDULE.</v>
      </c>
      <c r="E1454">
        <v>28</v>
      </c>
      <c r="F1454">
        <v>801011</v>
      </c>
      <c r="G1454" s="1">
        <v>-283.27</v>
      </c>
      <c r="H1454" t="s">
        <v>1852</v>
      </c>
      <c r="J1454" s="18" t="s">
        <v>4327</v>
      </c>
    </row>
    <row r="1455" spans="3:10" x14ac:dyDescent="0.25">
      <c r="C1455" s="17" t="str">
        <f t="shared" si="23"/>
        <v>28.801011.-25664.6779..CLEAR SCHEDULE.</v>
      </c>
      <c r="E1455">
        <v>28</v>
      </c>
      <c r="F1455">
        <v>801011</v>
      </c>
      <c r="G1455" s="2">
        <v>-256.64</v>
      </c>
      <c r="H1455" t="s">
        <v>1853</v>
      </c>
      <c r="J1455" s="18" t="s">
        <v>4327</v>
      </c>
    </row>
    <row r="1456" spans="3:10" x14ac:dyDescent="0.25">
      <c r="C1456" s="17" t="str">
        <f t="shared" si="23"/>
        <v>28.801011.-25314.6782..CLEAR SCHEDULE.</v>
      </c>
      <c r="E1456">
        <v>28</v>
      </c>
      <c r="F1456">
        <v>801011</v>
      </c>
      <c r="G1456" s="1">
        <v>-253.14</v>
      </c>
      <c r="H1456" t="s">
        <v>1854</v>
      </c>
      <c r="J1456" s="18" t="s">
        <v>4327</v>
      </c>
    </row>
    <row r="1457" spans="3:10" x14ac:dyDescent="0.25">
      <c r="C1457" s="17" t="str">
        <f t="shared" si="23"/>
        <v>28.801011.-76221.6783..CLEAR SCHEDULE.</v>
      </c>
      <c r="E1457">
        <v>28</v>
      </c>
      <c r="F1457">
        <v>801011</v>
      </c>
      <c r="G1457" s="2">
        <v>-762.21</v>
      </c>
      <c r="H1457" t="s">
        <v>1855</v>
      </c>
      <c r="J1457" s="18" t="s">
        <v>4327</v>
      </c>
    </row>
    <row r="1458" spans="3:10" x14ac:dyDescent="0.25">
      <c r="C1458" s="17" t="str">
        <f t="shared" si="23"/>
        <v>28.801011.-45824.6784..CLEAR SCHEDULE.</v>
      </c>
      <c r="E1458">
        <v>28</v>
      </c>
      <c r="F1458">
        <v>801011</v>
      </c>
      <c r="G1458" s="1">
        <v>-458.24</v>
      </c>
      <c r="H1458" t="s">
        <v>1856</v>
      </c>
      <c r="J1458" s="18" t="s">
        <v>4327</v>
      </c>
    </row>
    <row r="1459" spans="3:10" x14ac:dyDescent="0.25">
      <c r="C1459" s="17" t="str">
        <f t="shared" si="23"/>
        <v>28.801011.-15945.6787..CLEAR SCHEDULE.</v>
      </c>
      <c r="E1459">
        <v>28</v>
      </c>
      <c r="F1459">
        <v>801011</v>
      </c>
      <c r="G1459" s="2">
        <v>-159.44999999999999</v>
      </c>
      <c r="H1459" t="s">
        <v>1857</v>
      </c>
      <c r="J1459" s="18" t="s">
        <v>4327</v>
      </c>
    </row>
    <row r="1460" spans="3:10" x14ac:dyDescent="0.25">
      <c r="C1460" s="17" t="str">
        <f t="shared" si="23"/>
        <v>28.801011.-15167.6788..CLEAR SCHEDULE.</v>
      </c>
      <c r="E1460">
        <v>28</v>
      </c>
      <c r="F1460">
        <v>801011</v>
      </c>
      <c r="G1460" s="1">
        <v>-151.66999999999999</v>
      </c>
      <c r="H1460" t="s">
        <v>1858</v>
      </c>
      <c r="J1460" s="18" t="s">
        <v>4327</v>
      </c>
    </row>
    <row r="1461" spans="3:10" x14ac:dyDescent="0.25">
      <c r="C1461" s="17" t="str">
        <f t="shared" si="23"/>
        <v>28.801011.-60218.6789..CLEAR SCHEDULE.</v>
      </c>
      <c r="E1461">
        <v>28</v>
      </c>
      <c r="F1461">
        <v>801011</v>
      </c>
      <c r="G1461" s="2">
        <v>-602.17999999999995</v>
      </c>
      <c r="H1461" t="s">
        <v>1859</v>
      </c>
      <c r="J1461" s="18" t="s">
        <v>4327</v>
      </c>
    </row>
    <row r="1462" spans="3:10" x14ac:dyDescent="0.25">
      <c r="C1462" s="17" t="str">
        <f t="shared" si="23"/>
        <v>28.801011.-26955.6794..CLEAR SCHEDULE.</v>
      </c>
      <c r="E1462">
        <v>28</v>
      </c>
      <c r="F1462">
        <v>801011</v>
      </c>
      <c r="G1462" s="1">
        <v>-269.55</v>
      </c>
      <c r="H1462" t="s">
        <v>1860</v>
      </c>
      <c r="J1462" s="18" t="s">
        <v>4327</v>
      </c>
    </row>
    <row r="1463" spans="3:10" x14ac:dyDescent="0.25">
      <c r="C1463" s="17" t="str">
        <f t="shared" si="23"/>
        <v>28.801011.-14920.6795..CLEAR SCHEDULE.</v>
      </c>
      <c r="E1463">
        <v>28</v>
      </c>
      <c r="F1463">
        <v>801011</v>
      </c>
      <c r="G1463" s="2">
        <v>-149.19999999999999</v>
      </c>
      <c r="H1463" t="s">
        <v>1861</v>
      </c>
      <c r="J1463" s="18" t="s">
        <v>4327</v>
      </c>
    </row>
    <row r="1464" spans="3:10" x14ac:dyDescent="0.25">
      <c r="C1464" s="17" t="str">
        <f t="shared" si="23"/>
        <v>28.801011.-24288.6796..CLEAR SCHEDULE.</v>
      </c>
      <c r="E1464">
        <v>28</v>
      </c>
      <c r="F1464">
        <v>801011</v>
      </c>
      <c r="G1464" s="1">
        <v>-242.88</v>
      </c>
      <c r="H1464" t="s">
        <v>1862</v>
      </c>
      <c r="J1464" s="18" t="s">
        <v>4327</v>
      </c>
    </row>
    <row r="1465" spans="3:10" x14ac:dyDescent="0.25">
      <c r="C1465" s="17" t="str">
        <f t="shared" si="23"/>
        <v>28.801011.-32614.6797..CLEAR SCHEDULE.</v>
      </c>
      <c r="E1465">
        <v>28</v>
      </c>
      <c r="F1465">
        <v>801011</v>
      </c>
      <c r="G1465" s="2">
        <v>-326.14</v>
      </c>
      <c r="H1465" t="s">
        <v>1863</v>
      </c>
      <c r="J1465" s="18" t="s">
        <v>4327</v>
      </c>
    </row>
    <row r="1466" spans="3:10" x14ac:dyDescent="0.25">
      <c r="C1466" s="17" t="str">
        <f t="shared" si="23"/>
        <v>28.801011.-15056.6800..CLEAR SCHEDULE.</v>
      </c>
      <c r="E1466">
        <v>28</v>
      </c>
      <c r="F1466">
        <v>801011</v>
      </c>
      <c r="G1466" s="1">
        <v>-150.56</v>
      </c>
      <c r="H1466" t="s">
        <v>1864</v>
      </c>
      <c r="J1466" s="18" t="s">
        <v>4327</v>
      </c>
    </row>
    <row r="1467" spans="3:10" x14ac:dyDescent="0.25">
      <c r="C1467" s="17" t="str">
        <f t="shared" si="23"/>
        <v>28.801011.-5798.6802..CLEAR SCHEDULE.</v>
      </c>
      <c r="E1467">
        <v>28</v>
      </c>
      <c r="F1467">
        <v>801011</v>
      </c>
      <c r="G1467" s="2">
        <v>-57.98</v>
      </c>
      <c r="H1467" t="s">
        <v>1865</v>
      </c>
      <c r="J1467" s="18" t="s">
        <v>4327</v>
      </c>
    </row>
    <row r="1468" spans="3:10" x14ac:dyDescent="0.25">
      <c r="C1468" s="17" t="str">
        <f t="shared" si="23"/>
        <v>28.801011.-105389.6805..CLEAR SCHEDULE.</v>
      </c>
      <c r="E1468">
        <v>28</v>
      </c>
      <c r="F1468">
        <v>801011</v>
      </c>
      <c r="G1468" s="1">
        <v>-1053.8900000000001</v>
      </c>
      <c r="H1468" t="s">
        <v>1866</v>
      </c>
      <c r="J1468" s="18" t="s">
        <v>4327</v>
      </c>
    </row>
    <row r="1469" spans="3:10" x14ac:dyDescent="0.25">
      <c r="C1469" s="17" t="str">
        <f t="shared" si="23"/>
        <v>28.801011.-15166.6806..CLEAR SCHEDULE.</v>
      </c>
      <c r="E1469">
        <v>28</v>
      </c>
      <c r="F1469">
        <v>801011</v>
      </c>
      <c r="G1469" s="2">
        <v>-151.66</v>
      </c>
      <c r="H1469" t="s">
        <v>1867</v>
      </c>
      <c r="J1469" s="18" t="s">
        <v>4327</v>
      </c>
    </row>
    <row r="1470" spans="3:10" x14ac:dyDescent="0.25">
      <c r="C1470" s="17" t="str">
        <f t="shared" si="23"/>
        <v>28.801011.-14897.6808..CLEAR SCHEDULE.</v>
      </c>
      <c r="E1470">
        <v>28</v>
      </c>
      <c r="F1470">
        <v>801011</v>
      </c>
      <c r="G1470" s="1">
        <v>-148.97</v>
      </c>
      <c r="H1470" t="s">
        <v>1868</v>
      </c>
      <c r="J1470" s="18" t="s">
        <v>4327</v>
      </c>
    </row>
    <row r="1471" spans="3:10" x14ac:dyDescent="0.25">
      <c r="C1471" s="17" t="str">
        <f t="shared" si="23"/>
        <v>28.801011.-14387.6810..CLEAR SCHEDULE.</v>
      </c>
      <c r="E1471">
        <v>28</v>
      </c>
      <c r="F1471">
        <v>801011</v>
      </c>
      <c r="G1471" s="2">
        <v>-143.87</v>
      </c>
      <c r="H1471" t="s">
        <v>1869</v>
      </c>
      <c r="J1471" s="18" t="s">
        <v>4327</v>
      </c>
    </row>
    <row r="1472" spans="3:10" x14ac:dyDescent="0.25">
      <c r="C1472" s="17" t="str">
        <f t="shared" si="23"/>
        <v>28.801011.-50857.6814..CLEAR SCHEDULE.</v>
      </c>
      <c r="E1472">
        <v>28</v>
      </c>
      <c r="F1472">
        <v>801011</v>
      </c>
      <c r="G1472" s="1">
        <v>-508.57</v>
      </c>
      <c r="H1472" t="s">
        <v>1870</v>
      </c>
      <c r="J1472" s="18" t="s">
        <v>4327</v>
      </c>
    </row>
    <row r="1473" spans="3:10" x14ac:dyDescent="0.25">
      <c r="C1473" s="17" t="str">
        <f t="shared" si="23"/>
        <v>28.801011.-63996.6815..CLEAR SCHEDULE.</v>
      </c>
      <c r="E1473">
        <v>28</v>
      </c>
      <c r="F1473">
        <v>801011</v>
      </c>
      <c r="G1473" s="2">
        <v>-639.96</v>
      </c>
      <c r="H1473" t="s">
        <v>1871</v>
      </c>
      <c r="J1473" s="18" t="s">
        <v>4327</v>
      </c>
    </row>
    <row r="1474" spans="3:10" x14ac:dyDescent="0.25">
      <c r="C1474" s="17" t="str">
        <f t="shared" si="23"/>
        <v>28.801011.-63633.6816..CLEAR SCHEDULE.</v>
      </c>
      <c r="E1474">
        <v>28</v>
      </c>
      <c r="F1474">
        <v>801011</v>
      </c>
      <c r="G1474" s="1">
        <v>-636.33000000000004</v>
      </c>
      <c r="H1474" t="s">
        <v>1872</v>
      </c>
      <c r="J1474" s="18" t="s">
        <v>4327</v>
      </c>
    </row>
    <row r="1475" spans="3:10" x14ac:dyDescent="0.25">
      <c r="C1475" s="17" t="str">
        <f t="shared" si="23"/>
        <v>28.801011.-15945.6818..CLEAR SCHEDULE.</v>
      </c>
      <c r="E1475">
        <v>28</v>
      </c>
      <c r="F1475">
        <v>801011</v>
      </c>
      <c r="G1475" s="2">
        <v>-159.44999999999999</v>
      </c>
      <c r="H1475" t="s">
        <v>1873</v>
      </c>
      <c r="J1475" s="18" t="s">
        <v>4327</v>
      </c>
    </row>
    <row r="1476" spans="3:10" x14ac:dyDescent="0.25">
      <c r="C1476" s="17" t="str">
        <f t="shared" si="23"/>
        <v>28.801011.-9263.6819..CLEAR SCHEDULE.</v>
      </c>
      <c r="E1476">
        <v>28</v>
      </c>
      <c r="F1476">
        <v>801011</v>
      </c>
      <c r="G1476" s="1">
        <v>-92.63</v>
      </c>
      <c r="H1476" t="s">
        <v>1874</v>
      </c>
      <c r="J1476" s="18" t="s">
        <v>4327</v>
      </c>
    </row>
    <row r="1477" spans="3:10" x14ac:dyDescent="0.25">
      <c r="C1477" s="17" t="str">
        <f t="shared" si="23"/>
        <v>28.801011.-28407.6820..CLEAR SCHEDULE.</v>
      </c>
      <c r="E1477">
        <v>28</v>
      </c>
      <c r="F1477">
        <v>801011</v>
      </c>
      <c r="G1477" s="2">
        <v>-284.07</v>
      </c>
      <c r="H1477" t="s">
        <v>1875</v>
      </c>
      <c r="J1477" s="18" t="s">
        <v>4327</v>
      </c>
    </row>
    <row r="1478" spans="3:10" x14ac:dyDescent="0.25">
      <c r="C1478" s="17" t="str">
        <f t="shared" si="23"/>
        <v>28.801011.-20384.6822..CLEAR SCHEDULE.</v>
      </c>
      <c r="E1478">
        <v>28</v>
      </c>
      <c r="F1478">
        <v>801011</v>
      </c>
      <c r="G1478" s="1">
        <v>-203.84</v>
      </c>
      <c r="H1478" t="s">
        <v>1876</v>
      </c>
      <c r="J1478" s="18" t="s">
        <v>4327</v>
      </c>
    </row>
    <row r="1479" spans="3:10" x14ac:dyDescent="0.25">
      <c r="C1479" s="17" t="str">
        <f t="shared" si="23"/>
        <v>28.801011.-58657.6823..CLEAR SCHEDULE.</v>
      </c>
      <c r="E1479">
        <v>28</v>
      </c>
      <c r="F1479">
        <v>801011</v>
      </c>
      <c r="G1479" s="2">
        <v>-586.57000000000005</v>
      </c>
      <c r="H1479" t="s">
        <v>1877</v>
      </c>
      <c r="J1479" s="18" t="s">
        <v>4327</v>
      </c>
    </row>
    <row r="1480" spans="3:10" x14ac:dyDescent="0.25">
      <c r="C1480" s="17" t="str">
        <f t="shared" si="23"/>
        <v>28.801011.-32338.6827..CLEAR SCHEDULE.</v>
      </c>
      <c r="E1480">
        <v>28</v>
      </c>
      <c r="F1480">
        <v>801011</v>
      </c>
      <c r="G1480" s="1">
        <v>-323.38</v>
      </c>
      <c r="H1480" t="s">
        <v>1878</v>
      </c>
      <c r="J1480" s="18" t="s">
        <v>4327</v>
      </c>
    </row>
    <row r="1481" spans="3:10" x14ac:dyDescent="0.25">
      <c r="C1481" s="17" t="str">
        <f t="shared" si="23"/>
        <v>28.801011.-26539.6828..CLEAR SCHEDULE.</v>
      </c>
      <c r="E1481">
        <v>28</v>
      </c>
      <c r="F1481">
        <v>801011</v>
      </c>
      <c r="G1481" s="2">
        <v>-265.39</v>
      </c>
      <c r="H1481" t="s">
        <v>1879</v>
      </c>
      <c r="J1481" s="18" t="s">
        <v>4327</v>
      </c>
    </row>
    <row r="1482" spans="3:10" x14ac:dyDescent="0.25">
      <c r="C1482" s="17" t="str">
        <f t="shared" si="23"/>
        <v>28.801011.-25000.6829..CLEAR SCHEDULE.</v>
      </c>
      <c r="E1482">
        <v>28</v>
      </c>
      <c r="F1482">
        <v>801011</v>
      </c>
      <c r="G1482" s="1">
        <v>-250</v>
      </c>
      <c r="H1482" t="s">
        <v>1880</v>
      </c>
      <c r="J1482" s="18" t="s">
        <v>4327</v>
      </c>
    </row>
    <row r="1483" spans="3:10" x14ac:dyDescent="0.25">
      <c r="C1483" s="17" t="str">
        <f t="shared" ref="C1483:C1546" si="24">IF(G1483=0,"",(E1483&amp;"."&amp;F1483&amp;"."&amp;G1483*100&amp;"."&amp;H1483&amp;"."&amp;I1483&amp;"."&amp;J1483&amp;"."&amp;K1483))</f>
        <v>28.801011.-5415.6830..CLEAR SCHEDULE.</v>
      </c>
      <c r="E1483">
        <v>28</v>
      </c>
      <c r="F1483">
        <v>801011</v>
      </c>
      <c r="G1483" s="2">
        <v>-54.15</v>
      </c>
      <c r="H1483" t="s">
        <v>1881</v>
      </c>
      <c r="J1483" s="18" t="s">
        <v>4327</v>
      </c>
    </row>
    <row r="1484" spans="3:10" x14ac:dyDescent="0.25">
      <c r="C1484" s="17" t="str">
        <f t="shared" si="24"/>
        <v>28.801011.-13000.6833..CLEAR SCHEDULE.</v>
      </c>
      <c r="E1484">
        <v>28</v>
      </c>
      <c r="F1484">
        <v>801011</v>
      </c>
      <c r="G1484" s="1">
        <v>-130</v>
      </c>
      <c r="H1484" t="s">
        <v>1882</v>
      </c>
      <c r="J1484" s="18" t="s">
        <v>4327</v>
      </c>
    </row>
    <row r="1485" spans="3:10" x14ac:dyDescent="0.25">
      <c r="C1485" s="17" t="str">
        <f t="shared" si="24"/>
        <v>28.801011.-38425.6838..CLEAR SCHEDULE.</v>
      </c>
      <c r="E1485">
        <v>28</v>
      </c>
      <c r="F1485">
        <v>801011</v>
      </c>
      <c r="G1485" s="2">
        <v>-384.25</v>
      </c>
      <c r="H1485" t="s">
        <v>1883</v>
      </c>
      <c r="J1485" s="18" t="s">
        <v>4327</v>
      </c>
    </row>
    <row r="1486" spans="3:10" x14ac:dyDescent="0.25">
      <c r="C1486" s="17" t="str">
        <f t="shared" si="24"/>
        <v>28.801011.-5415.6839..CLEAR SCHEDULE.</v>
      </c>
      <c r="E1486">
        <v>28</v>
      </c>
      <c r="F1486">
        <v>801011</v>
      </c>
      <c r="G1486" s="1">
        <v>-54.15</v>
      </c>
      <c r="H1486" t="s">
        <v>1884</v>
      </c>
      <c r="J1486" s="18" t="s">
        <v>4327</v>
      </c>
    </row>
    <row r="1487" spans="3:10" x14ac:dyDescent="0.25">
      <c r="C1487" s="17" t="str">
        <f t="shared" si="24"/>
        <v>28.801011.-6769.6840..CLEAR SCHEDULE.</v>
      </c>
      <c r="E1487">
        <v>28</v>
      </c>
      <c r="F1487">
        <v>801011</v>
      </c>
      <c r="G1487" s="2">
        <v>-67.69</v>
      </c>
      <c r="H1487" t="s">
        <v>1885</v>
      </c>
      <c r="J1487" s="18" t="s">
        <v>4327</v>
      </c>
    </row>
    <row r="1488" spans="3:10" x14ac:dyDescent="0.25">
      <c r="C1488" s="17" t="str">
        <f t="shared" si="24"/>
        <v>28.801011.-14387.6842..CLEAR SCHEDULE.</v>
      </c>
      <c r="E1488">
        <v>28</v>
      </c>
      <c r="F1488">
        <v>801011</v>
      </c>
      <c r="G1488" s="1">
        <v>-143.87</v>
      </c>
      <c r="H1488" t="s">
        <v>1886</v>
      </c>
      <c r="J1488" s="18" t="s">
        <v>4327</v>
      </c>
    </row>
    <row r="1489" spans="3:10" x14ac:dyDescent="0.25">
      <c r="C1489" s="17" t="str">
        <f t="shared" si="24"/>
        <v>28.801011.-466237.6844..CLEAR SCHEDULE.</v>
      </c>
      <c r="E1489">
        <v>28</v>
      </c>
      <c r="F1489">
        <v>801011</v>
      </c>
      <c r="G1489" s="2">
        <v>-4662.37</v>
      </c>
      <c r="H1489" t="s">
        <v>1887</v>
      </c>
      <c r="J1489" s="18" t="s">
        <v>4327</v>
      </c>
    </row>
    <row r="1490" spans="3:10" x14ac:dyDescent="0.25">
      <c r="C1490" s="17" t="str">
        <f t="shared" si="24"/>
        <v>28.801011.-7878.6845..CLEAR SCHEDULE.</v>
      </c>
      <c r="E1490">
        <v>28</v>
      </c>
      <c r="F1490">
        <v>801011</v>
      </c>
      <c r="G1490" s="1">
        <v>-78.78</v>
      </c>
      <c r="H1490" t="s">
        <v>1888</v>
      </c>
      <c r="J1490" s="18" t="s">
        <v>4327</v>
      </c>
    </row>
    <row r="1491" spans="3:10" x14ac:dyDescent="0.25">
      <c r="C1491" s="17" t="str">
        <f t="shared" si="24"/>
        <v>28.801011.-63716.6846..CLEAR SCHEDULE.</v>
      </c>
      <c r="E1491">
        <v>28</v>
      </c>
      <c r="F1491">
        <v>801011</v>
      </c>
      <c r="G1491" s="2">
        <v>-637.16</v>
      </c>
      <c r="H1491" t="s">
        <v>1889</v>
      </c>
      <c r="J1491" s="18" t="s">
        <v>4327</v>
      </c>
    </row>
    <row r="1492" spans="3:10" x14ac:dyDescent="0.25">
      <c r="C1492" s="17" t="str">
        <f t="shared" si="24"/>
        <v>28.801011.-146917.6850..CLEAR SCHEDULE.</v>
      </c>
      <c r="E1492">
        <v>28</v>
      </c>
      <c r="F1492">
        <v>801011</v>
      </c>
      <c r="G1492" s="1">
        <v>-1469.17</v>
      </c>
      <c r="H1492" t="s">
        <v>1890</v>
      </c>
      <c r="J1492" s="18" t="s">
        <v>4327</v>
      </c>
    </row>
    <row r="1493" spans="3:10" x14ac:dyDescent="0.25">
      <c r="C1493" s="17" t="str">
        <f t="shared" si="24"/>
        <v>28.801011.-24174.6852..CLEAR SCHEDULE.</v>
      </c>
      <c r="E1493">
        <v>28</v>
      </c>
      <c r="F1493">
        <v>801011</v>
      </c>
      <c r="G1493" s="2">
        <v>-241.74</v>
      </c>
      <c r="H1493" t="s">
        <v>1891</v>
      </c>
      <c r="J1493" s="18" t="s">
        <v>4327</v>
      </c>
    </row>
    <row r="1494" spans="3:10" x14ac:dyDescent="0.25">
      <c r="C1494" s="17" t="str">
        <f t="shared" si="24"/>
        <v>28.801011.-8972.6853..CLEAR SCHEDULE.</v>
      </c>
      <c r="E1494">
        <v>28</v>
      </c>
      <c r="F1494">
        <v>801011</v>
      </c>
      <c r="G1494" s="1">
        <v>-89.72</v>
      </c>
      <c r="H1494" t="s">
        <v>1892</v>
      </c>
      <c r="J1494" s="18" t="s">
        <v>4327</v>
      </c>
    </row>
    <row r="1495" spans="3:10" x14ac:dyDescent="0.25">
      <c r="C1495" s="17" t="str">
        <f t="shared" si="24"/>
        <v>28.801011.-6769.6854..CLEAR SCHEDULE.</v>
      </c>
      <c r="E1495">
        <v>28</v>
      </c>
      <c r="F1495">
        <v>801011</v>
      </c>
      <c r="G1495" s="2">
        <v>-67.69</v>
      </c>
      <c r="H1495" t="s">
        <v>1893</v>
      </c>
      <c r="J1495" s="18" t="s">
        <v>4327</v>
      </c>
    </row>
    <row r="1496" spans="3:10" x14ac:dyDescent="0.25">
      <c r="C1496" s="17" t="str">
        <f t="shared" si="24"/>
        <v>28.801011.-18987.6857..CLEAR SCHEDULE.</v>
      </c>
      <c r="E1496">
        <v>28</v>
      </c>
      <c r="F1496">
        <v>801011</v>
      </c>
      <c r="G1496" s="1">
        <v>-189.87</v>
      </c>
      <c r="H1496" t="s">
        <v>1894</v>
      </c>
      <c r="J1496" s="18" t="s">
        <v>4327</v>
      </c>
    </row>
    <row r="1497" spans="3:10" x14ac:dyDescent="0.25">
      <c r="C1497" s="17" t="str">
        <f t="shared" si="24"/>
        <v>28.801011.-190230.6858..CLEAR SCHEDULE.</v>
      </c>
      <c r="E1497">
        <v>28</v>
      </c>
      <c r="F1497">
        <v>801011</v>
      </c>
      <c r="G1497" s="2">
        <v>-1902.3</v>
      </c>
      <c r="H1497" t="s">
        <v>1895</v>
      </c>
      <c r="J1497" s="18" t="s">
        <v>4327</v>
      </c>
    </row>
    <row r="1498" spans="3:10" x14ac:dyDescent="0.25">
      <c r="C1498" s="17" t="str">
        <f t="shared" si="24"/>
        <v>28.801011.-7957.6859..CLEAR SCHEDULE.</v>
      </c>
      <c r="E1498">
        <v>28</v>
      </c>
      <c r="F1498">
        <v>801011</v>
      </c>
      <c r="G1498" s="1">
        <v>-79.569999999999993</v>
      </c>
      <c r="H1498" t="s">
        <v>1896</v>
      </c>
      <c r="J1498" s="18" t="s">
        <v>4327</v>
      </c>
    </row>
    <row r="1499" spans="3:10" x14ac:dyDescent="0.25">
      <c r="C1499" s="17" t="str">
        <f t="shared" si="24"/>
        <v>28.801011.-27248.6860..CLEAR SCHEDULE.</v>
      </c>
      <c r="E1499">
        <v>28</v>
      </c>
      <c r="F1499">
        <v>801011</v>
      </c>
      <c r="G1499" s="2">
        <v>-272.48</v>
      </c>
      <c r="H1499" t="s">
        <v>1897</v>
      </c>
      <c r="J1499" s="18" t="s">
        <v>4327</v>
      </c>
    </row>
    <row r="1500" spans="3:10" x14ac:dyDescent="0.25">
      <c r="C1500" s="17" t="str">
        <f t="shared" si="24"/>
        <v>28.801011.-28212.6864..CLEAR SCHEDULE.</v>
      </c>
      <c r="E1500">
        <v>28</v>
      </c>
      <c r="F1500">
        <v>801011</v>
      </c>
      <c r="G1500" s="1">
        <v>-282.12</v>
      </c>
      <c r="H1500" t="s">
        <v>1898</v>
      </c>
      <c r="J1500" s="18" t="s">
        <v>4327</v>
      </c>
    </row>
    <row r="1501" spans="3:10" x14ac:dyDescent="0.25">
      <c r="C1501" s="17" t="str">
        <f t="shared" si="24"/>
        <v>28.801011.-46677.6866..CLEAR SCHEDULE.</v>
      </c>
      <c r="E1501">
        <v>28</v>
      </c>
      <c r="F1501">
        <v>801011</v>
      </c>
      <c r="G1501" s="2">
        <v>-466.77</v>
      </c>
      <c r="H1501" t="s">
        <v>1899</v>
      </c>
      <c r="J1501" s="18" t="s">
        <v>4327</v>
      </c>
    </row>
    <row r="1502" spans="3:10" x14ac:dyDescent="0.25">
      <c r="C1502" s="17" t="str">
        <f t="shared" si="24"/>
        <v>28.801011.-26178.6868..CLEAR SCHEDULE.</v>
      </c>
      <c r="E1502">
        <v>28</v>
      </c>
      <c r="F1502">
        <v>801011</v>
      </c>
      <c r="G1502" s="1">
        <v>-261.77999999999997</v>
      </c>
      <c r="H1502" t="s">
        <v>1900</v>
      </c>
      <c r="J1502" s="18" t="s">
        <v>4327</v>
      </c>
    </row>
    <row r="1503" spans="3:10" x14ac:dyDescent="0.25">
      <c r="C1503" s="17" t="str">
        <f t="shared" si="24"/>
        <v>28.801011.-80644.6870..CLEAR SCHEDULE.</v>
      </c>
      <c r="E1503">
        <v>28</v>
      </c>
      <c r="F1503">
        <v>801011</v>
      </c>
      <c r="G1503" s="2">
        <v>-806.44</v>
      </c>
      <c r="H1503" t="s">
        <v>1901</v>
      </c>
      <c r="J1503" s="18" t="s">
        <v>4327</v>
      </c>
    </row>
    <row r="1504" spans="3:10" x14ac:dyDescent="0.25">
      <c r="C1504" s="17" t="str">
        <f t="shared" si="24"/>
        <v>28.801011.-41412.6872..CLEAR SCHEDULE.</v>
      </c>
      <c r="E1504">
        <v>28</v>
      </c>
      <c r="F1504">
        <v>801011</v>
      </c>
      <c r="G1504" s="1">
        <v>-414.12</v>
      </c>
      <c r="H1504" t="s">
        <v>1902</v>
      </c>
      <c r="J1504" s="18" t="s">
        <v>4327</v>
      </c>
    </row>
    <row r="1505" spans="3:10" x14ac:dyDescent="0.25">
      <c r="C1505" s="17" t="str">
        <f t="shared" si="24"/>
        <v>28.801011.-9986.6873..CLEAR SCHEDULE.</v>
      </c>
      <c r="E1505">
        <v>28</v>
      </c>
      <c r="F1505">
        <v>801011</v>
      </c>
      <c r="G1505" s="2">
        <v>-99.86</v>
      </c>
      <c r="H1505" t="s">
        <v>1903</v>
      </c>
      <c r="J1505" s="18" t="s">
        <v>4327</v>
      </c>
    </row>
    <row r="1506" spans="3:10" x14ac:dyDescent="0.25">
      <c r="C1506" s="17" t="str">
        <f t="shared" si="24"/>
        <v>28.801011.-14387.6874..CLEAR SCHEDULE.</v>
      </c>
      <c r="E1506">
        <v>28</v>
      </c>
      <c r="F1506">
        <v>801011</v>
      </c>
      <c r="G1506" s="1">
        <v>-143.87</v>
      </c>
      <c r="H1506" t="s">
        <v>1904</v>
      </c>
      <c r="J1506" s="18" t="s">
        <v>4327</v>
      </c>
    </row>
    <row r="1507" spans="3:10" x14ac:dyDescent="0.25">
      <c r="C1507" s="17" t="str">
        <f t="shared" si="24"/>
        <v>28.801011.-10530.6879..CLEAR SCHEDULE.</v>
      </c>
      <c r="E1507">
        <v>28</v>
      </c>
      <c r="F1507">
        <v>801011</v>
      </c>
      <c r="G1507" s="2">
        <v>-105.3</v>
      </c>
      <c r="H1507" t="s">
        <v>1905</v>
      </c>
      <c r="J1507" s="18" t="s">
        <v>4327</v>
      </c>
    </row>
    <row r="1508" spans="3:10" x14ac:dyDescent="0.25">
      <c r="C1508" s="17" t="str">
        <f t="shared" si="24"/>
        <v>28.801011.-10004.6883..CLEAR SCHEDULE.</v>
      </c>
      <c r="E1508">
        <v>28</v>
      </c>
      <c r="F1508">
        <v>801011</v>
      </c>
      <c r="G1508" s="1">
        <v>-100.04</v>
      </c>
      <c r="H1508" t="s">
        <v>1906</v>
      </c>
      <c r="J1508" s="18" t="s">
        <v>4327</v>
      </c>
    </row>
    <row r="1509" spans="3:10" x14ac:dyDescent="0.25">
      <c r="C1509" s="17" t="str">
        <f t="shared" si="24"/>
        <v>28.801011.-8972.6884..CLEAR SCHEDULE.</v>
      </c>
      <c r="E1509">
        <v>28</v>
      </c>
      <c r="F1509">
        <v>801011</v>
      </c>
      <c r="G1509" s="2">
        <v>-89.72</v>
      </c>
      <c r="H1509" t="s">
        <v>1907</v>
      </c>
      <c r="J1509" s="18" t="s">
        <v>4327</v>
      </c>
    </row>
    <row r="1510" spans="3:10" x14ac:dyDescent="0.25">
      <c r="C1510" s="17" t="str">
        <f t="shared" si="24"/>
        <v>28.801011.-8383.6887..CLEAR SCHEDULE.</v>
      </c>
      <c r="E1510">
        <v>28</v>
      </c>
      <c r="F1510">
        <v>801011</v>
      </c>
      <c r="G1510" s="1">
        <v>-83.83</v>
      </c>
      <c r="H1510" t="s">
        <v>1908</v>
      </c>
      <c r="J1510" s="18" t="s">
        <v>4327</v>
      </c>
    </row>
    <row r="1511" spans="3:10" x14ac:dyDescent="0.25">
      <c r="C1511" s="17" t="str">
        <f t="shared" si="24"/>
        <v>28.801011.-37697.6889..CLEAR SCHEDULE.</v>
      </c>
      <c r="E1511">
        <v>28</v>
      </c>
      <c r="F1511">
        <v>801011</v>
      </c>
      <c r="G1511" s="2">
        <v>-376.97</v>
      </c>
      <c r="H1511" t="s">
        <v>1909</v>
      </c>
      <c r="J1511" s="18" t="s">
        <v>4327</v>
      </c>
    </row>
    <row r="1512" spans="3:10" x14ac:dyDescent="0.25">
      <c r="C1512" s="17" t="str">
        <f t="shared" si="24"/>
        <v>28.801011.-14387.6890..CLEAR SCHEDULE.</v>
      </c>
      <c r="E1512">
        <v>28</v>
      </c>
      <c r="F1512">
        <v>801011</v>
      </c>
      <c r="G1512" s="1">
        <v>-143.87</v>
      </c>
      <c r="H1512" t="s">
        <v>1910</v>
      </c>
      <c r="J1512" s="18" t="s">
        <v>4327</v>
      </c>
    </row>
    <row r="1513" spans="3:10" x14ac:dyDescent="0.25">
      <c r="C1513" s="17" t="str">
        <f t="shared" si="24"/>
        <v>28.801011.-138698.6891..CLEAR SCHEDULE.</v>
      </c>
      <c r="E1513">
        <v>28</v>
      </c>
      <c r="F1513">
        <v>801011</v>
      </c>
      <c r="G1513" s="2">
        <v>-1386.98</v>
      </c>
      <c r="H1513" t="s">
        <v>1911</v>
      </c>
      <c r="J1513" s="18" t="s">
        <v>4327</v>
      </c>
    </row>
    <row r="1514" spans="3:10" x14ac:dyDescent="0.25">
      <c r="C1514" s="17" t="str">
        <f t="shared" si="24"/>
        <v>28.801011.-17500.6893..CLEAR SCHEDULE.</v>
      </c>
      <c r="E1514">
        <v>28</v>
      </c>
      <c r="F1514">
        <v>801011</v>
      </c>
      <c r="G1514" s="1">
        <v>-175</v>
      </c>
      <c r="H1514" t="s">
        <v>1912</v>
      </c>
      <c r="J1514" s="18" t="s">
        <v>4327</v>
      </c>
    </row>
    <row r="1515" spans="3:10" x14ac:dyDescent="0.25">
      <c r="C1515" s="17" t="str">
        <f t="shared" si="24"/>
        <v>28.801011.-16724.6897..CLEAR SCHEDULE.</v>
      </c>
      <c r="E1515">
        <v>28</v>
      </c>
      <c r="F1515">
        <v>801011</v>
      </c>
      <c r="G1515" s="2">
        <v>-167.24</v>
      </c>
      <c r="H1515" t="s">
        <v>1913</v>
      </c>
      <c r="J1515" s="18" t="s">
        <v>4327</v>
      </c>
    </row>
    <row r="1516" spans="3:10" x14ac:dyDescent="0.25">
      <c r="C1516" s="17" t="str">
        <f t="shared" si="24"/>
        <v>28.801011.-17500.6898..CLEAR SCHEDULE.</v>
      </c>
      <c r="E1516">
        <v>28</v>
      </c>
      <c r="F1516">
        <v>801011</v>
      </c>
      <c r="G1516" s="1">
        <v>-175</v>
      </c>
      <c r="H1516" t="s">
        <v>1914</v>
      </c>
      <c r="J1516" s="18" t="s">
        <v>4327</v>
      </c>
    </row>
    <row r="1517" spans="3:10" x14ac:dyDescent="0.25">
      <c r="C1517" s="17" t="str">
        <f t="shared" si="24"/>
        <v>28.801011.-13422.6900..CLEAR SCHEDULE.</v>
      </c>
      <c r="E1517">
        <v>28</v>
      </c>
      <c r="F1517">
        <v>801011</v>
      </c>
      <c r="G1517" s="2">
        <v>-134.22</v>
      </c>
      <c r="H1517" t="s">
        <v>1915</v>
      </c>
      <c r="J1517" s="18" t="s">
        <v>4327</v>
      </c>
    </row>
    <row r="1518" spans="3:10" x14ac:dyDescent="0.25">
      <c r="C1518" s="17" t="str">
        <f t="shared" si="24"/>
        <v>28.801011.-246207.6904..CLEAR SCHEDULE.</v>
      </c>
      <c r="E1518">
        <v>28</v>
      </c>
      <c r="F1518">
        <v>801011</v>
      </c>
      <c r="G1518" s="1">
        <v>-2462.0700000000002</v>
      </c>
      <c r="H1518" t="s">
        <v>1916</v>
      </c>
      <c r="J1518" s="18" t="s">
        <v>4327</v>
      </c>
    </row>
    <row r="1519" spans="3:10" x14ac:dyDescent="0.25">
      <c r="C1519" s="17" t="str">
        <f t="shared" si="24"/>
        <v>28.801011.-58040.6905..CLEAR SCHEDULE.</v>
      </c>
      <c r="E1519">
        <v>28</v>
      </c>
      <c r="F1519">
        <v>801011</v>
      </c>
      <c r="G1519" s="2">
        <v>-580.4</v>
      </c>
      <c r="H1519" t="s">
        <v>1917</v>
      </c>
      <c r="J1519" s="18" t="s">
        <v>4327</v>
      </c>
    </row>
    <row r="1520" spans="3:10" x14ac:dyDescent="0.25">
      <c r="C1520" s="17" t="str">
        <f t="shared" si="24"/>
        <v>28.801011.-17500.6906..CLEAR SCHEDULE.</v>
      </c>
      <c r="E1520">
        <v>28</v>
      </c>
      <c r="F1520">
        <v>801011</v>
      </c>
      <c r="G1520" s="1">
        <v>-175</v>
      </c>
      <c r="H1520" t="s">
        <v>1918</v>
      </c>
      <c r="J1520" s="18" t="s">
        <v>4327</v>
      </c>
    </row>
    <row r="1521" spans="3:10" x14ac:dyDescent="0.25">
      <c r="C1521" s="17" t="str">
        <f t="shared" si="24"/>
        <v>28.801011.-14190.6908..CLEAR SCHEDULE.</v>
      </c>
      <c r="E1521">
        <v>28</v>
      </c>
      <c r="F1521">
        <v>801011</v>
      </c>
      <c r="G1521" s="2">
        <v>-141.9</v>
      </c>
      <c r="H1521" t="s">
        <v>1919</v>
      </c>
      <c r="J1521" s="18" t="s">
        <v>4327</v>
      </c>
    </row>
    <row r="1522" spans="3:10" x14ac:dyDescent="0.25">
      <c r="C1522" s="17" t="str">
        <f t="shared" si="24"/>
        <v>28.801011.-10530.6909..CLEAR SCHEDULE.</v>
      </c>
      <c r="E1522">
        <v>28</v>
      </c>
      <c r="F1522">
        <v>801011</v>
      </c>
      <c r="G1522" s="1">
        <v>-105.3</v>
      </c>
      <c r="H1522" t="s">
        <v>1920</v>
      </c>
      <c r="J1522" s="18" t="s">
        <v>4327</v>
      </c>
    </row>
    <row r="1523" spans="3:10" x14ac:dyDescent="0.25">
      <c r="C1523" s="17" t="str">
        <f t="shared" si="24"/>
        <v>28.801011.-31868.6910..CLEAR SCHEDULE.</v>
      </c>
      <c r="E1523">
        <v>28</v>
      </c>
      <c r="F1523">
        <v>801011</v>
      </c>
      <c r="G1523" s="2">
        <v>-318.68</v>
      </c>
      <c r="H1523" t="s">
        <v>1921</v>
      </c>
      <c r="J1523" s="18" t="s">
        <v>4327</v>
      </c>
    </row>
    <row r="1524" spans="3:10" x14ac:dyDescent="0.25">
      <c r="C1524" s="17" t="str">
        <f t="shared" si="24"/>
        <v>28.801011.-49864.6911..CLEAR SCHEDULE.</v>
      </c>
      <c r="E1524">
        <v>28</v>
      </c>
      <c r="F1524">
        <v>801011</v>
      </c>
      <c r="G1524" s="1">
        <v>-498.64</v>
      </c>
      <c r="H1524" t="s">
        <v>1922</v>
      </c>
      <c r="J1524" s="18" t="s">
        <v>4327</v>
      </c>
    </row>
    <row r="1525" spans="3:10" x14ac:dyDescent="0.25">
      <c r="C1525" s="17" t="str">
        <f t="shared" si="24"/>
        <v>28.801011.-180644.6913..CLEAR SCHEDULE.</v>
      </c>
      <c r="E1525">
        <v>28</v>
      </c>
      <c r="F1525">
        <v>801011</v>
      </c>
      <c r="G1525" s="2">
        <v>-1806.44</v>
      </c>
      <c r="H1525" t="s">
        <v>1923</v>
      </c>
      <c r="J1525" s="18" t="s">
        <v>4327</v>
      </c>
    </row>
    <row r="1526" spans="3:10" x14ac:dyDescent="0.25">
      <c r="C1526" s="17" t="str">
        <f t="shared" si="24"/>
        <v>28.801011.-880051.6916..CLEAR SCHEDULE.</v>
      </c>
      <c r="E1526">
        <v>28</v>
      </c>
      <c r="F1526">
        <v>801011</v>
      </c>
      <c r="G1526" s="1">
        <v>-8800.51</v>
      </c>
      <c r="H1526" t="s">
        <v>1924</v>
      </c>
      <c r="J1526" s="18" t="s">
        <v>4327</v>
      </c>
    </row>
    <row r="1527" spans="3:10" x14ac:dyDescent="0.25">
      <c r="C1527" s="17" t="str">
        <f t="shared" si="24"/>
        <v>28.801011.-35865.6918..CLEAR SCHEDULE.</v>
      </c>
      <c r="E1527">
        <v>28</v>
      </c>
      <c r="F1527">
        <v>801011</v>
      </c>
      <c r="G1527" s="2">
        <v>-358.65</v>
      </c>
      <c r="H1527" t="s">
        <v>1925</v>
      </c>
      <c r="J1527" s="18" t="s">
        <v>4327</v>
      </c>
    </row>
    <row r="1528" spans="3:10" x14ac:dyDescent="0.25">
      <c r="C1528" s="17" t="str">
        <f t="shared" si="24"/>
        <v>28.801011.-2532.6924..CLEAR SCHEDULE.</v>
      </c>
      <c r="E1528">
        <v>28</v>
      </c>
      <c r="F1528">
        <v>801011</v>
      </c>
      <c r="G1528" s="1">
        <v>-25.32</v>
      </c>
      <c r="H1528" t="s">
        <v>1926</v>
      </c>
      <c r="J1528" s="18" t="s">
        <v>4327</v>
      </c>
    </row>
    <row r="1529" spans="3:10" x14ac:dyDescent="0.25">
      <c r="C1529" s="17" t="str">
        <f t="shared" si="24"/>
        <v>28.801011.-40882.6925..CLEAR SCHEDULE.</v>
      </c>
      <c r="E1529">
        <v>28</v>
      </c>
      <c r="F1529">
        <v>801011</v>
      </c>
      <c r="G1529" s="2">
        <v>-408.82</v>
      </c>
      <c r="H1529" t="s">
        <v>1927</v>
      </c>
      <c r="J1529" s="18" t="s">
        <v>4327</v>
      </c>
    </row>
    <row r="1530" spans="3:10" x14ac:dyDescent="0.25">
      <c r="C1530" s="17" t="str">
        <f t="shared" si="24"/>
        <v>28.801011.-56054.6928..CLEAR SCHEDULE.</v>
      </c>
      <c r="E1530">
        <v>28</v>
      </c>
      <c r="F1530">
        <v>801011</v>
      </c>
      <c r="G1530" s="1">
        <v>-560.54</v>
      </c>
      <c r="H1530" t="s">
        <v>1928</v>
      </c>
      <c r="J1530" s="18" t="s">
        <v>4327</v>
      </c>
    </row>
    <row r="1531" spans="3:10" x14ac:dyDescent="0.25">
      <c r="C1531" s="17" t="str">
        <f t="shared" si="24"/>
        <v>28.801011.-29300.6929..CLEAR SCHEDULE.</v>
      </c>
      <c r="E1531">
        <v>28</v>
      </c>
      <c r="F1531">
        <v>801011</v>
      </c>
      <c r="G1531" s="2">
        <v>-293</v>
      </c>
      <c r="H1531" t="s">
        <v>1929</v>
      </c>
      <c r="J1531" s="18" t="s">
        <v>4327</v>
      </c>
    </row>
    <row r="1532" spans="3:10" x14ac:dyDescent="0.25">
      <c r="C1532" s="17" t="str">
        <f t="shared" si="24"/>
        <v>28.801011.-125086.6930..CLEAR SCHEDULE.</v>
      </c>
      <c r="E1532">
        <v>28</v>
      </c>
      <c r="F1532">
        <v>801011</v>
      </c>
      <c r="G1532" s="1">
        <v>-1250.8599999999999</v>
      </c>
      <c r="H1532" t="s">
        <v>1930</v>
      </c>
      <c r="J1532" s="18" t="s">
        <v>4327</v>
      </c>
    </row>
    <row r="1533" spans="3:10" x14ac:dyDescent="0.25">
      <c r="C1533" s="17" t="str">
        <f t="shared" si="24"/>
        <v>28.801011.-26910.6931..CLEAR SCHEDULE.</v>
      </c>
      <c r="E1533">
        <v>28</v>
      </c>
      <c r="F1533">
        <v>801011</v>
      </c>
      <c r="G1533" s="2">
        <v>-269.10000000000002</v>
      </c>
      <c r="H1533" t="s">
        <v>1931</v>
      </c>
      <c r="J1533" s="18" t="s">
        <v>4327</v>
      </c>
    </row>
    <row r="1534" spans="3:10" x14ac:dyDescent="0.25">
      <c r="C1534" s="17" t="str">
        <f t="shared" si="24"/>
        <v>28.801011.-26212.6932..CLEAR SCHEDULE.</v>
      </c>
      <c r="E1534">
        <v>28</v>
      </c>
      <c r="F1534">
        <v>801011</v>
      </c>
      <c r="G1534" s="1">
        <v>-262.12</v>
      </c>
      <c r="H1534" t="s">
        <v>1932</v>
      </c>
      <c r="J1534" s="18" t="s">
        <v>4327</v>
      </c>
    </row>
    <row r="1535" spans="3:10" x14ac:dyDescent="0.25">
      <c r="C1535" s="17" t="str">
        <f t="shared" si="24"/>
        <v>28.801011.-80611.6933..CLEAR SCHEDULE.</v>
      </c>
      <c r="E1535">
        <v>28</v>
      </c>
      <c r="F1535">
        <v>801011</v>
      </c>
      <c r="G1535" s="2">
        <v>-806.11</v>
      </c>
      <c r="H1535" t="s">
        <v>1933</v>
      </c>
      <c r="J1535" s="18" t="s">
        <v>4327</v>
      </c>
    </row>
    <row r="1536" spans="3:10" x14ac:dyDescent="0.25">
      <c r="C1536" s="17" t="str">
        <f t="shared" si="24"/>
        <v>28.801011.-65314.6934..CLEAR SCHEDULE.</v>
      </c>
      <c r="E1536">
        <v>28</v>
      </c>
      <c r="F1536">
        <v>801011</v>
      </c>
      <c r="G1536" s="1">
        <v>-653.14</v>
      </c>
      <c r="H1536" t="s">
        <v>1934</v>
      </c>
      <c r="J1536" s="18" t="s">
        <v>4327</v>
      </c>
    </row>
    <row r="1537" spans="3:10" x14ac:dyDescent="0.25">
      <c r="C1537" s="17" t="str">
        <f t="shared" si="24"/>
        <v>28.801011.-14387.6935..CLEAR SCHEDULE.</v>
      </c>
      <c r="E1537">
        <v>28</v>
      </c>
      <c r="F1537">
        <v>801011</v>
      </c>
      <c r="G1537" s="2">
        <v>-143.87</v>
      </c>
      <c r="H1537" t="s">
        <v>1935</v>
      </c>
      <c r="J1537" s="18" t="s">
        <v>4327</v>
      </c>
    </row>
    <row r="1538" spans="3:10" x14ac:dyDescent="0.25">
      <c r="C1538" s="17" t="str">
        <f t="shared" si="24"/>
        <v>28.801011.-23658.6936..CLEAR SCHEDULE.</v>
      </c>
      <c r="E1538">
        <v>28</v>
      </c>
      <c r="F1538">
        <v>801011</v>
      </c>
      <c r="G1538" s="1">
        <v>-236.58</v>
      </c>
      <c r="H1538" t="s">
        <v>1936</v>
      </c>
      <c r="J1538" s="18" t="s">
        <v>4327</v>
      </c>
    </row>
    <row r="1539" spans="3:10" x14ac:dyDescent="0.25">
      <c r="C1539" s="17" t="str">
        <f t="shared" si="24"/>
        <v>28.801011.-39458.6938..CLEAR SCHEDULE.</v>
      </c>
      <c r="E1539">
        <v>28</v>
      </c>
      <c r="F1539">
        <v>801011</v>
      </c>
      <c r="G1539" s="2">
        <v>-394.58</v>
      </c>
      <c r="H1539" t="s">
        <v>1937</v>
      </c>
      <c r="J1539" s="18" t="s">
        <v>4327</v>
      </c>
    </row>
    <row r="1540" spans="3:10" x14ac:dyDescent="0.25">
      <c r="C1540" s="17" t="str">
        <f t="shared" si="24"/>
        <v>28.801011.-15945.6939..CLEAR SCHEDULE.</v>
      </c>
      <c r="E1540">
        <v>28</v>
      </c>
      <c r="F1540">
        <v>801011</v>
      </c>
      <c r="G1540" s="1">
        <v>-159.44999999999999</v>
      </c>
      <c r="H1540" t="s">
        <v>1938</v>
      </c>
      <c r="J1540" s="18" t="s">
        <v>4327</v>
      </c>
    </row>
    <row r="1541" spans="3:10" x14ac:dyDescent="0.25">
      <c r="C1541" s="17" t="str">
        <f t="shared" si="24"/>
        <v>28.801011.-16724.6940..CLEAR SCHEDULE.</v>
      </c>
      <c r="E1541">
        <v>28</v>
      </c>
      <c r="F1541">
        <v>801011</v>
      </c>
      <c r="G1541" s="2">
        <v>-167.24</v>
      </c>
      <c r="H1541" t="s">
        <v>1939</v>
      </c>
      <c r="J1541" s="18" t="s">
        <v>4327</v>
      </c>
    </row>
    <row r="1542" spans="3:10" x14ac:dyDescent="0.25">
      <c r="C1542" s="17" t="str">
        <f t="shared" si="24"/>
        <v>28.801011.-12767.6941..CLEAR SCHEDULE.</v>
      </c>
      <c r="E1542">
        <v>28</v>
      </c>
      <c r="F1542">
        <v>801011</v>
      </c>
      <c r="G1542" s="1">
        <v>-127.67</v>
      </c>
      <c r="H1542" t="s">
        <v>1940</v>
      </c>
      <c r="J1542" s="18" t="s">
        <v>4327</v>
      </c>
    </row>
    <row r="1543" spans="3:10" x14ac:dyDescent="0.25">
      <c r="C1543" s="17" t="str">
        <f t="shared" si="24"/>
        <v>28.801011.-31805.6943..CLEAR SCHEDULE.</v>
      </c>
      <c r="E1543">
        <v>28</v>
      </c>
      <c r="F1543">
        <v>801011</v>
      </c>
      <c r="G1543" s="2">
        <v>-318.05</v>
      </c>
      <c r="H1543" t="s">
        <v>1941</v>
      </c>
      <c r="J1543" s="18" t="s">
        <v>4327</v>
      </c>
    </row>
    <row r="1544" spans="3:10" x14ac:dyDescent="0.25">
      <c r="C1544" s="17" t="str">
        <f t="shared" si="24"/>
        <v>28.801011.-132197.6946..CLEAR SCHEDULE.</v>
      </c>
      <c r="E1544">
        <v>28</v>
      </c>
      <c r="F1544">
        <v>801011</v>
      </c>
      <c r="G1544" s="1">
        <v>-1321.97</v>
      </c>
      <c r="H1544" t="s">
        <v>1942</v>
      </c>
      <c r="J1544" s="18" t="s">
        <v>4327</v>
      </c>
    </row>
    <row r="1545" spans="3:10" x14ac:dyDescent="0.25">
      <c r="C1545" s="17" t="str">
        <f t="shared" si="24"/>
        <v>28.801011.-6769.6947..CLEAR SCHEDULE.</v>
      </c>
      <c r="E1545">
        <v>28</v>
      </c>
      <c r="F1545">
        <v>801011</v>
      </c>
      <c r="G1545" s="2">
        <v>-67.69</v>
      </c>
      <c r="H1545" t="s">
        <v>1943</v>
      </c>
      <c r="J1545" s="18" t="s">
        <v>4327</v>
      </c>
    </row>
    <row r="1546" spans="3:10" x14ac:dyDescent="0.25">
      <c r="C1546" s="17" t="str">
        <f t="shared" si="24"/>
        <v>28.801011.-132772.6948..CLEAR SCHEDULE.</v>
      </c>
      <c r="E1546">
        <v>28</v>
      </c>
      <c r="F1546">
        <v>801011</v>
      </c>
      <c r="G1546" s="1">
        <v>-1327.72</v>
      </c>
      <c r="H1546" t="s">
        <v>1944</v>
      </c>
      <c r="J1546" s="18" t="s">
        <v>4327</v>
      </c>
    </row>
    <row r="1547" spans="3:10" x14ac:dyDescent="0.25">
      <c r="C1547" s="17" t="str">
        <f t="shared" ref="C1547:C1610" si="25">IF(G1547=0,"",(E1547&amp;"."&amp;F1547&amp;"."&amp;G1547*100&amp;"."&amp;H1547&amp;"."&amp;I1547&amp;"."&amp;J1547&amp;"."&amp;K1547))</f>
        <v>28.801011.-37697.6949..CLEAR SCHEDULE.</v>
      </c>
      <c r="E1547">
        <v>28</v>
      </c>
      <c r="F1547">
        <v>801011</v>
      </c>
      <c r="G1547" s="2">
        <v>-376.97</v>
      </c>
      <c r="H1547" t="s">
        <v>1945</v>
      </c>
      <c r="J1547" s="18" t="s">
        <v>4327</v>
      </c>
    </row>
    <row r="1548" spans="3:10" x14ac:dyDescent="0.25">
      <c r="C1548" s="17" t="str">
        <f t="shared" si="25"/>
        <v>28.801011.-10798.6950..CLEAR SCHEDULE.</v>
      </c>
      <c r="E1548">
        <v>28</v>
      </c>
      <c r="F1548">
        <v>801011</v>
      </c>
      <c r="G1548" s="1">
        <v>-107.98</v>
      </c>
      <c r="H1548" t="s">
        <v>1946</v>
      </c>
      <c r="J1548" s="18" t="s">
        <v>4327</v>
      </c>
    </row>
    <row r="1549" spans="3:10" x14ac:dyDescent="0.25">
      <c r="C1549" s="17" t="str">
        <f t="shared" si="25"/>
        <v>28.801011.-30811.6951..CLEAR SCHEDULE.</v>
      </c>
      <c r="E1549">
        <v>28</v>
      </c>
      <c r="F1549">
        <v>801011</v>
      </c>
      <c r="G1549" s="2">
        <v>-308.11</v>
      </c>
      <c r="H1549" t="s">
        <v>1947</v>
      </c>
      <c r="J1549" s="18" t="s">
        <v>4327</v>
      </c>
    </row>
    <row r="1550" spans="3:10" x14ac:dyDescent="0.25">
      <c r="C1550" s="17" t="str">
        <f t="shared" si="25"/>
        <v>28.801011.-13000.6952..CLEAR SCHEDULE.</v>
      </c>
      <c r="E1550">
        <v>28</v>
      </c>
      <c r="F1550">
        <v>801011</v>
      </c>
      <c r="G1550" s="1">
        <v>-130</v>
      </c>
      <c r="H1550" t="s">
        <v>1948</v>
      </c>
      <c r="J1550" s="18" t="s">
        <v>4327</v>
      </c>
    </row>
    <row r="1551" spans="3:10" x14ac:dyDescent="0.25">
      <c r="C1551" s="17" t="str">
        <f t="shared" si="25"/>
        <v>28.801011.-11680.6954..CLEAR SCHEDULE.</v>
      </c>
      <c r="E1551">
        <v>28</v>
      </c>
      <c r="F1551">
        <v>801011</v>
      </c>
      <c r="G1551" s="2">
        <v>-116.8</v>
      </c>
      <c r="H1551" t="s">
        <v>1949</v>
      </c>
      <c r="J1551" s="18" t="s">
        <v>4327</v>
      </c>
    </row>
    <row r="1552" spans="3:10" x14ac:dyDescent="0.25">
      <c r="C1552" s="17" t="str">
        <f t="shared" si="25"/>
        <v>28.801011.-10261.6956..CLEAR SCHEDULE.</v>
      </c>
      <c r="E1552">
        <v>28</v>
      </c>
      <c r="F1552">
        <v>801011</v>
      </c>
      <c r="G1552" s="1">
        <v>-102.61</v>
      </c>
      <c r="H1552" t="s">
        <v>1950</v>
      </c>
      <c r="J1552" s="18" t="s">
        <v>4327</v>
      </c>
    </row>
    <row r="1553" spans="3:10" x14ac:dyDescent="0.25">
      <c r="C1553" s="17" t="str">
        <f t="shared" si="25"/>
        <v>28.801011.-5415.6957..CLEAR SCHEDULE.</v>
      </c>
      <c r="E1553">
        <v>28</v>
      </c>
      <c r="F1553">
        <v>801011</v>
      </c>
      <c r="G1553" s="2">
        <v>-54.15</v>
      </c>
      <c r="H1553" t="s">
        <v>1951</v>
      </c>
      <c r="J1553" s="18" t="s">
        <v>4327</v>
      </c>
    </row>
    <row r="1554" spans="3:10" x14ac:dyDescent="0.25">
      <c r="C1554" s="17" t="str">
        <f t="shared" si="25"/>
        <v>28.801011.-21448.6958..CLEAR SCHEDULE.</v>
      </c>
      <c r="E1554">
        <v>28</v>
      </c>
      <c r="F1554">
        <v>801011</v>
      </c>
      <c r="G1554" s="1">
        <v>-214.48</v>
      </c>
      <c r="H1554" t="s">
        <v>1952</v>
      </c>
      <c r="J1554" s="18" t="s">
        <v>4327</v>
      </c>
    </row>
    <row r="1555" spans="3:10" x14ac:dyDescent="0.25">
      <c r="C1555" s="17" t="str">
        <f t="shared" si="25"/>
        <v>28.801011.-13000.6961..CLEAR SCHEDULE.</v>
      </c>
      <c r="E1555">
        <v>28</v>
      </c>
      <c r="F1555">
        <v>801011</v>
      </c>
      <c r="G1555" s="2">
        <v>-130</v>
      </c>
      <c r="H1555" t="s">
        <v>1953</v>
      </c>
      <c r="J1555" s="18" t="s">
        <v>4327</v>
      </c>
    </row>
    <row r="1556" spans="3:10" x14ac:dyDescent="0.25">
      <c r="C1556" s="17" t="str">
        <f t="shared" si="25"/>
        <v>28.801011.-65502.6970..CLEAR SCHEDULE.</v>
      </c>
      <c r="E1556">
        <v>28</v>
      </c>
      <c r="F1556">
        <v>801011</v>
      </c>
      <c r="G1556" s="1">
        <v>-655.02</v>
      </c>
      <c r="H1556" t="s">
        <v>1954</v>
      </c>
      <c r="J1556" s="18" t="s">
        <v>4327</v>
      </c>
    </row>
    <row r="1557" spans="3:10" x14ac:dyDescent="0.25">
      <c r="C1557" s="17" t="str">
        <f t="shared" si="25"/>
        <v>28.801011.-20252.6971..CLEAR SCHEDULE.</v>
      </c>
      <c r="E1557">
        <v>28</v>
      </c>
      <c r="F1557">
        <v>801011</v>
      </c>
      <c r="G1557" s="2">
        <v>-202.52</v>
      </c>
      <c r="H1557" t="s">
        <v>1955</v>
      </c>
      <c r="J1557" s="18" t="s">
        <v>4327</v>
      </c>
    </row>
    <row r="1558" spans="3:10" x14ac:dyDescent="0.25">
      <c r="C1558" s="17" t="str">
        <f t="shared" si="25"/>
        <v>28.801011.-14387.6972..CLEAR SCHEDULE.</v>
      </c>
      <c r="E1558">
        <v>28</v>
      </c>
      <c r="F1558">
        <v>801011</v>
      </c>
      <c r="G1558" s="1">
        <v>-143.87</v>
      </c>
      <c r="H1558" t="s">
        <v>1956</v>
      </c>
      <c r="J1558" s="18" t="s">
        <v>4327</v>
      </c>
    </row>
    <row r="1559" spans="3:10" x14ac:dyDescent="0.25">
      <c r="C1559" s="17" t="str">
        <f t="shared" si="25"/>
        <v>28.801011.-8659.6974..CLEAR SCHEDULE.</v>
      </c>
      <c r="E1559">
        <v>28</v>
      </c>
      <c r="F1559">
        <v>801011</v>
      </c>
      <c r="G1559" s="2">
        <v>-86.59</v>
      </c>
      <c r="H1559" t="s">
        <v>1957</v>
      </c>
      <c r="J1559" s="18" t="s">
        <v>4327</v>
      </c>
    </row>
    <row r="1560" spans="3:10" x14ac:dyDescent="0.25">
      <c r="C1560" s="17" t="str">
        <f t="shared" si="25"/>
        <v>28.801011.-15945.6981..CLEAR SCHEDULE.</v>
      </c>
      <c r="E1560">
        <v>28</v>
      </c>
      <c r="F1560">
        <v>801011</v>
      </c>
      <c r="G1560" s="1">
        <v>-159.44999999999999</v>
      </c>
      <c r="H1560" t="s">
        <v>1958</v>
      </c>
      <c r="J1560" s="18" t="s">
        <v>4327</v>
      </c>
    </row>
    <row r="1561" spans="3:10" x14ac:dyDescent="0.25">
      <c r="C1561" s="17" t="str">
        <f t="shared" si="25"/>
        <v>28.801011.-14387.6982..CLEAR SCHEDULE.</v>
      </c>
      <c r="E1561">
        <v>28</v>
      </c>
      <c r="F1561">
        <v>801011</v>
      </c>
      <c r="G1561" s="2">
        <v>-143.87</v>
      </c>
      <c r="H1561" t="s">
        <v>1959</v>
      </c>
      <c r="J1561" s="18" t="s">
        <v>4327</v>
      </c>
    </row>
    <row r="1562" spans="3:10" x14ac:dyDescent="0.25">
      <c r="C1562" s="17" t="str">
        <f t="shared" si="25"/>
        <v>28.801011.-145782.6984..CLEAR SCHEDULE.</v>
      </c>
      <c r="E1562">
        <v>28</v>
      </c>
      <c r="F1562">
        <v>801011</v>
      </c>
      <c r="G1562" s="1">
        <v>-1457.82</v>
      </c>
      <c r="H1562" t="s">
        <v>1960</v>
      </c>
      <c r="J1562" s="18" t="s">
        <v>4327</v>
      </c>
    </row>
    <row r="1563" spans="3:10" x14ac:dyDescent="0.25">
      <c r="C1563" s="17" t="str">
        <f t="shared" si="25"/>
        <v>28.801011.-43983.6985..CLEAR SCHEDULE.</v>
      </c>
      <c r="E1563">
        <v>28</v>
      </c>
      <c r="F1563">
        <v>801011</v>
      </c>
      <c r="G1563" s="2">
        <v>-439.83</v>
      </c>
      <c r="H1563" t="s">
        <v>1961</v>
      </c>
      <c r="J1563" s="18" t="s">
        <v>4327</v>
      </c>
    </row>
    <row r="1564" spans="3:10" x14ac:dyDescent="0.25">
      <c r="C1564" s="17" t="str">
        <f t="shared" si="25"/>
        <v>28.801011.-5415.6986..CLEAR SCHEDULE.</v>
      </c>
      <c r="E1564">
        <v>28</v>
      </c>
      <c r="F1564">
        <v>801011</v>
      </c>
      <c r="G1564" s="1">
        <v>-54.15</v>
      </c>
      <c r="H1564" t="s">
        <v>1962</v>
      </c>
      <c r="J1564" s="18" t="s">
        <v>4327</v>
      </c>
    </row>
    <row r="1565" spans="3:10" x14ac:dyDescent="0.25">
      <c r="C1565" s="17" t="str">
        <f t="shared" si="25"/>
        <v>28.801011.-8972.6987..CLEAR SCHEDULE.</v>
      </c>
      <c r="E1565">
        <v>28</v>
      </c>
      <c r="F1565">
        <v>801011</v>
      </c>
      <c r="G1565" s="2">
        <v>-89.72</v>
      </c>
      <c r="H1565" t="s">
        <v>1963</v>
      </c>
      <c r="J1565" s="18" t="s">
        <v>4327</v>
      </c>
    </row>
    <row r="1566" spans="3:10" x14ac:dyDescent="0.25">
      <c r="C1566" s="17" t="str">
        <f t="shared" si="25"/>
        <v>28.801011.-8972.6989..CLEAR SCHEDULE.</v>
      </c>
      <c r="E1566">
        <v>28</v>
      </c>
      <c r="F1566">
        <v>801011</v>
      </c>
      <c r="G1566" s="1">
        <v>-89.72</v>
      </c>
      <c r="H1566" t="s">
        <v>1964</v>
      </c>
      <c r="J1566" s="18" t="s">
        <v>4327</v>
      </c>
    </row>
    <row r="1567" spans="3:10" x14ac:dyDescent="0.25">
      <c r="C1567" s="17" t="str">
        <f t="shared" si="25"/>
        <v>28.801011.-20000.6990..CLEAR SCHEDULE.</v>
      </c>
      <c r="E1567">
        <v>28</v>
      </c>
      <c r="F1567">
        <v>801011</v>
      </c>
      <c r="G1567" s="2">
        <v>-200</v>
      </c>
      <c r="H1567" t="s">
        <v>1965</v>
      </c>
      <c r="J1567" s="18" t="s">
        <v>4327</v>
      </c>
    </row>
    <row r="1568" spans="3:10" x14ac:dyDescent="0.25">
      <c r="C1568" s="17" t="str">
        <f t="shared" si="25"/>
        <v>28.801011.-42051.6992..CLEAR SCHEDULE.</v>
      </c>
      <c r="E1568">
        <v>28</v>
      </c>
      <c r="F1568">
        <v>801011</v>
      </c>
      <c r="G1568" s="1">
        <v>-420.51</v>
      </c>
      <c r="H1568" t="s">
        <v>1966</v>
      </c>
      <c r="J1568" s="18" t="s">
        <v>4327</v>
      </c>
    </row>
    <row r="1569" spans="3:10" x14ac:dyDescent="0.25">
      <c r="C1569" s="17" t="str">
        <f t="shared" si="25"/>
        <v>28.801011.-14387.6993..CLEAR SCHEDULE.</v>
      </c>
      <c r="E1569">
        <v>28</v>
      </c>
      <c r="F1569">
        <v>801011</v>
      </c>
      <c r="G1569" s="2">
        <v>-143.87</v>
      </c>
      <c r="H1569" t="s">
        <v>1967</v>
      </c>
      <c r="J1569" s="18" t="s">
        <v>4327</v>
      </c>
    </row>
    <row r="1570" spans="3:10" x14ac:dyDescent="0.25">
      <c r="C1570" s="17" t="str">
        <f t="shared" si="25"/>
        <v>28.801011.-24202.6996..CLEAR SCHEDULE.</v>
      </c>
      <c r="E1570">
        <v>28</v>
      </c>
      <c r="F1570">
        <v>801011</v>
      </c>
      <c r="G1570" s="1">
        <v>-242.02</v>
      </c>
      <c r="H1570" t="s">
        <v>1968</v>
      </c>
      <c r="J1570" s="18" t="s">
        <v>4327</v>
      </c>
    </row>
    <row r="1571" spans="3:10" x14ac:dyDescent="0.25">
      <c r="C1571" s="17" t="str">
        <f t="shared" si="25"/>
        <v>28.801011.-93677.7001..CLEAR SCHEDULE.</v>
      </c>
      <c r="E1571">
        <v>28</v>
      </c>
      <c r="F1571">
        <v>801011</v>
      </c>
      <c r="G1571" s="2">
        <v>-936.77</v>
      </c>
      <c r="H1571" t="s">
        <v>1969</v>
      </c>
      <c r="J1571" s="18" t="s">
        <v>4327</v>
      </c>
    </row>
    <row r="1572" spans="3:10" x14ac:dyDescent="0.25">
      <c r="C1572" s="17" t="str">
        <f t="shared" si="25"/>
        <v>28.801011.-77253.7002..CLEAR SCHEDULE.</v>
      </c>
      <c r="E1572">
        <v>28</v>
      </c>
      <c r="F1572">
        <v>801011</v>
      </c>
      <c r="G1572" s="1">
        <v>-772.53</v>
      </c>
      <c r="H1572" t="s">
        <v>1970</v>
      </c>
      <c r="J1572" s="18" t="s">
        <v>4327</v>
      </c>
    </row>
    <row r="1573" spans="3:10" x14ac:dyDescent="0.25">
      <c r="C1573" s="17" t="str">
        <f t="shared" si="25"/>
        <v>28.801011.-22389.7007..CLEAR SCHEDULE.</v>
      </c>
      <c r="E1573">
        <v>28</v>
      </c>
      <c r="F1573">
        <v>801011</v>
      </c>
      <c r="G1573" s="2">
        <v>-223.89</v>
      </c>
      <c r="H1573" t="s">
        <v>1971</v>
      </c>
      <c r="J1573" s="18" t="s">
        <v>4327</v>
      </c>
    </row>
    <row r="1574" spans="3:10" x14ac:dyDescent="0.25">
      <c r="C1574" s="17" t="str">
        <f t="shared" si="25"/>
        <v>28.801011.-8972.7008..CLEAR SCHEDULE.</v>
      </c>
      <c r="E1574">
        <v>28</v>
      </c>
      <c r="F1574">
        <v>801011</v>
      </c>
      <c r="G1574" s="1">
        <v>-89.72</v>
      </c>
      <c r="H1574" t="s">
        <v>1972</v>
      </c>
      <c r="J1574" s="18" t="s">
        <v>4327</v>
      </c>
    </row>
    <row r="1575" spans="3:10" x14ac:dyDescent="0.25">
      <c r="C1575" s="17" t="str">
        <f t="shared" si="25"/>
        <v>28.801011.-10901.7009..CLEAR SCHEDULE.</v>
      </c>
      <c r="E1575">
        <v>28</v>
      </c>
      <c r="F1575">
        <v>801011</v>
      </c>
      <c r="G1575" s="2">
        <v>-109.01</v>
      </c>
      <c r="H1575" t="s">
        <v>1973</v>
      </c>
      <c r="J1575" s="18" t="s">
        <v>4327</v>
      </c>
    </row>
    <row r="1576" spans="3:10" x14ac:dyDescent="0.25">
      <c r="C1576" s="17" t="str">
        <f t="shared" si="25"/>
        <v>28.801011.-14387.7010..CLEAR SCHEDULE.</v>
      </c>
      <c r="E1576">
        <v>28</v>
      </c>
      <c r="F1576">
        <v>801011</v>
      </c>
      <c r="G1576" s="1">
        <v>-143.87</v>
      </c>
      <c r="H1576" t="s">
        <v>1974</v>
      </c>
      <c r="J1576" s="18" t="s">
        <v>4327</v>
      </c>
    </row>
    <row r="1577" spans="3:10" x14ac:dyDescent="0.25">
      <c r="C1577" s="17" t="str">
        <f t="shared" si="25"/>
        <v>28.801011.-14387.7011..CLEAR SCHEDULE.</v>
      </c>
      <c r="E1577">
        <v>28</v>
      </c>
      <c r="F1577">
        <v>801011</v>
      </c>
      <c r="G1577" s="2">
        <v>-143.87</v>
      </c>
      <c r="H1577" t="s">
        <v>1975</v>
      </c>
      <c r="J1577" s="18" t="s">
        <v>4327</v>
      </c>
    </row>
    <row r="1578" spans="3:10" x14ac:dyDescent="0.25">
      <c r="C1578" s="17" t="str">
        <f t="shared" si="25"/>
        <v>28.801011.-49354.7014..CLEAR SCHEDULE.</v>
      </c>
      <c r="E1578">
        <v>28</v>
      </c>
      <c r="F1578">
        <v>801011</v>
      </c>
      <c r="G1578" s="1">
        <v>-493.54</v>
      </c>
      <c r="H1578" t="s">
        <v>1976</v>
      </c>
      <c r="J1578" s="18" t="s">
        <v>4327</v>
      </c>
    </row>
    <row r="1579" spans="3:10" x14ac:dyDescent="0.25">
      <c r="C1579" s="17" t="str">
        <f t="shared" si="25"/>
        <v>28.801011.-50151.7016..CLEAR SCHEDULE.</v>
      </c>
      <c r="E1579">
        <v>28</v>
      </c>
      <c r="F1579">
        <v>801011</v>
      </c>
      <c r="G1579" s="2">
        <v>-501.51</v>
      </c>
      <c r="H1579" t="s">
        <v>1977</v>
      </c>
      <c r="J1579" s="18" t="s">
        <v>4327</v>
      </c>
    </row>
    <row r="1580" spans="3:10" x14ac:dyDescent="0.25">
      <c r="C1580" s="17" t="str">
        <f t="shared" si="25"/>
        <v>28.801011.-177293.7017..CLEAR SCHEDULE.</v>
      </c>
      <c r="E1580">
        <v>28</v>
      </c>
      <c r="F1580">
        <v>801011</v>
      </c>
      <c r="G1580" s="1">
        <v>-1772.93</v>
      </c>
      <c r="H1580" t="s">
        <v>1978</v>
      </c>
      <c r="J1580" s="18" t="s">
        <v>4327</v>
      </c>
    </row>
    <row r="1581" spans="3:10" x14ac:dyDescent="0.25">
      <c r="C1581" s="17" t="str">
        <f t="shared" si="25"/>
        <v>28.801011.-17872.7018..CLEAR SCHEDULE.</v>
      </c>
      <c r="E1581">
        <v>28</v>
      </c>
      <c r="F1581">
        <v>801011</v>
      </c>
      <c r="G1581" s="2">
        <v>-178.72</v>
      </c>
      <c r="H1581" t="s">
        <v>1979</v>
      </c>
      <c r="J1581" s="18" t="s">
        <v>4327</v>
      </c>
    </row>
    <row r="1582" spans="3:10" x14ac:dyDescent="0.25">
      <c r="C1582" s="17" t="str">
        <f t="shared" si="25"/>
        <v>28.801011.-35887.7020..CLEAR SCHEDULE.</v>
      </c>
      <c r="E1582">
        <v>28</v>
      </c>
      <c r="F1582">
        <v>801011</v>
      </c>
      <c r="G1582" s="1">
        <v>-358.87</v>
      </c>
      <c r="H1582" t="s">
        <v>1980</v>
      </c>
      <c r="J1582" s="18" t="s">
        <v>4327</v>
      </c>
    </row>
    <row r="1583" spans="3:10" x14ac:dyDescent="0.25">
      <c r="C1583" s="17" t="str">
        <f t="shared" si="25"/>
        <v>28.801011.-5925.7025..CLEAR SCHEDULE.</v>
      </c>
      <c r="E1583">
        <v>28</v>
      </c>
      <c r="F1583">
        <v>801011</v>
      </c>
      <c r="G1583" s="2">
        <v>-59.25</v>
      </c>
      <c r="H1583" t="s">
        <v>1981</v>
      </c>
      <c r="J1583" s="18" t="s">
        <v>4327</v>
      </c>
    </row>
    <row r="1584" spans="3:10" x14ac:dyDescent="0.25">
      <c r="C1584" s="17" t="str">
        <f t="shared" si="25"/>
        <v>28.801011.-11040.7028..CLEAR SCHEDULE.</v>
      </c>
      <c r="E1584">
        <v>28</v>
      </c>
      <c r="F1584">
        <v>801011</v>
      </c>
      <c r="G1584" s="1">
        <v>-110.4</v>
      </c>
      <c r="H1584" t="s">
        <v>1982</v>
      </c>
      <c r="J1584" s="18" t="s">
        <v>4327</v>
      </c>
    </row>
    <row r="1585" spans="3:10" x14ac:dyDescent="0.25">
      <c r="C1585" s="17" t="str">
        <f t="shared" si="25"/>
        <v>28.801011.-23493.7030..CLEAR SCHEDULE.</v>
      </c>
      <c r="E1585">
        <v>28</v>
      </c>
      <c r="F1585">
        <v>801011</v>
      </c>
      <c r="G1585" s="2">
        <v>-234.93</v>
      </c>
      <c r="H1585" t="s">
        <v>1983</v>
      </c>
      <c r="J1585" s="18" t="s">
        <v>4327</v>
      </c>
    </row>
    <row r="1586" spans="3:10" x14ac:dyDescent="0.25">
      <c r="C1586" s="17" t="str">
        <f t="shared" si="25"/>
        <v>28.801011.-8972.7031..CLEAR SCHEDULE.</v>
      </c>
      <c r="E1586">
        <v>28</v>
      </c>
      <c r="F1586">
        <v>801011</v>
      </c>
      <c r="G1586" s="1">
        <v>-89.72</v>
      </c>
      <c r="H1586" t="s">
        <v>1984</v>
      </c>
      <c r="J1586" s="18" t="s">
        <v>4327</v>
      </c>
    </row>
    <row r="1587" spans="3:10" x14ac:dyDescent="0.25">
      <c r="C1587" s="17" t="str">
        <f t="shared" si="25"/>
        <v>28.801011.-163540.7033..CLEAR SCHEDULE.</v>
      </c>
      <c r="E1587">
        <v>28</v>
      </c>
      <c r="F1587">
        <v>801011</v>
      </c>
      <c r="G1587" s="2">
        <v>-1635.4</v>
      </c>
      <c r="H1587" t="s">
        <v>1985</v>
      </c>
      <c r="J1587" s="18" t="s">
        <v>4327</v>
      </c>
    </row>
    <row r="1588" spans="3:10" x14ac:dyDescent="0.25">
      <c r="C1588" s="17" t="str">
        <f t="shared" si="25"/>
        <v>28.801011.-71882.7035..CLEAR SCHEDULE.</v>
      </c>
      <c r="E1588">
        <v>28</v>
      </c>
      <c r="F1588">
        <v>801011</v>
      </c>
      <c r="G1588" s="1">
        <v>-718.82</v>
      </c>
      <c r="H1588" t="s">
        <v>1986</v>
      </c>
      <c r="J1588" s="18" t="s">
        <v>4327</v>
      </c>
    </row>
    <row r="1589" spans="3:10" x14ac:dyDescent="0.25">
      <c r="C1589" s="17" t="str">
        <f t="shared" si="25"/>
        <v>28.801011.-25157.7036..CLEAR SCHEDULE.</v>
      </c>
      <c r="E1589">
        <v>28</v>
      </c>
      <c r="F1589">
        <v>801011</v>
      </c>
      <c r="G1589" s="2">
        <v>-251.57</v>
      </c>
      <c r="H1589" t="s">
        <v>1987</v>
      </c>
      <c r="J1589" s="18" t="s">
        <v>4327</v>
      </c>
    </row>
    <row r="1590" spans="3:10" x14ac:dyDescent="0.25">
      <c r="C1590" s="17" t="str">
        <f t="shared" si="25"/>
        <v>28.801011.-46677.7037..CLEAR SCHEDULE.</v>
      </c>
      <c r="E1590">
        <v>28</v>
      </c>
      <c r="F1590">
        <v>801011</v>
      </c>
      <c r="G1590" s="1">
        <v>-466.77</v>
      </c>
      <c r="H1590" t="s">
        <v>1988</v>
      </c>
      <c r="J1590" s="18" t="s">
        <v>4327</v>
      </c>
    </row>
    <row r="1591" spans="3:10" x14ac:dyDescent="0.25">
      <c r="C1591" s="17" t="str">
        <f t="shared" si="25"/>
        <v>28.801011.-5415.7038..CLEAR SCHEDULE.</v>
      </c>
      <c r="E1591">
        <v>28</v>
      </c>
      <c r="F1591">
        <v>801011</v>
      </c>
      <c r="G1591" s="2">
        <v>-54.15</v>
      </c>
      <c r="H1591" t="s">
        <v>1989</v>
      </c>
      <c r="J1591" s="18" t="s">
        <v>4327</v>
      </c>
    </row>
    <row r="1592" spans="3:10" x14ac:dyDescent="0.25">
      <c r="C1592" s="17" t="str">
        <f t="shared" si="25"/>
        <v>28.801011.-89506.7039..CLEAR SCHEDULE.</v>
      </c>
      <c r="E1592">
        <v>28</v>
      </c>
      <c r="F1592">
        <v>801011</v>
      </c>
      <c r="G1592" s="1">
        <v>-895.06</v>
      </c>
      <c r="H1592" t="s">
        <v>1990</v>
      </c>
      <c r="J1592" s="18" t="s">
        <v>4327</v>
      </c>
    </row>
    <row r="1593" spans="3:10" x14ac:dyDescent="0.25">
      <c r="C1593" s="17" t="str">
        <f t="shared" si="25"/>
        <v>28.801011.-15945.7041..CLEAR SCHEDULE.</v>
      </c>
      <c r="E1593">
        <v>28</v>
      </c>
      <c r="F1593">
        <v>801011</v>
      </c>
      <c r="G1593" s="2">
        <v>-159.44999999999999</v>
      </c>
      <c r="H1593" t="s">
        <v>1991</v>
      </c>
      <c r="J1593" s="18" t="s">
        <v>4327</v>
      </c>
    </row>
    <row r="1594" spans="3:10" x14ac:dyDescent="0.25">
      <c r="C1594" s="17" t="str">
        <f t="shared" si="25"/>
        <v>28.801011.-15945.7043..CLEAR SCHEDULE.</v>
      </c>
      <c r="E1594">
        <v>28</v>
      </c>
      <c r="F1594">
        <v>801011</v>
      </c>
      <c r="G1594" s="1">
        <v>-159.44999999999999</v>
      </c>
      <c r="H1594" t="s">
        <v>1992</v>
      </c>
      <c r="J1594" s="18" t="s">
        <v>4327</v>
      </c>
    </row>
    <row r="1595" spans="3:10" x14ac:dyDescent="0.25">
      <c r="C1595" s="17" t="str">
        <f t="shared" si="25"/>
        <v>28.801011.-14387.7048..CLEAR SCHEDULE.</v>
      </c>
      <c r="E1595">
        <v>28</v>
      </c>
      <c r="F1595">
        <v>801011</v>
      </c>
      <c r="G1595" s="2">
        <v>-143.87</v>
      </c>
      <c r="H1595" t="s">
        <v>1993</v>
      </c>
      <c r="J1595" s="18" t="s">
        <v>4327</v>
      </c>
    </row>
    <row r="1596" spans="3:10" x14ac:dyDescent="0.25">
      <c r="C1596" s="17" t="str">
        <f t="shared" si="25"/>
        <v>28.801011.-10122.7050..CLEAR SCHEDULE.</v>
      </c>
      <c r="E1596">
        <v>28</v>
      </c>
      <c r="F1596">
        <v>801011</v>
      </c>
      <c r="G1596" s="1">
        <v>-101.22</v>
      </c>
      <c r="H1596" t="s">
        <v>1994</v>
      </c>
      <c r="J1596" s="18" t="s">
        <v>4327</v>
      </c>
    </row>
    <row r="1597" spans="3:10" x14ac:dyDescent="0.25">
      <c r="C1597" s="17" t="str">
        <f t="shared" si="25"/>
        <v>28.801011.-63347.7051..CLEAR SCHEDULE.</v>
      </c>
      <c r="E1597">
        <v>28</v>
      </c>
      <c r="F1597">
        <v>801011</v>
      </c>
      <c r="G1597" s="2">
        <v>-633.47</v>
      </c>
      <c r="H1597" t="s">
        <v>1995</v>
      </c>
      <c r="J1597" s="18" t="s">
        <v>4327</v>
      </c>
    </row>
    <row r="1598" spans="3:10" x14ac:dyDescent="0.25">
      <c r="C1598" s="17" t="str">
        <f t="shared" si="25"/>
        <v>28.801011.-5415.7052..CLEAR SCHEDULE.</v>
      </c>
      <c r="E1598">
        <v>28</v>
      </c>
      <c r="F1598">
        <v>801011</v>
      </c>
      <c r="G1598" s="1">
        <v>-54.15</v>
      </c>
      <c r="H1598" t="s">
        <v>1996</v>
      </c>
      <c r="J1598" s="18" t="s">
        <v>4327</v>
      </c>
    </row>
    <row r="1599" spans="3:10" x14ac:dyDescent="0.25">
      <c r="C1599" s="17" t="str">
        <f t="shared" si="25"/>
        <v>28.801011.-40913.7057..CLEAR SCHEDULE.</v>
      </c>
      <c r="E1599">
        <v>28</v>
      </c>
      <c r="F1599">
        <v>801011</v>
      </c>
      <c r="G1599" s="2">
        <v>-409.13</v>
      </c>
      <c r="H1599" t="s">
        <v>1997</v>
      </c>
      <c r="J1599" s="18" t="s">
        <v>4327</v>
      </c>
    </row>
    <row r="1600" spans="3:10" x14ac:dyDescent="0.25">
      <c r="C1600" s="17" t="str">
        <f t="shared" si="25"/>
        <v>28.801011.-34809.7062..CLEAR SCHEDULE.</v>
      </c>
      <c r="E1600">
        <v>28</v>
      </c>
      <c r="F1600">
        <v>801011</v>
      </c>
      <c r="G1600" s="1">
        <v>-348.09</v>
      </c>
      <c r="H1600" t="s">
        <v>1998</v>
      </c>
      <c r="J1600" s="18" t="s">
        <v>4327</v>
      </c>
    </row>
    <row r="1601" spans="3:10" x14ac:dyDescent="0.25">
      <c r="C1601" s="17" t="str">
        <f t="shared" si="25"/>
        <v>28.801011.-15166.7063..CLEAR SCHEDULE.</v>
      </c>
      <c r="E1601">
        <v>28</v>
      </c>
      <c r="F1601">
        <v>801011</v>
      </c>
      <c r="G1601" s="2">
        <v>-151.66</v>
      </c>
      <c r="H1601" t="s">
        <v>1999</v>
      </c>
      <c r="J1601" s="18" t="s">
        <v>4327</v>
      </c>
    </row>
    <row r="1602" spans="3:10" x14ac:dyDescent="0.25">
      <c r="C1602" s="17" t="str">
        <f t="shared" si="25"/>
        <v>28.801011.-14387.7064..CLEAR SCHEDULE.</v>
      </c>
      <c r="E1602">
        <v>28</v>
      </c>
      <c r="F1602">
        <v>801011</v>
      </c>
      <c r="G1602" s="1">
        <v>-143.87</v>
      </c>
      <c r="H1602" t="s">
        <v>2000</v>
      </c>
      <c r="J1602" s="18" t="s">
        <v>4327</v>
      </c>
    </row>
    <row r="1603" spans="3:10" x14ac:dyDescent="0.25">
      <c r="C1603" s="17" t="str">
        <f t="shared" si="25"/>
        <v>28.801011.-36313.7066..CLEAR SCHEDULE.</v>
      </c>
      <c r="E1603">
        <v>28</v>
      </c>
      <c r="F1603">
        <v>801011</v>
      </c>
      <c r="G1603" s="2">
        <v>-363.13</v>
      </c>
      <c r="H1603" t="s">
        <v>2001</v>
      </c>
      <c r="J1603" s="18" t="s">
        <v>4327</v>
      </c>
    </row>
    <row r="1604" spans="3:10" x14ac:dyDescent="0.25">
      <c r="C1604" s="17" t="str">
        <f t="shared" si="25"/>
        <v>28.801011.-10530.7067..CLEAR SCHEDULE.</v>
      </c>
      <c r="E1604">
        <v>28</v>
      </c>
      <c r="F1604">
        <v>801011</v>
      </c>
      <c r="G1604" s="1">
        <v>-105.3</v>
      </c>
      <c r="H1604" t="s">
        <v>2002</v>
      </c>
      <c r="J1604" s="18" t="s">
        <v>4327</v>
      </c>
    </row>
    <row r="1605" spans="3:10" x14ac:dyDescent="0.25">
      <c r="C1605" s="17" t="str">
        <f t="shared" si="25"/>
        <v>28.801011.-14387.7072..CLEAR SCHEDULE.</v>
      </c>
      <c r="E1605">
        <v>28</v>
      </c>
      <c r="F1605">
        <v>801011</v>
      </c>
      <c r="G1605" s="2">
        <v>-143.87</v>
      </c>
      <c r="H1605" t="s">
        <v>2003</v>
      </c>
      <c r="J1605" s="18" t="s">
        <v>4327</v>
      </c>
    </row>
    <row r="1606" spans="3:10" x14ac:dyDescent="0.25">
      <c r="C1606" s="17" t="str">
        <f t="shared" si="25"/>
        <v>28.801011.-100981.7073..CLEAR SCHEDULE.</v>
      </c>
      <c r="E1606">
        <v>28</v>
      </c>
      <c r="F1606">
        <v>801011</v>
      </c>
      <c r="G1606" s="1">
        <v>-1009.81</v>
      </c>
      <c r="H1606" t="s">
        <v>2004</v>
      </c>
      <c r="J1606" s="18" t="s">
        <v>4327</v>
      </c>
    </row>
    <row r="1607" spans="3:10" x14ac:dyDescent="0.25">
      <c r="C1607" s="17" t="str">
        <f t="shared" si="25"/>
        <v>28.801011.-52263.7074..CLEAR SCHEDULE.</v>
      </c>
      <c r="E1607">
        <v>28</v>
      </c>
      <c r="F1607">
        <v>801011</v>
      </c>
      <c r="G1607" s="2">
        <v>-522.63</v>
      </c>
      <c r="H1607" t="s">
        <v>2005</v>
      </c>
      <c r="J1607" s="18" t="s">
        <v>4327</v>
      </c>
    </row>
    <row r="1608" spans="3:10" x14ac:dyDescent="0.25">
      <c r="C1608" s="17" t="str">
        <f t="shared" si="25"/>
        <v>28.801011.-23000.7075..CLEAR SCHEDULE.</v>
      </c>
      <c r="E1608">
        <v>28</v>
      </c>
      <c r="F1608">
        <v>801011</v>
      </c>
      <c r="G1608" s="1">
        <v>-230</v>
      </c>
      <c r="H1608" t="s">
        <v>2006</v>
      </c>
      <c r="J1608" s="18" t="s">
        <v>4327</v>
      </c>
    </row>
    <row r="1609" spans="3:10" x14ac:dyDescent="0.25">
      <c r="C1609" s="17" t="str">
        <f t="shared" si="25"/>
        <v>28.801011.-10312.7077..CLEAR SCHEDULE.</v>
      </c>
      <c r="E1609">
        <v>28</v>
      </c>
      <c r="F1609">
        <v>801011</v>
      </c>
      <c r="G1609" s="2">
        <v>-103.12</v>
      </c>
      <c r="H1609" t="s">
        <v>2007</v>
      </c>
      <c r="J1609" s="18" t="s">
        <v>4327</v>
      </c>
    </row>
    <row r="1610" spans="3:10" x14ac:dyDescent="0.25">
      <c r="C1610" s="17" t="str">
        <f t="shared" si="25"/>
        <v>28.801011.-16021.7078..CLEAR SCHEDULE.</v>
      </c>
      <c r="E1610">
        <v>28</v>
      </c>
      <c r="F1610">
        <v>801011</v>
      </c>
      <c r="G1610" s="1">
        <v>-160.21</v>
      </c>
      <c r="H1610" t="s">
        <v>2008</v>
      </c>
      <c r="J1610" s="18" t="s">
        <v>4327</v>
      </c>
    </row>
    <row r="1611" spans="3:10" x14ac:dyDescent="0.25">
      <c r="C1611" s="17" t="str">
        <f t="shared" ref="C1611:C1674" si="26">IF(G1611=0,"",(E1611&amp;"."&amp;F1611&amp;"."&amp;G1611*100&amp;"."&amp;H1611&amp;"."&amp;I1611&amp;"."&amp;J1611&amp;"."&amp;K1611))</f>
        <v>28.801011.-79401.7080..CLEAR SCHEDULE.</v>
      </c>
      <c r="E1611">
        <v>28</v>
      </c>
      <c r="F1611">
        <v>801011</v>
      </c>
      <c r="G1611" s="2">
        <v>-794.01</v>
      </c>
      <c r="H1611" t="s">
        <v>2009</v>
      </c>
      <c r="J1611" s="18" t="s">
        <v>4327</v>
      </c>
    </row>
    <row r="1612" spans="3:10" x14ac:dyDescent="0.25">
      <c r="C1612" s="17" t="str">
        <f t="shared" si="26"/>
        <v>28.801011.-8972.7081..CLEAR SCHEDULE.</v>
      </c>
      <c r="E1612">
        <v>28</v>
      </c>
      <c r="F1612">
        <v>801011</v>
      </c>
      <c r="G1612" s="1">
        <v>-89.72</v>
      </c>
      <c r="H1612" t="s">
        <v>2010</v>
      </c>
      <c r="J1612" s="18" t="s">
        <v>4327</v>
      </c>
    </row>
    <row r="1613" spans="3:10" x14ac:dyDescent="0.25">
      <c r="C1613" s="17" t="str">
        <f t="shared" si="26"/>
        <v>28.801011.-43672.7082..CLEAR SCHEDULE.</v>
      </c>
      <c r="E1613">
        <v>28</v>
      </c>
      <c r="F1613">
        <v>801011</v>
      </c>
      <c r="G1613" s="2">
        <v>-436.72</v>
      </c>
      <c r="H1613" t="s">
        <v>2011</v>
      </c>
      <c r="J1613" s="18" t="s">
        <v>4327</v>
      </c>
    </row>
    <row r="1614" spans="3:10" x14ac:dyDescent="0.25">
      <c r="C1614" s="17" t="str">
        <f t="shared" si="26"/>
        <v>28.801011.-43003.7084..CLEAR SCHEDULE.</v>
      </c>
      <c r="E1614">
        <v>28</v>
      </c>
      <c r="F1614">
        <v>801011</v>
      </c>
      <c r="G1614" s="1">
        <v>-430.03</v>
      </c>
      <c r="H1614" t="s">
        <v>2012</v>
      </c>
      <c r="J1614" s="18" t="s">
        <v>4327</v>
      </c>
    </row>
    <row r="1615" spans="3:10" x14ac:dyDescent="0.25">
      <c r="C1615" s="17" t="str">
        <f t="shared" si="26"/>
        <v>28.801011.-31605.7086..CLEAR SCHEDULE.</v>
      </c>
      <c r="E1615">
        <v>28</v>
      </c>
      <c r="F1615">
        <v>801011</v>
      </c>
      <c r="G1615" s="2">
        <v>-316.05</v>
      </c>
      <c r="H1615" t="s">
        <v>2013</v>
      </c>
      <c r="J1615" s="18" t="s">
        <v>4327</v>
      </c>
    </row>
    <row r="1616" spans="3:10" x14ac:dyDescent="0.25">
      <c r="C1616" s="17" t="str">
        <f t="shared" si="26"/>
        <v>28.801011.-15149.7087..CLEAR SCHEDULE.</v>
      </c>
      <c r="E1616">
        <v>28</v>
      </c>
      <c r="F1616">
        <v>801011</v>
      </c>
      <c r="G1616" s="1">
        <v>-151.49</v>
      </c>
      <c r="H1616" t="s">
        <v>2014</v>
      </c>
      <c r="J1616" s="18" t="s">
        <v>4327</v>
      </c>
    </row>
    <row r="1617" spans="3:10" x14ac:dyDescent="0.25">
      <c r="C1617" s="17" t="str">
        <f t="shared" si="26"/>
        <v>28.801011.-9751.7088..CLEAR SCHEDULE.</v>
      </c>
      <c r="E1617">
        <v>28</v>
      </c>
      <c r="F1617">
        <v>801011</v>
      </c>
      <c r="G1617" s="2">
        <v>-97.51</v>
      </c>
      <c r="H1617" t="s">
        <v>2015</v>
      </c>
      <c r="J1617" s="18" t="s">
        <v>4327</v>
      </c>
    </row>
    <row r="1618" spans="3:10" x14ac:dyDescent="0.25">
      <c r="C1618" s="17" t="str">
        <f t="shared" si="26"/>
        <v>28.801011.-9590.7089..CLEAR SCHEDULE.</v>
      </c>
      <c r="E1618">
        <v>28</v>
      </c>
      <c r="F1618">
        <v>801011</v>
      </c>
      <c r="G1618" s="1">
        <v>-95.9</v>
      </c>
      <c r="H1618" t="s">
        <v>2016</v>
      </c>
      <c r="J1618" s="18" t="s">
        <v>4327</v>
      </c>
    </row>
    <row r="1619" spans="3:10" x14ac:dyDescent="0.25">
      <c r="C1619" s="17" t="str">
        <f t="shared" si="26"/>
        <v>28.801011.-210905.7090..CLEAR SCHEDULE.</v>
      </c>
      <c r="E1619">
        <v>28</v>
      </c>
      <c r="F1619">
        <v>801011</v>
      </c>
      <c r="G1619" s="2">
        <v>-2109.0500000000002</v>
      </c>
      <c r="H1619" t="s">
        <v>2017</v>
      </c>
      <c r="J1619" s="18" t="s">
        <v>4327</v>
      </c>
    </row>
    <row r="1620" spans="3:10" x14ac:dyDescent="0.25">
      <c r="C1620" s="17" t="str">
        <f t="shared" si="26"/>
        <v>28.801011.-8972.7091..CLEAR SCHEDULE.</v>
      </c>
      <c r="E1620">
        <v>28</v>
      </c>
      <c r="F1620">
        <v>801011</v>
      </c>
      <c r="G1620" s="1">
        <v>-89.72</v>
      </c>
      <c r="H1620" t="s">
        <v>2018</v>
      </c>
      <c r="J1620" s="18" t="s">
        <v>4327</v>
      </c>
    </row>
    <row r="1621" spans="3:10" x14ac:dyDescent="0.25">
      <c r="C1621" s="17" t="str">
        <f t="shared" si="26"/>
        <v>28.801011.-16724.7092..CLEAR SCHEDULE.</v>
      </c>
      <c r="E1621">
        <v>28</v>
      </c>
      <c r="F1621">
        <v>801011</v>
      </c>
      <c r="G1621" s="2">
        <v>-167.24</v>
      </c>
      <c r="H1621" t="s">
        <v>2019</v>
      </c>
      <c r="J1621" s="18" t="s">
        <v>4327</v>
      </c>
    </row>
    <row r="1622" spans="3:10" x14ac:dyDescent="0.25">
      <c r="C1622" s="17" t="str">
        <f t="shared" si="26"/>
        <v>28.801011.-18987.7094..CLEAR SCHEDULE.</v>
      </c>
      <c r="E1622">
        <v>28</v>
      </c>
      <c r="F1622">
        <v>801011</v>
      </c>
      <c r="G1622" s="1">
        <v>-189.87</v>
      </c>
      <c r="H1622" t="s">
        <v>2020</v>
      </c>
      <c r="J1622" s="18" t="s">
        <v>4327</v>
      </c>
    </row>
    <row r="1623" spans="3:10" x14ac:dyDescent="0.25">
      <c r="C1623" s="17" t="str">
        <f t="shared" si="26"/>
        <v>28.801011.-484850.7096..CLEAR SCHEDULE.</v>
      </c>
      <c r="E1623">
        <v>28</v>
      </c>
      <c r="F1623">
        <v>801011</v>
      </c>
      <c r="G1623" s="2">
        <v>-4848.5</v>
      </c>
      <c r="H1623" t="s">
        <v>2021</v>
      </c>
      <c r="J1623" s="18" t="s">
        <v>4327</v>
      </c>
    </row>
    <row r="1624" spans="3:10" x14ac:dyDescent="0.25">
      <c r="C1624" s="17" t="str">
        <f t="shared" si="26"/>
        <v>28.801011.-14387.7098..CLEAR SCHEDULE.</v>
      </c>
      <c r="E1624">
        <v>28</v>
      </c>
      <c r="F1624">
        <v>801011</v>
      </c>
      <c r="G1624" s="1">
        <v>-143.87</v>
      </c>
      <c r="H1624" t="s">
        <v>2022</v>
      </c>
      <c r="J1624" s="18" t="s">
        <v>4327</v>
      </c>
    </row>
    <row r="1625" spans="3:10" x14ac:dyDescent="0.25">
      <c r="C1625" s="17" t="str">
        <f t="shared" si="26"/>
        <v>28.801011.-10122.7101..CLEAR SCHEDULE.</v>
      </c>
      <c r="E1625">
        <v>28</v>
      </c>
      <c r="F1625">
        <v>801011</v>
      </c>
      <c r="G1625" s="2">
        <v>-101.22</v>
      </c>
      <c r="H1625" t="s">
        <v>2023</v>
      </c>
      <c r="J1625" s="18" t="s">
        <v>4327</v>
      </c>
    </row>
    <row r="1626" spans="3:10" x14ac:dyDescent="0.25">
      <c r="C1626" s="17" t="str">
        <f t="shared" si="26"/>
        <v>28.801011.-14387.7103..CLEAR SCHEDULE.</v>
      </c>
      <c r="E1626">
        <v>28</v>
      </c>
      <c r="F1626">
        <v>801011</v>
      </c>
      <c r="G1626" s="1">
        <v>-143.87</v>
      </c>
      <c r="H1626" t="s">
        <v>2024</v>
      </c>
      <c r="J1626" s="18" t="s">
        <v>4327</v>
      </c>
    </row>
    <row r="1627" spans="3:10" x14ac:dyDescent="0.25">
      <c r="C1627" s="17" t="str">
        <f t="shared" si="26"/>
        <v>28.801011.-31818.7104..CLEAR SCHEDULE.</v>
      </c>
      <c r="E1627">
        <v>28</v>
      </c>
      <c r="F1627">
        <v>801011</v>
      </c>
      <c r="G1627" s="2">
        <v>-318.18</v>
      </c>
      <c r="H1627" t="s">
        <v>2025</v>
      </c>
      <c r="J1627" s="18" t="s">
        <v>4327</v>
      </c>
    </row>
    <row r="1628" spans="3:10" x14ac:dyDescent="0.25">
      <c r="C1628" s="17" t="str">
        <f t="shared" si="26"/>
        <v>28.801011.-23366.7106..CLEAR SCHEDULE.</v>
      </c>
      <c r="E1628">
        <v>28</v>
      </c>
      <c r="F1628">
        <v>801011</v>
      </c>
      <c r="G1628" s="1">
        <v>-233.66</v>
      </c>
      <c r="H1628" t="s">
        <v>2026</v>
      </c>
      <c r="J1628" s="18" t="s">
        <v>4327</v>
      </c>
    </row>
    <row r="1629" spans="3:10" x14ac:dyDescent="0.25">
      <c r="C1629" s="17" t="str">
        <f t="shared" si="26"/>
        <v>28.801011.-14387.7114..CLEAR SCHEDULE.</v>
      </c>
      <c r="E1629">
        <v>28</v>
      </c>
      <c r="F1629">
        <v>801011</v>
      </c>
      <c r="G1629" s="2">
        <v>-143.87</v>
      </c>
      <c r="H1629" t="s">
        <v>2027</v>
      </c>
      <c r="J1629" s="18" t="s">
        <v>4327</v>
      </c>
    </row>
    <row r="1630" spans="3:10" x14ac:dyDescent="0.25">
      <c r="C1630" s="17" t="str">
        <f t="shared" si="26"/>
        <v>28.801011.-9751.7115..CLEAR SCHEDULE.</v>
      </c>
      <c r="E1630">
        <v>28</v>
      </c>
      <c r="F1630">
        <v>801011</v>
      </c>
      <c r="G1630" s="1">
        <v>-97.51</v>
      </c>
      <c r="H1630" t="s">
        <v>2028</v>
      </c>
      <c r="J1630" s="18" t="s">
        <v>4327</v>
      </c>
    </row>
    <row r="1631" spans="3:10" x14ac:dyDescent="0.25">
      <c r="C1631" s="17" t="str">
        <f t="shared" si="26"/>
        <v>28.801011.-16724.7118..CLEAR SCHEDULE.</v>
      </c>
      <c r="E1631">
        <v>28</v>
      </c>
      <c r="F1631">
        <v>801011</v>
      </c>
      <c r="G1631" s="2">
        <v>-167.24</v>
      </c>
      <c r="H1631" t="s">
        <v>2029</v>
      </c>
      <c r="J1631" s="18" t="s">
        <v>4327</v>
      </c>
    </row>
    <row r="1632" spans="3:10" x14ac:dyDescent="0.25">
      <c r="C1632" s="17" t="str">
        <f t="shared" si="26"/>
        <v>28.801011.-9751.7119..CLEAR SCHEDULE.</v>
      </c>
      <c r="E1632">
        <v>28</v>
      </c>
      <c r="F1632">
        <v>801011</v>
      </c>
      <c r="G1632" s="1">
        <v>-97.51</v>
      </c>
      <c r="H1632" t="s">
        <v>2030</v>
      </c>
      <c r="J1632" s="18" t="s">
        <v>4327</v>
      </c>
    </row>
    <row r="1633" spans="3:10" x14ac:dyDescent="0.25">
      <c r="C1633" s="17" t="str">
        <f t="shared" si="26"/>
        <v>28.801011.-27247.7120..CLEAR SCHEDULE.</v>
      </c>
      <c r="E1633">
        <v>28</v>
      </c>
      <c r="F1633">
        <v>801011</v>
      </c>
      <c r="G1633" s="2">
        <v>-272.47000000000003</v>
      </c>
      <c r="H1633" t="s">
        <v>2031</v>
      </c>
      <c r="J1633" s="18" t="s">
        <v>4327</v>
      </c>
    </row>
    <row r="1634" spans="3:10" x14ac:dyDescent="0.25">
      <c r="C1634" s="17" t="str">
        <f t="shared" si="26"/>
        <v>28.801011.-16746.7124..CLEAR SCHEDULE.</v>
      </c>
      <c r="E1634">
        <v>28</v>
      </c>
      <c r="F1634">
        <v>801011</v>
      </c>
      <c r="G1634" s="1">
        <v>-167.46</v>
      </c>
      <c r="H1634" t="s">
        <v>2032</v>
      </c>
      <c r="J1634" s="18" t="s">
        <v>4327</v>
      </c>
    </row>
    <row r="1635" spans="3:10" x14ac:dyDescent="0.25">
      <c r="C1635" s="17" t="str">
        <f t="shared" si="26"/>
        <v>28.801011.-32422.7125..CLEAR SCHEDULE.</v>
      </c>
      <c r="E1635">
        <v>28</v>
      </c>
      <c r="F1635">
        <v>801011</v>
      </c>
      <c r="G1635" s="2">
        <v>-324.22000000000003</v>
      </c>
      <c r="H1635" t="s">
        <v>2033</v>
      </c>
      <c r="J1635" s="18" t="s">
        <v>4327</v>
      </c>
    </row>
    <row r="1636" spans="3:10" x14ac:dyDescent="0.25">
      <c r="C1636" s="17" t="str">
        <f t="shared" si="26"/>
        <v>28.801011.-8972.7128..CLEAR SCHEDULE.</v>
      </c>
      <c r="E1636">
        <v>28</v>
      </c>
      <c r="F1636">
        <v>801011</v>
      </c>
      <c r="G1636" s="1">
        <v>-89.72</v>
      </c>
      <c r="H1636" t="s">
        <v>2034</v>
      </c>
      <c r="J1636" s="18" t="s">
        <v>4327</v>
      </c>
    </row>
    <row r="1637" spans="3:10" x14ac:dyDescent="0.25">
      <c r="C1637" s="17" t="str">
        <f t="shared" si="26"/>
        <v>28.801011.-15166.7129..CLEAR SCHEDULE.</v>
      </c>
      <c r="E1637">
        <v>28</v>
      </c>
      <c r="F1637">
        <v>801011</v>
      </c>
      <c r="G1637" s="2">
        <v>-151.66</v>
      </c>
      <c r="H1637" t="s">
        <v>2035</v>
      </c>
      <c r="J1637" s="18" t="s">
        <v>4327</v>
      </c>
    </row>
    <row r="1638" spans="3:10" x14ac:dyDescent="0.25">
      <c r="C1638" s="17" t="str">
        <f t="shared" si="26"/>
        <v>28.801011.-31631.7130..CLEAR SCHEDULE.</v>
      </c>
      <c r="E1638">
        <v>28</v>
      </c>
      <c r="F1638">
        <v>801011</v>
      </c>
      <c r="G1638" s="1">
        <v>-316.31</v>
      </c>
      <c r="H1638" t="s">
        <v>2036</v>
      </c>
      <c r="J1638" s="18" t="s">
        <v>4327</v>
      </c>
    </row>
    <row r="1639" spans="3:10" x14ac:dyDescent="0.25">
      <c r="C1639" s="17" t="str">
        <f t="shared" si="26"/>
        <v>28.801011.-32708.7131..CLEAR SCHEDULE.</v>
      </c>
      <c r="E1639">
        <v>28</v>
      </c>
      <c r="F1639">
        <v>801011</v>
      </c>
      <c r="G1639" s="2">
        <v>-327.08</v>
      </c>
      <c r="H1639" t="s">
        <v>2037</v>
      </c>
      <c r="J1639" s="18" t="s">
        <v>4327</v>
      </c>
    </row>
    <row r="1640" spans="3:10" x14ac:dyDescent="0.25">
      <c r="C1640" s="17" t="str">
        <f t="shared" si="26"/>
        <v>28.801011.-52891.7132..CLEAR SCHEDULE.</v>
      </c>
      <c r="E1640">
        <v>28</v>
      </c>
      <c r="F1640">
        <v>801011</v>
      </c>
      <c r="G1640" s="1">
        <v>-528.91</v>
      </c>
      <c r="H1640" t="s">
        <v>2038</v>
      </c>
      <c r="J1640" s="18" t="s">
        <v>4327</v>
      </c>
    </row>
    <row r="1641" spans="3:10" x14ac:dyDescent="0.25">
      <c r="C1641" s="17" t="str">
        <f t="shared" si="26"/>
        <v>28.801011.-5415.7136..CLEAR SCHEDULE.</v>
      </c>
      <c r="E1641">
        <v>28</v>
      </c>
      <c r="F1641">
        <v>801011</v>
      </c>
      <c r="G1641" s="2">
        <v>-54.15</v>
      </c>
      <c r="H1641" t="s">
        <v>2039</v>
      </c>
      <c r="J1641" s="18" t="s">
        <v>4327</v>
      </c>
    </row>
    <row r="1642" spans="3:10" x14ac:dyDescent="0.25">
      <c r="C1642" s="17" t="str">
        <f t="shared" si="26"/>
        <v>28.801011.-14387.7140..CLEAR SCHEDULE.</v>
      </c>
      <c r="E1642">
        <v>28</v>
      </c>
      <c r="F1642">
        <v>801011</v>
      </c>
      <c r="G1642" s="1">
        <v>-143.87</v>
      </c>
      <c r="H1642" t="s">
        <v>2040</v>
      </c>
      <c r="J1642" s="18" t="s">
        <v>4327</v>
      </c>
    </row>
    <row r="1643" spans="3:10" x14ac:dyDescent="0.25">
      <c r="C1643" s="17" t="str">
        <f t="shared" si="26"/>
        <v>28.801011.-8972.7142..CLEAR SCHEDULE.</v>
      </c>
      <c r="E1643">
        <v>28</v>
      </c>
      <c r="F1643">
        <v>801011</v>
      </c>
      <c r="G1643" s="2">
        <v>-89.72</v>
      </c>
      <c r="H1643" t="s">
        <v>2041</v>
      </c>
      <c r="J1643" s="18" t="s">
        <v>4327</v>
      </c>
    </row>
    <row r="1644" spans="3:10" x14ac:dyDescent="0.25">
      <c r="C1644" s="17" t="str">
        <f t="shared" si="26"/>
        <v>28.801011.-14387.7144..CLEAR SCHEDULE.</v>
      </c>
      <c r="E1644">
        <v>28</v>
      </c>
      <c r="F1644">
        <v>801011</v>
      </c>
      <c r="G1644" s="1">
        <v>-143.87</v>
      </c>
      <c r="H1644" t="s">
        <v>2042</v>
      </c>
      <c r="J1644" s="18" t="s">
        <v>4327</v>
      </c>
    </row>
    <row r="1645" spans="3:10" x14ac:dyDescent="0.25">
      <c r="C1645" s="17" t="str">
        <f t="shared" si="26"/>
        <v>28.801011.-60350.7147..CLEAR SCHEDULE.</v>
      </c>
      <c r="E1645">
        <v>28</v>
      </c>
      <c r="F1645">
        <v>801011</v>
      </c>
      <c r="G1645" s="2">
        <v>-603.5</v>
      </c>
      <c r="H1645" t="s">
        <v>2043</v>
      </c>
      <c r="J1645" s="18" t="s">
        <v>4327</v>
      </c>
    </row>
    <row r="1646" spans="3:10" x14ac:dyDescent="0.25">
      <c r="C1646" s="17" t="str">
        <f t="shared" si="26"/>
        <v>28.801011.-29589.7148..CLEAR SCHEDULE.</v>
      </c>
      <c r="E1646">
        <v>28</v>
      </c>
      <c r="F1646">
        <v>801011</v>
      </c>
      <c r="G1646" s="1">
        <v>-295.89</v>
      </c>
      <c r="H1646" t="s">
        <v>2044</v>
      </c>
      <c r="J1646" s="18" t="s">
        <v>4327</v>
      </c>
    </row>
    <row r="1647" spans="3:10" x14ac:dyDescent="0.25">
      <c r="C1647" s="17" t="str">
        <f t="shared" si="26"/>
        <v>28.801011.-15945.7149..CLEAR SCHEDULE.</v>
      </c>
      <c r="E1647">
        <v>28</v>
      </c>
      <c r="F1647">
        <v>801011</v>
      </c>
      <c r="G1647" s="2">
        <v>-159.44999999999999</v>
      </c>
      <c r="H1647" t="s">
        <v>2045</v>
      </c>
      <c r="J1647" s="18" t="s">
        <v>4327</v>
      </c>
    </row>
    <row r="1648" spans="3:10" x14ac:dyDescent="0.25">
      <c r="C1648" s="17" t="str">
        <f t="shared" si="26"/>
        <v>28.801011.-5415.7150..CLEAR SCHEDULE.</v>
      </c>
      <c r="E1648">
        <v>28</v>
      </c>
      <c r="F1648">
        <v>801011</v>
      </c>
      <c r="G1648" s="1">
        <v>-54.15</v>
      </c>
      <c r="H1648" t="s">
        <v>2046</v>
      </c>
      <c r="J1648" s="18" t="s">
        <v>4327</v>
      </c>
    </row>
    <row r="1649" spans="3:10" x14ac:dyDescent="0.25">
      <c r="C1649" s="17" t="str">
        <f t="shared" si="26"/>
        <v>28.801011.-10530.7151..CLEAR SCHEDULE.</v>
      </c>
      <c r="E1649">
        <v>28</v>
      </c>
      <c r="F1649">
        <v>801011</v>
      </c>
      <c r="G1649" s="2">
        <v>-105.3</v>
      </c>
      <c r="H1649" t="s">
        <v>2047</v>
      </c>
      <c r="J1649" s="18" t="s">
        <v>4327</v>
      </c>
    </row>
    <row r="1650" spans="3:10" x14ac:dyDescent="0.25">
      <c r="C1650" s="17" t="str">
        <f t="shared" si="26"/>
        <v>28.801011.-5415.7152..CLEAR SCHEDULE.</v>
      </c>
      <c r="E1650">
        <v>28</v>
      </c>
      <c r="F1650">
        <v>801011</v>
      </c>
      <c r="G1650" s="1">
        <v>-54.15</v>
      </c>
      <c r="H1650" t="s">
        <v>2048</v>
      </c>
      <c r="J1650" s="18" t="s">
        <v>4327</v>
      </c>
    </row>
    <row r="1651" spans="3:10" x14ac:dyDescent="0.25">
      <c r="C1651" s="17" t="str">
        <f t="shared" si="26"/>
        <v>28.801011.-596650.7155..CLEAR SCHEDULE.</v>
      </c>
      <c r="E1651">
        <v>28</v>
      </c>
      <c r="F1651">
        <v>801011</v>
      </c>
      <c r="G1651" s="2">
        <v>-5966.5</v>
      </c>
      <c r="H1651" t="s">
        <v>2049</v>
      </c>
      <c r="J1651" s="18" t="s">
        <v>4327</v>
      </c>
    </row>
    <row r="1652" spans="3:10" x14ac:dyDescent="0.25">
      <c r="C1652" s="17" t="str">
        <f t="shared" si="26"/>
        <v>28.801011.-16724.7156..CLEAR SCHEDULE.</v>
      </c>
      <c r="E1652">
        <v>28</v>
      </c>
      <c r="F1652">
        <v>801011</v>
      </c>
      <c r="G1652" s="1">
        <v>-167.24</v>
      </c>
      <c r="H1652" t="s">
        <v>2050</v>
      </c>
      <c r="J1652" s="18" t="s">
        <v>4327</v>
      </c>
    </row>
    <row r="1653" spans="3:10" x14ac:dyDescent="0.25">
      <c r="C1653" s="17" t="str">
        <f t="shared" si="26"/>
        <v>28.801011.-63428.7158..CLEAR SCHEDULE.</v>
      </c>
      <c r="E1653">
        <v>28</v>
      </c>
      <c r="F1653">
        <v>801011</v>
      </c>
      <c r="G1653" s="2">
        <v>-634.28</v>
      </c>
      <c r="H1653" t="s">
        <v>2051</v>
      </c>
      <c r="J1653" s="18" t="s">
        <v>4327</v>
      </c>
    </row>
    <row r="1654" spans="3:10" x14ac:dyDescent="0.25">
      <c r="C1654" s="17" t="str">
        <f t="shared" si="26"/>
        <v>28.801011.-193220.7159..CLEAR SCHEDULE.</v>
      </c>
      <c r="E1654">
        <v>28</v>
      </c>
      <c r="F1654">
        <v>801011</v>
      </c>
      <c r="G1654" s="1">
        <v>-1932.2</v>
      </c>
      <c r="H1654" t="s">
        <v>2052</v>
      </c>
      <c r="J1654" s="18" t="s">
        <v>4327</v>
      </c>
    </row>
    <row r="1655" spans="3:10" x14ac:dyDescent="0.25">
      <c r="C1655" s="17" t="str">
        <f t="shared" si="26"/>
        <v>28.801011.-28032.7160..CLEAR SCHEDULE.</v>
      </c>
      <c r="E1655">
        <v>28</v>
      </c>
      <c r="F1655">
        <v>801011</v>
      </c>
      <c r="G1655" s="2">
        <v>-280.32</v>
      </c>
      <c r="H1655" t="s">
        <v>2053</v>
      </c>
      <c r="J1655" s="18" t="s">
        <v>4327</v>
      </c>
    </row>
    <row r="1656" spans="3:10" x14ac:dyDescent="0.25">
      <c r="C1656" s="17" t="str">
        <f t="shared" si="26"/>
        <v>28.801011.-15166.7164..CLEAR SCHEDULE.</v>
      </c>
      <c r="E1656">
        <v>28</v>
      </c>
      <c r="F1656">
        <v>801011</v>
      </c>
      <c r="G1656" s="1">
        <v>-151.66</v>
      </c>
      <c r="H1656" t="s">
        <v>2054</v>
      </c>
      <c r="J1656" s="18" t="s">
        <v>4327</v>
      </c>
    </row>
    <row r="1657" spans="3:10" x14ac:dyDescent="0.25">
      <c r="C1657" s="17" t="str">
        <f t="shared" si="26"/>
        <v>28.801011.-11309.7165..CLEAR SCHEDULE.</v>
      </c>
      <c r="E1657">
        <v>28</v>
      </c>
      <c r="F1657">
        <v>801011</v>
      </c>
      <c r="G1657" s="2">
        <v>-113.09</v>
      </c>
      <c r="H1657" t="s">
        <v>2055</v>
      </c>
      <c r="J1657" s="18" t="s">
        <v>4327</v>
      </c>
    </row>
    <row r="1658" spans="3:10" x14ac:dyDescent="0.25">
      <c r="C1658" s="17" t="str">
        <f t="shared" si="26"/>
        <v>28.801011.-14387.7167..CLEAR SCHEDULE.</v>
      </c>
      <c r="E1658">
        <v>28</v>
      </c>
      <c r="F1658">
        <v>801011</v>
      </c>
      <c r="G1658" s="1">
        <v>-143.87</v>
      </c>
      <c r="H1658" t="s">
        <v>2056</v>
      </c>
      <c r="J1658" s="18" t="s">
        <v>4327</v>
      </c>
    </row>
    <row r="1659" spans="3:10" x14ac:dyDescent="0.25">
      <c r="C1659" s="17" t="str">
        <f t="shared" si="26"/>
        <v>28.801011.-280676.7170..CLEAR SCHEDULE.</v>
      </c>
      <c r="E1659">
        <v>28</v>
      </c>
      <c r="F1659">
        <v>801011</v>
      </c>
      <c r="G1659" s="2">
        <v>-2806.76</v>
      </c>
      <c r="H1659" t="s">
        <v>2057</v>
      </c>
      <c r="J1659" s="18" t="s">
        <v>4327</v>
      </c>
    </row>
    <row r="1660" spans="3:10" x14ac:dyDescent="0.25">
      <c r="C1660" s="17" t="str">
        <f t="shared" si="26"/>
        <v>28.801011.-8972.7171..CLEAR SCHEDULE.</v>
      </c>
      <c r="E1660">
        <v>28</v>
      </c>
      <c r="F1660">
        <v>801011</v>
      </c>
      <c r="G1660" s="1">
        <v>-89.72</v>
      </c>
      <c r="H1660" t="s">
        <v>2058</v>
      </c>
      <c r="J1660" s="18" t="s">
        <v>4327</v>
      </c>
    </row>
    <row r="1661" spans="3:10" x14ac:dyDescent="0.25">
      <c r="C1661" s="17" t="str">
        <f t="shared" si="26"/>
        <v>28.801011.-14387.7172..CLEAR SCHEDULE.</v>
      </c>
      <c r="E1661">
        <v>28</v>
      </c>
      <c r="F1661">
        <v>801011</v>
      </c>
      <c r="G1661" s="2">
        <v>-143.87</v>
      </c>
      <c r="H1661" t="s">
        <v>2059</v>
      </c>
      <c r="J1661" s="18" t="s">
        <v>4327</v>
      </c>
    </row>
    <row r="1662" spans="3:10" x14ac:dyDescent="0.25">
      <c r="C1662" s="17" t="str">
        <f t="shared" si="26"/>
        <v>28.801011.-62656.7173..CLEAR SCHEDULE.</v>
      </c>
      <c r="E1662">
        <v>28</v>
      </c>
      <c r="F1662">
        <v>801011</v>
      </c>
      <c r="G1662" s="1">
        <v>-626.55999999999995</v>
      </c>
      <c r="H1662" t="s">
        <v>2060</v>
      </c>
      <c r="J1662" s="18" t="s">
        <v>4327</v>
      </c>
    </row>
    <row r="1663" spans="3:10" x14ac:dyDescent="0.25">
      <c r="C1663" s="17" t="str">
        <f t="shared" si="26"/>
        <v>28.801011.-65481.7174..CLEAR SCHEDULE.</v>
      </c>
      <c r="E1663">
        <v>28</v>
      </c>
      <c r="F1663">
        <v>801011</v>
      </c>
      <c r="G1663" s="2">
        <v>-654.80999999999995</v>
      </c>
      <c r="H1663" t="s">
        <v>2061</v>
      </c>
      <c r="J1663" s="18" t="s">
        <v>4327</v>
      </c>
    </row>
    <row r="1664" spans="3:10" x14ac:dyDescent="0.25">
      <c r="C1664" s="17" t="str">
        <f t="shared" si="26"/>
        <v>28.801011.-14387.7176..CLEAR SCHEDULE.</v>
      </c>
      <c r="E1664">
        <v>28</v>
      </c>
      <c r="F1664">
        <v>801011</v>
      </c>
      <c r="G1664" s="1">
        <v>-143.87</v>
      </c>
      <c r="H1664" t="s">
        <v>2062</v>
      </c>
      <c r="J1664" s="18" t="s">
        <v>4327</v>
      </c>
    </row>
    <row r="1665" spans="3:10" x14ac:dyDescent="0.25">
      <c r="C1665" s="17" t="str">
        <f t="shared" si="26"/>
        <v>28.801011.-19742.7179..CLEAR SCHEDULE.</v>
      </c>
      <c r="E1665">
        <v>28</v>
      </c>
      <c r="F1665">
        <v>801011</v>
      </c>
      <c r="G1665" s="2">
        <v>-197.42</v>
      </c>
      <c r="H1665" t="s">
        <v>2063</v>
      </c>
      <c r="J1665" s="18" t="s">
        <v>4327</v>
      </c>
    </row>
    <row r="1666" spans="3:10" x14ac:dyDescent="0.25">
      <c r="C1666" s="17" t="str">
        <f t="shared" si="26"/>
        <v>28.801011.-20734.7180..CLEAR SCHEDULE.</v>
      </c>
      <c r="E1666">
        <v>28</v>
      </c>
      <c r="F1666">
        <v>801011</v>
      </c>
      <c r="G1666" s="1">
        <v>-207.34</v>
      </c>
      <c r="H1666" t="s">
        <v>2064</v>
      </c>
      <c r="J1666" s="18" t="s">
        <v>4327</v>
      </c>
    </row>
    <row r="1667" spans="3:10" x14ac:dyDescent="0.25">
      <c r="C1667" s="17" t="str">
        <f t="shared" si="26"/>
        <v>28.801011.-141036.7183..CLEAR SCHEDULE.</v>
      </c>
      <c r="E1667">
        <v>28</v>
      </c>
      <c r="F1667">
        <v>801011</v>
      </c>
      <c r="G1667" s="2">
        <v>-1410.36</v>
      </c>
      <c r="H1667" t="s">
        <v>2065</v>
      </c>
      <c r="J1667" s="18" t="s">
        <v>4327</v>
      </c>
    </row>
    <row r="1668" spans="3:10" x14ac:dyDescent="0.25">
      <c r="C1668" s="17" t="str">
        <f t="shared" si="26"/>
        <v>28.801011.-14387.7188..CLEAR SCHEDULE.</v>
      </c>
      <c r="E1668">
        <v>28</v>
      </c>
      <c r="F1668">
        <v>801011</v>
      </c>
      <c r="G1668" s="1">
        <v>-143.87</v>
      </c>
      <c r="H1668" t="s">
        <v>2066</v>
      </c>
      <c r="J1668" s="18" t="s">
        <v>4327</v>
      </c>
    </row>
    <row r="1669" spans="3:10" x14ac:dyDescent="0.25">
      <c r="C1669" s="17" t="str">
        <f t="shared" si="26"/>
        <v>28.801011.-14920.7189..CLEAR SCHEDULE.</v>
      </c>
      <c r="E1669">
        <v>28</v>
      </c>
      <c r="F1669">
        <v>801011</v>
      </c>
      <c r="G1669" s="2">
        <v>-149.19999999999999</v>
      </c>
      <c r="H1669" t="s">
        <v>2067</v>
      </c>
      <c r="J1669" s="18" t="s">
        <v>4327</v>
      </c>
    </row>
    <row r="1670" spans="3:10" x14ac:dyDescent="0.25">
      <c r="C1670" s="17" t="str">
        <f t="shared" si="26"/>
        <v>28.801011.-27025.7192..CLEAR SCHEDULE.</v>
      </c>
      <c r="E1670">
        <v>28</v>
      </c>
      <c r="F1670">
        <v>801011</v>
      </c>
      <c r="G1670" s="1">
        <v>-270.25</v>
      </c>
      <c r="H1670" t="s">
        <v>2068</v>
      </c>
      <c r="J1670" s="18" t="s">
        <v>4327</v>
      </c>
    </row>
    <row r="1671" spans="3:10" x14ac:dyDescent="0.25">
      <c r="C1671" s="17" t="str">
        <f t="shared" si="26"/>
        <v>28.801011.-126174.7197..CLEAR SCHEDULE.</v>
      </c>
      <c r="E1671">
        <v>28</v>
      </c>
      <c r="F1671">
        <v>801011</v>
      </c>
      <c r="G1671" s="2">
        <v>-1261.74</v>
      </c>
      <c r="H1671" t="s">
        <v>2069</v>
      </c>
      <c r="J1671" s="18" t="s">
        <v>4327</v>
      </c>
    </row>
    <row r="1672" spans="3:10" x14ac:dyDescent="0.25">
      <c r="C1672" s="17" t="str">
        <f t="shared" si="26"/>
        <v>28.801011.-56428.7199..CLEAR SCHEDULE.</v>
      </c>
      <c r="E1672">
        <v>28</v>
      </c>
      <c r="F1672">
        <v>801011</v>
      </c>
      <c r="G1672" s="1">
        <v>-564.28</v>
      </c>
      <c r="H1672" t="s">
        <v>2070</v>
      </c>
      <c r="J1672" s="18" t="s">
        <v>4327</v>
      </c>
    </row>
    <row r="1673" spans="3:10" x14ac:dyDescent="0.25">
      <c r="C1673" s="17" t="str">
        <f t="shared" si="26"/>
        <v>28.801011.-15166.7200..CLEAR SCHEDULE.</v>
      </c>
      <c r="E1673">
        <v>28</v>
      </c>
      <c r="F1673">
        <v>801011</v>
      </c>
      <c r="G1673" s="2">
        <v>-151.66</v>
      </c>
      <c r="H1673" t="s">
        <v>2071</v>
      </c>
      <c r="J1673" s="18" t="s">
        <v>4327</v>
      </c>
    </row>
    <row r="1674" spans="3:10" x14ac:dyDescent="0.25">
      <c r="C1674" s="17" t="str">
        <f t="shared" si="26"/>
        <v>28.801011.-54176.7203..CLEAR SCHEDULE.</v>
      </c>
      <c r="E1674">
        <v>28</v>
      </c>
      <c r="F1674">
        <v>801011</v>
      </c>
      <c r="G1674" s="1">
        <v>-541.76</v>
      </c>
      <c r="H1674" t="s">
        <v>2072</v>
      </c>
      <c r="J1674" s="18" t="s">
        <v>4327</v>
      </c>
    </row>
    <row r="1675" spans="3:10" x14ac:dyDescent="0.25">
      <c r="C1675" s="17" t="str">
        <f t="shared" ref="C1675:C1738" si="27">IF(G1675=0,"",(E1675&amp;"."&amp;F1675&amp;"."&amp;G1675*100&amp;"."&amp;H1675&amp;"."&amp;I1675&amp;"."&amp;J1675&amp;"."&amp;K1675))</f>
        <v>28.801011.-19742.7204..CLEAR SCHEDULE.</v>
      </c>
      <c r="E1675">
        <v>28</v>
      </c>
      <c r="F1675">
        <v>801011</v>
      </c>
      <c r="G1675" s="2">
        <v>-197.42</v>
      </c>
      <c r="H1675" t="s">
        <v>2073</v>
      </c>
      <c r="J1675" s="18" t="s">
        <v>4327</v>
      </c>
    </row>
    <row r="1676" spans="3:10" x14ac:dyDescent="0.25">
      <c r="C1676" s="17" t="str">
        <f t="shared" si="27"/>
        <v>28.801011.-122350.7205..CLEAR SCHEDULE.</v>
      </c>
      <c r="E1676">
        <v>28</v>
      </c>
      <c r="F1676">
        <v>801011</v>
      </c>
      <c r="G1676" s="1">
        <v>-1223.5</v>
      </c>
      <c r="H1676" t="s">
        <v>2074</v>
      </c>
      <c r="J1676" s="18" t="s">
        <v>4327</v>
      </c>
    </row>
    <row r="1677" spans="3:10" x14ac:dyDescent="0.25">
      <c r="C1677" s="17" t="str">
        <f t="shared" si="27"/>
        <v>28.801011.-41267.7207..CLEAR SCHEDULE.</v>
      </c>
      <c r="E1677">
        <v>28</v>
      </c>
      <c r="F1677">
        <v>801011</v>
      </c>
      <c r="G1677" s="2">
        <v>-412.67</v>
      </c>
      <c r="H1677" t="s">
        <v>2075</v>
      </c>
      <c r="J1677" s="18" t="s">
        <v>4327</v>
      </c>
    </row>
    <row r="1678" spans="3:10" x14ac:dyDescent="0.25">
      <c r="C1678" s="17" t="str">
        <f t="shared" si="27"/>
        <v>28.801011.-5798.7208..CLEAR SCHEDULE.</v>
      </c>
      <c r="E1678">
        <v>28</v>
      </c>
      <c r="F1678">
        <v>801011</v>
      </c>
      <c r="G1678" s="1">
        <v>-57.98</v>
      </c>
      <c r="H1678" t="s">
        <v>2076</v>
      </c>
      <c r="J1678" s="18" t="s">
        <v>4327</v>
      </c>
    </row>
    <row r="1679" spans="3:10" x14ac:dyDescent="0.25">
      <c r="C1679" s="17" t="str">
        <f t="shared" si="27"/>
        <v>28.801011.-15166.7209..CLEAR SCHEDULE.</v>
      </c>
      <c r="E1679">
        <v>28</v>
      </c>
      <c r="F1679">
        <v>801011</v>
      </c>
      <c r="G1679" s="2">
        <v>-151.66</v>
      </c>
      <c r="H1679" t="s">
        <v>2077</v>
      </c>
      <c r="J1679" s="18" t="s">
        <v>4327</v>
      </c>
    </row>
    <row r="1680" spans="3:10" x14ac:dyDescent="0.25">
      <c r="C1680" s="17" t="str">
        <f t="shared" si="27"/>
        <v>28.801011.-16724.7210..CLEAR SCHEDULE.</v>
      </c>
      <c r="E1680">
        <v>28</v>
      </c>
      <c r="F1680">
        <v>801011</v>
      </c>
      <c r="G1680" s="1">
        <v>-167.24</v>
      </c>
      <c r="H1680" t="s">
        <v>2078</v>
      </c>
      <c r="J1680" s="18" t="s">
        <v>4327</v>
      </c>
    </row>
    <row r="1681" spans="3:10" x14ac:dyDescent="0.25">
      <c r="C1681" s="17" t="str">
        <f t="shared" si="27"/>
        <v>28.801011.-4200.7212..CLEAR SCHEDULE.</v>
      </c>
      <c r="E1681">
        <v>28</v>
      </c>
      <c r="F1681">
        <v>801011</v>
      </c>
      <c r="G1681" s="2">
        <v>-42</v>
      </c>
      <c r="H1681" t="s">
        <v>2079</v>
      </c>
      <c r="J1681" s="18" t="s">
        <v>4327</v>
      </c>
    </row>
    <row r="1682" spans="3:10" x14ac:dyDescent="0.25">
      <c r="C1682" s="17" t="str">
        <f t="shared" si="27"/>
        <v>28.801011.-10530.7213..CLEAR SCHEDULE.</v>
      </c>
      <c r="E1682">
        <v>28</v>
      </c>
      <c r="F1682">
        <v>801011</v>
      </c>
      <c r="G1682" s="1">
        <v>-105.3</v>
      </c>
      <c r="H1682" t="s">
        <v>2080</v>
      </c>
      <c r="J1682" s="18" t="s">
        <v>4327</v>
      </c>
    </row>
    <row r="1683" spans="3:10" x14ac:dyDescent="0.25">
      <c r="C1683" s="17" t="str">
        <f t="shared" si="27"/>
        <v>28.801011.-77380.7217..CLEAR SCHEDULE.</v>
      </c>
      <c r="E1683">
        <v>28</v>
      </c>
      <c r="F1683">
        <v>801011</v>
      </c>
      <c r="G1683" s="2">
        <v>-773.8</v>
      </c>
      <c r="H1683" t="s">
        <v>2081</v>
      </c>
      <c r="J1683" s="18" t="s">
        <v>4327</v>
      </c>
    </row>
    <row r="1684" spans="3:10" x14ac:dyDescent="0.25">
      <c r="C1684" s="17" t="str">
        <f t="shared" si="27"/>
        <v>28.801011.-11309.7220..CLEAR SCHEDULE.</v>
      </c>
      <c r="E1684">
        <v>28</v>
      </c>
      <c r="F1684">
        <v>801011</v>
      </c>
      <c r="G1684" s="1">
        <v>-113.09</v>
      </c>
      <c r="H1684" t="s">
        <v>2082</v>
      </c>
      <c r="J1684" s="18" t="s">
        <v>4327</v>
      </c>
    </row>
    <row r="1685" spans="3:10" x14ac:dyDescent="0.25">
      <c r="C1685" s="17" t="str">
        <f t="shared" si="27"/>
        <v>28.801011.-14387.7221..CLEAR SCHEDULE.</v>
      </c>
      <c r="E1685">
        <v>28</v>
      </c>
      <c r="F1685">
        <v>801011</v>
      </c>
      <c r="G1685" s="2">
        <v>-143.87</v>
      </c>
      <c r="H1685" t="s">
        <v>2083</v>
      </c>
      <c r="J1685" s="18" t="s">
        <v>4327</v>
      </c>
    </row>
    <row r="1686" spans="3:10" x14ac:dyDescent="0.25">
      <c r="C1686" s="17" t="str">
        <f t="shared" si="27"/>
        <v>28.801011.-205647.7224..CLEAR SCHEDULE.</v>
      </c>
      <c r="E1686">
        <v>28</v>
      </c>
      <c r="F1686">
        <v>801011</v>
      </c>
      <c r="G1686" s="1">
        <v>-2056.4699999999998</v>
      </c>
      <c r="H1686" t="s">
        <v>2084</v>
      </c>
      <c r="J1686" s="18" t="s">
        <v>4327</v>
      </c>
    </row>
    <row r="1687" spans="3:10" x14ac:dyDescent="0.25">
      <c r="C1687" s="17" t="str">
        <f t="shared" si="27"/>
        <v>28.801011.-5415.7225..CLEAR SCHEDULE.</v>
      </c>
      <c r="E1687">
        <v>28</v>
      </c>
      <c r="F1687">
        <v>801011</v>
      </c>
      <c r="G1687" s="2">
        <v>-54.15</v>
      </c>
      <c r="H1687" t="s">
        <v>2085</v>
      </c>
      <c r="J1687" s="18" t="s">
        <v>4327</v>
      </c>
    </row>
    <row r="1688" spans="3:10" x14ac:dyDescent="0.25">
      <c r="C1688" s="17" t="str">
        <f t="shared" si="27"/>
        <v>28.801011.-8972.7226..CLEAR SCHEDULE.</v>
      </c>
      <c r="E1688">
        <v>28</v>
      </c>
      <c r="F1688">
        <v>801011</v>
      </c>
      <c r="G1688" s="1">
        <v>-89.72</v>
      </c>
      <c r="H1688" t="s">
        <v>2086</v>
      </c>
      <c r="J1688" s="18" t="s">
        <v>4327</v>
      </c>
    </row>
    <row r="1689" spans="3:10" x14ac:dyDescent="0.25">
      <c r="C1689" s="17" t="str">
        <f t="shared" si="27"/>
        <v>28.801011.-15166.7227..CLEAR SCHEDULE.</v>
      </c>
      <c r="E1689">
        <v>28</v>
      </c>
      <c r="F1689">
        <v>801011</v>
      </c>
      <c r="G1689" s="2">
        <v>-151.66</v>
      </c>
      <c r="H1689" t="s">
        <v>2087</v>
      </c>
      <c r="J1689" s="18" t="s">
        <v>4327</v>
      </c>
    </row>
    <row r="1690" spans="3:10" x14ac:dyDescent="0.25">
      <c r="C1690" s="17" t="str">
        <f t="shared" si="27"/>
        <v>28.801011.-15166.7228..CLEAR SCHEDULE.</v>
      </c>
      <c r="E1690">
        <v>28</v>
      </c>
      <c r="F1690">
        <v>801011</v>
      </c>
      <c r="G1690" s="1">
        <v>-151.66</v>
      </c>
      <c r="H1690" t="s">
        <v>2088</v>
      </c>
      <c r="J1690" s="18" t="s">
        <v>4327</v>
      </c>
    </row>
    <row r="1691" spans="3:10" x14ac:dyDescent="0.25">
      <c r="C1691" s="17" t="str">
        <f t="shared" si="27"/>
        <v>28.801011.-8972.7234..CLEAR SCHEDULE.</v>
      </c>
      <c r="E1691">
        <v>28</v>
      </c>
      <c r="F1691">
        <v>801011</v>
      </c>
      <c r="G1691" s="2">
        <v>-89.72</v>
      </c>
      <c r="H1691" t="s">
        <v>2089</v>
      </c>
      <c r="J1691" s="18" t="s">
        <v>4327</v>
      </c>
    </row>
    <row r="1692" spans="3:10" x14ac:dyDescent="0.25">
      <c r="C1692" s="17" t="str">
        <f t="shared" si="27"/>
        <v>28.801011.-15166.7236..CLEAR SCHEDULE.</v>
      </c>
      <c r="E1692">
        <v>28</v>
      </c>
      <c r="F1692">
        <v>801011</v>
      </c>
      <c r="G1692" s="1">
        <v>-151.66</v>
      </c>
      <c r="H1692" t="s">
        <v>2090</v>
      </c>
      <c r="J1692" s="18" t="s">
        <v>4327</v>
      </c>
    </row>
    <row r="1693" spans="3:10" x14ac:dyDescent="0.25">
      <c r="C1693" s="17" t="str">
        <f t="shared" si="27"/>
        <v>28.801011.-56490.7239..CLEAR SCHEDULE.</v>
      </c>
      <c r="E1693">
        <v>28</v>
      </c>
      <c r="F1693">
        <v>801011</v>
      </c>
      <c r="G1693" s="2">
        <v>-564.9</v>
      </c>
      <c r="H1693" t="s">
        <v>2091</v>
      </c>
      <c r="J1693" s="18" t="s">
        <v>4327</v>
      </c>
    </row>
    <row r="1694" spans="3:10" x14ac:dyDescent="0.25">
      <c r="C1694" s="17" t="str">
        <f t="shared" si="27"/>
        <v>28.801011.-6769.7241..CLEAR SCHEDULE.</v>
      </c>
      <c r="E1694">
        <v>28</v>
      </c>
      <c r="F1694">
        <v>801011</v>
      </c>
      <c r="G1694" s="1">
        <v>-67.69</v>
      </c>
      <c r="H1694" t="s">
        <v>2092</v>
      </c>
      <c r="J1694" s="18" t="s">
        <v>4327</v>
      </c>
    </row>
    <row r="1695" spans="3:10" x14ac:dyDescent="0.25">
      <c r="C1695" s="17" t="str">
        <f t="shared" si="27"/>
        <v>28.801011.-22309.7242..CLEAR SCHEDULE.</v>
      </c>
      <c r="E1695">
        <v>28</v>
      </c>
      <c r="F1695">
        <v>801011</v>
      </c>
      <c r="G1695" s="2">
        <v>-223.09</v>
      </c>
      <c r="H1695" t="s">
        <v>2093</v>
      </c>
      <c r="J1695" s="18" t="s">
        <v>4327</v>
      </c>
    </row>
    <row r="1696" spans="3:10" x14ac:dyDescent="0.25">
      <c r="C1696" s="17" t="str">
        <f t="shared" si="27"/>
        <v>28.801011.-20000.7245..CLEAR SCHEDULE.</v>
      </c>
      <c r="E1696">
        <v>28</v>
      </c>
      <c r="F1696">
        <v>801011</v>
      </c>
      <c r="G1696" s="1">
        <v>-200</v>
      </c>
      <c r="H1696" t="s">
        <v>2094</v>
      </c>
      <c r="J1696" s="18" t="s">
        <v>4327</v>
      </c>
    </row>
    <row r="1697" spans="3:10" x14ac:dyDescent="0.25">
      <c r="C1697" s="17" t="str">
        <f t="shared" si="27"/>
        <v>28.801011.-128721.7246..CLEAR SCHEDULE.</v>
      </c>
      <c r="E1697">
        <v>28</v>
      </c>
      <c r="F1697">
        <v>801011</v>
      </c>
      <c r="G1697" s="2">
        <v>-1287.21</v>
      </c>
      <c r="H1697" t="s">
        <v>2095</v>
      </c>
      <c r="J1697" s="18" t="s">
        <v>4327</v>
      </c>
    </row>
    <row r="1698" spans="3:10" x14ac:dyDescent="0.25">
      <c r="C1698" s="17" t="str">
        <f t="shared" si="27"/>
        <v>28.801011.-15166.7247..CLEAR SCHEDULE.</v>
      </c>
      <c r="E1698">
        <v>28</v>
      </c>
      <c r="F1698">
        <v>801011</v>
      </c>
      <c r="G1698" s="1">
        <v>-151.66</v>
      </c>
      <c r="H1698" t="s">
        <v>2096</v>
      </c>
      <c r="J1698" s="18" t="s">
        <v>4327</v>
      </c>
    </row>
    <row r="1699" spans="3:10" x14ac:dyDescent="0.25">
      <c r="C1699" s="17" t="str">
        <f t="shared" si="27"/>
        <v>28.801011.-378192.7248..CLEAR SCHEDULE.</v>
      </c>
      <c r="E1699">
        <v>28</v>
      </c>
      <c r="F1699">
        <v>801011</v>
      </c>
      <c r="G1699" s="2">
        <v>-3781.92</v>
      </c>
      <c r="H1699" t="s">
        <v>2097</v>
      </c>
      <c r="J1699" s="18" t="s">
        <v>4327</v>
      </c>
    </row>
    <row r="1700" spans="3:10" x14ac:dyDescent="0.25">
      <c r="C1700" s="17" t="str">
        <f t="shared" si="27"/>
        <v>28.801011.-56972.7251..CLEAR SCHEDULE.</v>
      </c>
      <c r="E1700">
        <v>28</v>
      </c>
      <c r="F1700">
        <v>801011</v>
      </c>
      <c r="G1700" s="1">
        <v>-569.72</v>
      </c>
      <c r="H1700" t="s">
        <v>2098</v>
      </c>
      <c r="J1700" s="18" t="s">
        <v>4327</v>
      </c>
    </row>
    <row r="1701" spans="3:10" x14ac:dyDescent="0.25">
      <c r="C1701" s="17" t="str">
        <f t="shared" si="27"/>
        <v>28.801011.-33763.7253..CLEAR SCHEDULE.</v>
      </c>
      <c r="E1701">
        <v>28</v>
      </c>
      <c r="F1701">
        <v>801011</v>
      </c>
      <c r="G1701" s="2">
        <v>-337.63</v>
      </c>
      <c r="H1701" t="s">
        <v>2099</v>
      </c>
      <c r="J1701" s="18" t="s">
        <v>4327</v>
      </c>
    </row>
    <row r="1702" spans="3:10" x14ac:dyDescent="0.25">
      <c r="C1702" s="17" t="str">
        <f t="shared" si="27"/>
        <v>28.801011.-29701.7254..CLEAR SCHEDULE.</v>
      </c>
      <c r="E1702">
        <v>28</v>
      </c>
      <c r="F1702">
        <v>801011</v>
      </c>
      <c r="G1702" s="1">
        <v>-297.01</v>
      </c>
      <c r="H1702" t="s">
        <v>2100</v>
      </c>
      <c r="J1702" s="18" t="s">
        <v>4327</v>
      </c>
    </row>
    <row r="1703" spans="3:10" x14ac:dyDescent="0.25">
      <c r="C1703" s="17" t="str">
        <f t="shared" si="27"/>
        <v>28.801011.-14387.7255..CLEAR SCHEDULE.</v>
      </c>
      <c r="E1703">
        <v>28</v>
      </c>
      <c r="F1703">
        <v>801011</v>
      </c>
      <c r="G1703" s="2">
        <v>-143.87</v>
      </c>
      <c r="H1703" t="s">
        <v>2101</v>
      </c>
      <c r="J1703" s="18" t="s">
        <v>4327</v>
      </c>
    </row>
    <row r="1704" spans="3:10" x14ac:dyDescent="0.25">
      <c r="C1704" s="17" t="str">
        <f t="shared" si="27"/>
        <v>28.801011.-111317.7256..CLEAR SCHEDULE.</v>
      </c>
      <c r="E1704">
        <v>28</v>
      </c>
      <c r="F1704">
        <v>801011</v>
      </c>
      <c r="G1704" s="1">
        <v>-1113.17</v>
      </c>
      <c r="H1704" t="s">
        <v>2102</v>
      </c>
      <c r="J1704" s="18" t="s">
        <v>4327</v>
      </c>
    </row>
    <row r="1705" spans="3:10" x14ac:dyDescent="0.25">
      <c r="C1705" s="17" t="str">
        <f t="shared" si="27"/>
        <v>28.801011.-44541.7257..CLEAR SCHEDULE.</v>
      </c>
      <c r="E1705">
        <v>28</v>
      </c>
      <c r="F1705">
        <v>801011</v>
      </c>
      <c r="G1705" s="2">
        <v>-445.41</v>
      </c>
      <c r="H1705" t="s">
        <v>2103</v>
      </c>
      <c r="J1705" s="18" t="s">
        <v>4327</v>
      </c>
    </row>
    <row r="1706" spans="3:10" x14ac:dyDescent="0.25">
      <c r="C1706" s="17" t="str">
        <f t="shared" si="27"/>
        <v>28.801011.-27984.7259..CLEAR SCHEDULE.</v>
      </c>
      <c r="E1706">
        <v>28</v>
      </c>
      <c r="F1706">
        <v>801011</v>
      </c>
      <c r="G1706" s="1">
        <v>-279.83999999999997</v>
      </c>
      <c r="H1706" t="s">
        <v>2104</v>
      </c>
      <c r="J1706" s="18" t="s">
        <v>4327</v>
      </c>
    </row>
    <row r="1707" spans="3:10" x14ac:dyDescent="0.25">
      <c r="C1707" s="17" t="str">
        <f t="shared" si="27"/>
        <v>28.801011.-14387.7260..CLEAR SCHEDULE.</v>
      </c>
      <c r="E1707">
        <v>28</v>
      </c>
      <c r="F1707">
        <v>801011</v>
      </c>
      <c r="G1707" s="2">
        <v>-143.87</v>
      </c>
      <c r="H1707" t="s">
        <v>2105</v>
      </c>
      <c r="J1707" s="18" t="s">
        <v>4327</v>
      </c>
    </row>
    <row r="1708" spans="3:10" x14ac:dyDescent="0.25">
      <c r="C1708" s="17" t="str">
        <f t="shared" si="27"/>
        <v>28.801011.-115449.7261..CLEAR SCHEDULE.</v>
      </c>
      <c r="E1708">
        <v>28</v>
      </c>
      <c r="F1708">
        <v>801011</v>
      </c>
      <c r="G1708" s="1">
        <v>-1154.49</v>
      </c>
      <c r="H1708" t="s">
        <v>2106</v>
      </c>
      <c r="J1708" s="18" t="s">
        <v>4327</v>
      </c>
    </row>
    <row r="1709" spans="3:10" x14ac:dyDescent="0.25">
      <c r="C1709" s="17" t="str">
        <f t="shared" si="27"/>
        <v>28.801011.-19742.7262..CLEAR SCHEDULE.</v>
      </c>
      <c r="E1709">
        <v>28</v>
      </c>
      <c r="F1709">
        <v>801011</v>
      </c>
      <c r="G1709" s="2">
        <v>-197.42</v>
      </c>
      <c r="H1709" t="s">
        <v>2107</v>
      </c>
      <c r="J1709" s="18" t="s">
        <v>4327</v>
      </c>
    </row>
    <row r="1710" spans="3:10" x14ac:dyDescent="0.25">
      <c r="C1710" s="17" t="str">
        <f t="shared" si="27"/>
        <v>28.801011.-19742.7263..CLEAR SCHEDULE.</v>
      </c>
      <c r="E1710">
        <v>28</v>
      </c>
      <c r="F1710">
        <v>801011</v>
      </c>
      <c r="G1710" s="1">
        <v>-197.42</v>
      </c>
      <c r="H1710" t="s">
        <v>2108</v>
      </c>
      <c r="J1710" s="18" t="s">
        <v>4327</v>
      </c>
    </row>
    <row r="1711" spans="3:10" x14ac:dyDescent="0.25">
      <c r="C1711" s="17" t="str">
        <f t="shared" si="27"/>
        <v>28.801011.-14387.7264..CLEAR SCHEDULE.</v>
      </c>
      <c r="E1711">
        <v>28</v>
      </c>
      <c r="F1711">
        <v>801011</v>
      </c>
      <c r="G1711" s="2">
        <v>-143.87</v>
      </c>
      <c r="H1711" t="s">
        <v>2109</v>
      </c>
      <c r="J1711" s="18" t="s">
        <v>4327</v>
      </c>
    </row>
    <row r="1712" spans="3:10" x14ac:dyDescent="0.25">
      <c r="C1712" s="17" t="str">
        <f t="shared" si="27"/>
        <v>28.801011.-19448.7265..CLEAR SCHEDULE.</v>
      </c>
      <c r="E1712">
        <v>28</v>
      </c>
      <c r="F1712">
        <v>801011</v>
      </c>
      <c r="G1712" s="1">
        <v>-194.48</v>
      </c>
      <c r="H1712" t="s">
        <v>2110</v>
      </c>
      <c r="J1712" s="18" t="s">
        <v>4327</v>
      </c>
    </row>
    <row r="1713" spans="3:10" x14ac:dyDescent="0.25">
      <c r="C1713" s="17" t="str">
        <f t="shared" si="27"/>
        <v>28.801011.-14387.7266..CLEAR SCHEDULE.</v>
      </c>
      <c r="E1713">
        <v>28</v>
      </c>
      <c r="F1713">
        <v>801011</v>
      </c>
      <c r="G1713" s="2">
        <v>-143.87</v>
      </c>
      <c r="H1713" t="s">
        <v>2111</v>
      </c>
      <c r="J1713" s="18" t="s">
        <v>4327</v>
      </c>
    </row>
    <row r="1714" spans="3:10" x14ac:dyDescent="0.25">
      <c r="C1714" s="17" t="str">
        <f t="shared" si="27"/>
        <v>28.801011.-5415.7267..CLEAR SCHEDULE.</v>
      </c>
      <c r="E1714">
        <v>28</v>
      </c>
      <c r="F1714">
        <v>801011</v>
      </c>
      <c r="G1714" s="1">
        <v>-54.15</v>
      </c>
      <c r="H1714" t="s">
        <v>2112</v>
      </c>
      <c r="J1714" s="18" t="s">
        <v>4327</v>
      </c>
    </row>
    <row r="1715" spans="3:10" x14ac:dyDescent="0.25">
      <c r="C1715" s="17" t="str">
        <f t="shared" si="27"/>
        <v>28.801011.-46701.7269..CLEAR SCHEDULE.</v>
      </c>
      <c r="E1715">
        <v>28</v>
      </c>
      <c r="F1715">
        <v>801011</v>
      </c>
      <c r="G1715" s="2">
        <v>-467.01</v>
      </c>
      <c r="H1715" t="s">
        <v>2113</v>
      </c>
      <c r="J1715" s="18" t="s">
        <v>4327</v>
      </c>
    </row>
    <row r="1716" spans="3:10" x14ac:dyDescent="0.25">
      <c r="C1716" s="17" t="str">
        <f t="shared" si="27"/>
        <v>28.801011.-147591.7270..CLEAR SCHEDULE.</v>
      </c>
      <c r="E1716">
        <v>28</v>
      </c>
      <c r="F1716">
        <v>801011</v>
      </c>
      <c r="G1716" s="1">
        <v>-1475.91</v>
      </c>
      <c r="H1716" t="s">
        <v>2114</v>
      </c>
      <c r="J1716" s="18" t="s">
        <v>4327</v>
      </c>
    </row>
    <row r="1717" spans="3:10" x14ac:dyDescent="0.25">
      <c r="C1717" s="17" t="str">
        <f t="shared" si="27"/>
        <v>28.801011.-14387.7274..CLEAR SCHEDULE.</v>
      </c>
      <c r="E1717">
        <v>28</v>
      </c>
      <c r="F1717">
        <v>801011</v>
      </c>
      <c r="G1717" s="2">
        <v>-143.87</v>
      </c>
      <c r="H1717" t="s">
        <v>2115</v>
      </c>
      <c r="J1717" s="18" t="s">
        <v>4327</v>
      </c>
    </row>
    <row r="1718" spans="3:10" x14ac:dyDescent="0.25">
      <c r="C1718" s="17" t="str">
        <f t="shared" si="27"/>
        <v>28.801011.-10530.7276..CLEAR SCHEDULE.</v>
      </c>
      <c r="E1718">
        <v>28</v>
      </c>
      <c r="F1718">
        <v>801011</v>
      </c>
      <c r="G1718" s="1">
        <v>-105.3</v>
      </c>
      <c r="H1718" t="s">
        <v>2116</v>
      </c>
      <c r="J1718" s="18" t="s">
        <v>4327</v>
      </c>
    </row>
    <row r="1719" spans="3:10" x14ac:dyDescent="0.25">
      <c r="C1719" s="17" t="str">
        <f t="shared" si="27"/>
        <v>28.801011.-8972.7280..CLEAR SCHEDULE.</v>
      </c>
      <c r="E1719">
        <v>28</v>
      </c>
      <c r="F1719">
        <v>801011</v>
      </c>
      <c r="G1719" s="2">
        <v>-89.72</v>
      </c>
      <c r="H1719" t="s">
        <v>2117</v>
      </c>
      <c r="J1719" s="18" t="s">
        <v>4327</v>
      </c>
    </row>
    <row r="1720" spans="3:10" x14ac:dyDescent="0.25">
      <c r="C1720" s="17" t="str">
        <f t="shared" si="27"/>
        <v>28.801011.-8972.7281..CLEAR SCHEDULE.</v>
      </c>
      <c r="E1720">
        <v>28</v>
      </c>
      <c r="F1720">
        <v>801011</v>
      </c>
      <c r="G1720" s="1">
        <v>-89.72</v>
      </c>
      <c r="H1720" t="s">
        <v>2118</v>
      </c>
      <c r="J1720" s="18" t="s">
        <v>4327</v>
      </c>
    </row>
    <row r="1721" spans="3:10" x14ac:dyDescent="0.25">
      <c r="C1721" s="17" t="str">
        <f t="shared" si="27"/>
        <v>28.801011.-9972.7282..CLEAR SCHEDULE.</v>
      </c>
      <c r="E1721">
        <v>28</v>
      </c>
      <c r="F1721">
        <v>801011</v>
      </c>
      <c r="G1721" s="2">
        <v>-99.72</v>
      </c>
      <c r="H1721" t="s">
        <v>2119</v>
      </c>
      <c r="J1721" s="18" t="s">
        <v>4327</v>
      </c>
    </row>
    <row r="1722" spans="3:10" x14ac:dyDescent="0.25">
      <c r="C1722" s="17" t="str">
        <f t="shared" si="27"/>
        <v>28.801011.-6769.7284..CLEAR SCHEDULE.</v>
      </c>
      <c r="E1722">
        <v>28</v>
      </c>
      <c r="F1722">
        <v>801011</v>
      </c>
      <c r="G1722" s="1">
        <v>-67.69</v>
      </c>
      <c r="H1722" t="s">
        <v>2120</v>
      </c>
      <c r="J1722" s="18" t="s">
        <v>4327</v>
      </c>
    </row>
    <row r="1723" spans="3:10" x14ac:dyDescent="0.25">
      <c r="C1723" s="17" t="str">
        <f t="shared" si="27"/>
        <v>28.801011.-5415.7285..CLEAR SCHEDULE.</v>
      </c>
      <c r="E1723">
        <v>28</v>
      </c>
      <c r="F1723">
        <v>801011</v>
      </c>
      <c r="G1723" s="2">
        <v>-54.15</v>
      </c>
      <c r="H1723" t="s">
        <v>2121</v>
      </c>
      <c r="J1723" s="18" t="s">
        <v>4327</v>
      </c>
    </row>
    <row r="1724" spans="3:10" x14ac:dyDescent="0.25">
      <c r="C1724" s="17" t="str">
        <f t="shared" si="27"/>
        <v>28.801011.-5415.7286..CLEAR SCHEDULE.</v>
      </c>
      <c r="E1724">
        <v>28</v>
      </c>
      <c r="F1724">
        <v>801011</v>
      </c>
      <c r="G1724" s="1">
        <v>-54.15</v>
      </c>
      <c r="H1724" t="s">
        <v>2122</v>
      </c>
      <c r="J1724" s="18" t="s">
        <v>4327</v>
      </c>
    </row>
    <row r="1725" spans="3:10" x14ac:dyDescent="0.25">
      <c r="C1725" s="17" t="str">
        <f t="shared" si="27"/>
        <v>28.801011.-303915.7287..CLEAR SCHEDULE.</v>
      </c>
      <c r="E1725">
        <v>28</v>
      </c>
      <c r="F1725">
        <v>801011</v>
      </c>
      <c r="G1725" s="2">
        <v>-3039.15</v>
      </c>
      <c r="H1725" t="s">
        <v>2123</v>
      </c>
      <c r="J1725" s="18" t="s">
        <v>4327</v>
      </c>
    </row>
    <row r="1726" spans="3:10" x14ac:dyDescent="0.25">
      <c r="C1726" s="17" t="str">
        <f t="shared" si="27"/>
        <v>28.801011.-15945.7288..CLEAR SCHEDULE.</v>
      </c>
      <c r="E1726">
        <v>28</v>
      </c>
      <c r="F1726">
        <v>801011</v>
      </c>
      <c r="G1726" s="1">
        <v>-159.44999999999999</v>
      </c>
      <c r="H1726" t="s">
        <v>2124</v>
      </c>
      <c r="J1726" s="18" t="s">
        <v>4327</v>
      </c>
    </row>
    <row r="1727" spans="3:10" x14ac:dyDescent="0.25">
      <c r="C1727" s="17" t="str">
        <f t="shared" si="27"/>
        <v>28.801011.-8424.7289..CLEAR SCHEDULE.</v>
      </c>
      <c r="E1727">
        <v>28</v>
      </c>
      <c r="F1727">
        <v>801011</v>
      </c>
      <c r="G1727" s="2">
        <v>-84.24</v>
      </c>
      <c r="H1727" t="s">
        <v>2125</v>
      </c>
      <c r="J1727" s="18" t="s">
        <v>4327</v>
      </c>
    </row>
    <row r="1728" spans="3:10" x14ac:dyDescent="0.25">
      <c r="C1728" s="17" t="str">
        <f t="shared" si="27"/>
        <v>28.801011.-12183.7290..CLEAR SCHEDULE.</v>
      </c>
      <c r="E1728">
        <v>28</v>
      </c>
      <c r="F1728">
        <v>801011</v>
      </c>
      <c r="G1728" s="1">
        <v>-121.83</v>
      </c>
      <c r="H1728" t="s">
        <v>2126</v>
      </c>
      <c r="J1728" s="18" t="s">
        <v>4327</v>
      </c>
    </row>
    <row r="1729" spans="3:10" x14ac:dyDescent="0.25">
      <c r="C1729" s="17" t="str">
        <f t="shared" si="27"/>
        <v>28.801011.-16888.7291..CLEAR SCHEDULE.</v>
      </c>
      <c r="E1729">
        <v>28</v>
      </c>
      <c r="F1729">
        <v>801011</v>
      </c>
      <c r="G1729" s="2">
        <v>-168.88</v>
      </c>
      <c r="H1729" t="s">
        <v>2127</v>
      </c>
      <c r="J1729" s="18" t="s">
        <v>4327</v>
      </c>
    </row>
    <row r="1730" spans="3:10" x14ac:dyDescent="0.25">
      <c r="C1730" s="17" t="str">
        <f t="shared" si="27"/>
        <v>28.801011.-9263.7292..CLEAR SCHEDULE.</v>
      </c>
      <c r="E1730">
        <v>28</v>
      </c>
      <c r="F1730">
        <v>801011</v>
      </c>
      <c r="G1730" s="1">
        <v>-92.63</v>
      </c>
      <c r="H1730" t="s">
        <v>2128</v>
      </c>
      <c r="J1730" s="18" t="s">
        <v>4327</v>
      </c>
    </row>
    <row r="1731" spans="3:10" x14ac:dyDescent="0.25">
      <c r="C1731" s="17" t="str">
        <f t="shared" si="27"/>
        <v>28.801011.-69096.7296..CLEAR SCHEDULE.</v>
      </c>
      <c r="E1731">
        <v>28</v>
      </c>
      <c r="F1731">
        <v>801011</v>
      </c>
      <c r="G1731" s="2">
        <v>-690.96</v>
      </c>
      <c r="H1731" t="s">
        <v>2129</v>
      </c>
      <c r="J1731" s="18" t="s">
        <v>4327</v>
      </c>
    </row>
    <row r="1732" spans="3:10" x14ac:dyDescent="0.25">
      <c r="C1732" s="17" t="str">
        <f t="shared" si="27"/>
        <v>28.801011.-14387.7297..CLEAR SCHEDULE.</v>
      </c>
      <c r="E1732">
        <v>28</v>
      </c>
      <c r="F1732">
        <v>801011</v>
      </c>
      <c r="G1732" s="1">
        <v>-143.87</v>
      </c>
      <c r="H1732" t="s">
        <v>2130</v>
      </c>
      <c r="J1732" s="18" t="s">
        <v>4327</v>
      </c>
    </row>
    <row r="1733" spans="3:10" x14ac:dyDescent="0.25">
      <c r="C1733" s="17" t="str">
        <f t="shared" si="27"/>
        <v>28.801011.-14870.7298..CLEAR SCHEDULE.</v>
      </c>
      <c r="E1733">
        <v>28</v>
      </c>
      <c r="F1733">
        <v>801011</v>
      </c>
      <c r="G1733" s="2">
        <v>-148.69999999999999</v>
      </c>
      <c r="H1733" t="s">
        <v>2131</v>
      </c>
      <c r="J1733" s="18" t="s">
        <v>4327</v>
      </c>
    </row>
    <row r="1734" spans="3:10" x14ac:dyDescent="0.25">
      <c r="C1734" s="17" t="str">
        <f t="shared" si="27"/>
        <v>28.801011.-12089.7300..CLEAR SCHEDULE.</v>
      </c>
      <c r="E1734">
        <v>28</v>
      </c>
      <c r="F1734">
        <v>801011</v>
      </c>
      <c r="G1734" s="1">
        <v>-120.89</v>
      </c>
      <c r="H1734" t="s">
        <v>2132</v>
      </c>
      <c r="J1734" s="18" t="s">
        <v>4327</v>
      </c>
    </row>
    <row r="1735" spans="3:10" x14ac:dyDescent="0.25">
      <c r="C1735" s="17" t="str">
        <f t="shared" si="27"/>
        <v>28.801011.-22198.7301..CLEAR SCHEDULE.</v>
      </c>
      <c r="E1735">
        <v>28</v>
      </c>
      <c r="F1735">
        <v>801011</v>
      </c>
      <c r="G1735" s="2">
        <v>-221.98</v>
      </c>
      <c r="H1735" t="s">
        <v>2133</v>
      </c>
      <c r="J1735" s="18" t="s">
        <v>4327</v>
      </c>
    </row>
    <row r="1736" spans="3:10" x14ac:dyDescent="0.25">
      <c r="C1736" s="17" t="str">
        <f t="shared" si="27"/>
        <v>28.801011.-8523.7302..CLEAR SCHEDULE.</v>
      </c>
      <c r="E1736">
        <v>28</v>
      </c>
      <c r="F1736">
        <v>801011</v>
      </c>
      <c r="G1736" s="1">
        <v>-85.23</v>
      </c>
      <c r="H1736" t="s">
        <v>2134</v>
      </c>
      <c r="J1736" s="18" t="s">
        <v>4327</v>
      </c>
    </row>
    <row r="1737" spans="3:10" x14ac:dyDescent="0.25">
      <c r="C1737" s="17" t="str">
        <f t="shared" si="27"/>
        <v>28.801011.-8972.7303..CLEAR SCHEDULE.</v>
      </c>
      <c r="E1737">
        <v>28</v>
      </c>
      <c r="F1737">
        <v>801011</v>
      </c>
      <c r="G1737" s="2">
        <v>-89.72</v>
      </c>
      <c r="H1737" t="s">
        <v>2135</v>
      </c>
      <c r="J1737" s="18" t="s">
        <v>4327</v>
      </c>
    </row>
    <row r="1738" spans="3:10" x14ac:dyDescent="0.25">
      <c r="C1738" s="17" t="str">
        <f t="shared" si="27"/>
        <v>28.801011.-201559.7304..CLEAR SCHEDULE.</v>
      </c>
      <c r="E1738">
        <v>28</v>
      </c>
      <c r="F1738">
        <v>801011</v>
      </c>
      <c r="G1738" s="1">
        <v>-2015.59</v>
      </c>
      <c r="H1738" t="s">
        <v>2136</v>
      </c>
      <c r="J1738" s="18" t="s">
        <v>4327</v>
      </c>
    </row>
    <row r="1739" spans="3:10" x14ac:dyDescent="0.25">
      <c r="C1739" s="17" t="str">
        <f t="shared" ref="C1739:C1802" si="28">IF(G1739=0,"",(E1739&amp;"."&amp;F1739&amp;"."&amp;G1739*100&amp;"."&amp;H1739&amp;"."&amp;I1739&amp;"."&amp;J1739&amp;"."&amp;K1739))</f>
        <v>28.801011.-10530.7305..CLEAR SCHEDULE.</v>
      </c>
      <c r="E1739">
        <v>28</v>
      </c>
      <c r="F1739">
        <v>801011</v>
      </c>
      <c r="G1739" s="2">
        <v>-105.3</v>
      </c>
      <c r="H1739" t="s">
        <v>2137</v>
      </c>
      <c r="J1739" s="18" t="s">
        <v>4327</v>
      </c>
    </row>
    <row r="1740" spans="3:10" x14ac:dyDescent="0.25">
      <c r="C1740" s="17" t="str">
        <f t="shared" si="28"/>
        <v>28.801011.-10530.7306..CLEAR SCHEDULE.</v>
      </c>
      <c r="E1740">
        <v>28</v>
      </c>
      <c r="F1740">
        <v>801011</v>
      </c>
      <c r="G1740" s="1">
        <v>-105.3</v>
      </c>
      <c r="H1740" t="s">
        <v>2138</v>
      </c>
      <c r="J1740" s="18" t="s">
        <v>4327</v>
      </c>
    </row>
    <row r="1741" spans="3:10" x14ac:dyDescent="0.25">
      <c r="C1741" s="17" t="str">
        <f t="shared" si="28"/>
        <v>28.801011.-14387.7307..CLEAR SCHEDULE.</v>
      </c>
      <c r="E1741">
        <v>28</v>
      </c>
      <c r="F1741">
        <v>801011</v>
      </c>
      <c r="G1741" s="2">
        <v>-143.87</v>
      </c>
      <c r="H1741" t="s">
        <v>2139</v>
      </c>
      <c r="J1741" s="18" t="s">
        <v>4327</v>
      </c>
    </row>
    <row r="1742" spans="3:10" x14ac:dyDescent="0.25">
      <c r="C1742" s="17" t="str">
        <f t="shared" si="28"/>
        <v>28.801011.-6769.7309..CLEAR SCHEDULE.</v>
      </c>
      <c r="E1742">
        <v>28</v>
      </c>
      <c r="F1742">
        <v>801011</v>
      </c>
      <c r="G1742" s="1">
        <v>-67.69</v>
      </c>
      <c r="H1742" t="s">
        <v>2140</v>
      </c>
      <c r="J1742" s="18" t="s">
        <v>4327</v>
      </c>
    </row>
    <row r="1743" spans="3:10" x14ac:dyDescent="0.25">
      <c r="C1743" s="17" t="str">
        <f t="shared" si="28"/>
        <v>28.801011.-13576.7310..CLEAR SCHEDULE.</v>
      </c>
      <c r="E1743">
        <v>28</v>
      </c>
      <c r="F1743">
        <v>801011</v>
      </c>
      <c r="G1743" s="2">
        <v>-135.76</v>
      </c>
      <c r="H1743" t="s">
        <v>2141</v>
      </c>
      <c r="J1743" s="18" t="s">
        <v>4327</v>
      </c>
    </row>
    <row r="1744" spans="3:10" x14ac:dyDescent="0.25">
      <c r="C1744" s="17" t="str">
        <f t="shared" si="28"/>
        <v>28.801011.-8972.7312..CLEAR SCHEDULE.</v>
      </c>
      <c r="E1744">
        <v>28</v>
      </c>
      <c r="F1744">
        <v>801011</v>
      </c>
      <c r="G1744" s="1">
        <v>-89.72</v>
      </c>
      <c r="H1744" t="s">
        <v>2142</v>
      </c>
      <c r="J1744" s="18" t="s">
        <v>4327</v>
      </c>
    </row>
    <row r="1745" spans="3:10" x14ac:dyDescent="0.25">
      <c r="C1745" s="17" t="str">
        <f t="shared" si="28"/>
        <v>28.801011.-15166.7315..CLEAR SCHEDULE.</v>
      </c>
      <c r="E1745">
        <v>28</v>
      </c>
      <c r="F1745">
        <v>801011</v>
      </c>
      <c r="G1745" s="2">
        <v>-151.66</v>
      </c>
      <c r="H1745" t="s">
        <v>2143</v>
      </c>
      <c r="J1745" s="18" t="s">
        <v>4327</v>
      </c>
    </row>
    <row r="1746" spans="3:10" x14ac:dyDescent="0.25">
      <c r="C1746" s="17" t="str">
        <f t="shared" si="28"/>
        <v>28.801011.-15945.7316..CLEAR SCHEDULE.</v>
      </c>
      <c r="E1746">
        <v>28</v>
      </c>
      <c r="F1746">
        <v>801011</v>
      </c>
      <c r="G1746" s="1">
        <v>-159.44999999999999</v>
      </c>
      <c r="H1746" t="s">
        <v>2144</v>
      </c>
      <c r="J1746" s="18" t="s">
        <v>4327</v>
      </c>
    </row>
    <row r="1747" spans="3:10" x14ac:dyDescent="0.25">
      <c r="C1747" s="17" t="str">
        <f t="shared" si="28"/>
        <v>28.801011.-35395.7317..CLEAR SCHEDULE.</v>
      </c>
      <c r="E1747">
        <v>28</v>
      </c>
      <c r="F1747">
        <v>801011</v>
      </c>
      <c r="G1747" s="2">
        <v>-353.95</v>
      </c>
      <c r="H1747" t="s">
        <v>2145</v>
      </c>
      <c r="J1747" s="18" t="s">
        <v>4327</v>
      </c>
    </row>
    <row r="1748" spans="3:10" x14ac:dyDescent="0.25">
      <c r="C1748" s="17" t="str">
        <f t="shared" si="28"/>
        <v>28.801011.-8972.7318..CLEAR SCHEDULE.</v>
      </c>
      <c r="E1748">
        <v>28</v>
      </c>
      <c r="F1748">
        <v>801011</v>
      </c>
      <c r="G1748" s="1">
        <v>-89.72</v>
      </c>
      <c r="H1748" t="s">
        <v>2146</v>
      </c>
      <c r="J1748" s="18" t="s">
        <v>4327</v>
      </c>
    </row>
    <row r="1749" spans="3:10" x14ac:dyDescent="0.25">
      <c r="C1749" s="17" t="str">
        <f t="shared" si="28"/>
        <v>28.801011.-15945.7319..CLEAR SCHEDULE.</v>
      </c>
      <c r="E1749">
        <v>28</v>
      </c>
      <c r="F1749">
        <v>801011</v>
      </c>
      <c r="G1749" s="2">
        <v>-159.44999999999999</v>
      </c>
      <c r="H1749" t="s">
        <v>2147</v>
      </c>
      <c r="J1749" s="18" t="s">
        <v>4327</v>
      </c>
    </row>
    <row r="1750" spans="3:10" x14ac:dyDescent="0.25">
      <c r="C1750" s="17" t="str">
        <f t="shared" si="28"/>
        <v>28.801011.-52091.7322..CLEAR SCHEDULE.</v>
      </c>
      <c r="E1750">
        <v>28</v>
      </c>
      <c r="F1750">
        <v>801011</v>
      </c>
      <c r="G1750" s="1">
        <v>-520.91</v>
      </c>
      <c r="H1750" t="s">
        <v>2148</v>
      </c>
      <c r="J1750" s="18" t="s">
        <v>4327</v>
      </c>
    </row>
    <row r="1751" spans="3:10" x14ac:dyDescent="0.25">
      <c r="C1751" s="17" t="str">
        <f t="shared" si="28"/>
        <v>28.801011.-14387.7323..CLEAR SCHEDULE.</v>
      </c>
      <c r="E1751">
        <v>28</v>
      </c>
      <c r="F1751">
        <v>801011</v>
      </c>
      <c r="G1751" s="2">
        <v>-143.87</v>
      </c>
      <c r="H1751" t="s">
        <v>2149</v>
      </c>
      <c r="J1751" s="18" t="s">
        <v>4327</v>
      </c>
    </row>
    <row r="1752" spans="3:10" x14ac:dyDescent="0.25">
      <c r="C1752" s="17" t="str">
        <f t="shared" si="28"/>
        <v>28.801011.-14387.7326..CLEAR SCHEDULE.</v>
      </c>
      <c r="E1752">
        <v>28</v>
      </c>
      <c r="F1752">
        <v>801011</v>
      </c>
      <c r="G1752" s="1">
        <v>-143.87</v>
      </c>
      <c r="H1752" t="s">
        <v>2150</v>
      </c>
      <c r="J1752" s="18" t="s">
        <v>4327</v>
      </c>
    </row>
    <row r="1753" spans="3:10" x14ac:dyDescent="0.25">
      <c r="C1753" s="17" t="str">
        <f t="shared" si="28"/>
        <v>28.801011.-15166.7327..CLEAR SCHEDULE.</v>
      </c>
      <c r="E1753">
        <v>28</v>
      </c>
      <c r="F1753">
        <v>801011</v>
      </c>
      <c r="G1753" s="2">
        <v>-151.66</v>
      </c>
      <c r="H1753" t="s">
        <v>2151</v>
      </c>
      <c r="J1753" s="18" t="s">
        <v>4327</v>
      </c>
    </row>
    <row r="1754" spans="3:10" x14ac:dyDescent="0.25">
      <c r="C1754" s="17" t="str">
        <f t="shared" si="28"/>
        <v>28.801011.-2133.7328..CLEAR SCHEDULE.</v>
      </c>
      <c r="E1754">
        <v>28</v>
      </c>
      <c r="F1754">
        <v>801011</v>
      </c>
      <c r="G1754" s="1">
        <v>-21.33</v>
      </c>
      <c r="H1754" t="s">
        <v>2152</v>
      </c>
      <c r="J1754" s="18" t="s">
        <v>4327</v>
      </c>
    </row>
    <row r="1755" spans="3:10" x14ac:dyDescent="0.25">
      <c r="C1755" s="17" t="str">
        <f t="shared" si="28"/>
        <v>28.801011.-18762.7330..CLEAR SCHEDULE.</v>
      </c>
      <c r="E1755">
        <v>28</v>
      </c>
      <c r="F1755">
        <v>801011</v>
      </c>
      <c r="G1755" s="2">
        <v>-187.62</v>
      </c>
      <c r="H1755" t="s">
        <v>2153</v>
      </c>
      <c r="J1755" s="18" t="s">
        <v>4327</v>
      </c>
    </row>
    <row r="1756" spans="3:10" x14ac:dyDescent="0.25">
      <c r="C1756" s="17" t="str">
        <f t="shared" si="28"/>
        <v>28.801011.-171304.7331..CLEAR SCHEDULE.</v>
      </c>
      <c r="E1756">
        <v>28</v>
      </c>
      <c r="F1756">
        <v>801011</v>
      </c>
      <c r="G1756" s="1">
        <v>-1713.04</v>
      </c>
      <c r="H1756" t="s">
        <v>2154</v>
      </c>
      <c r="J1756" s="18" t="s">
        <v>4327</v>
      </c>
    </row>
    <row r="1757" spans="3:10" x14ac:dyDescent="0.25">
      <c r="C1757" s="17" t="str">
        <f t="shared" si="28"/>
        <v>28.801011.-29589.7332..CLEAR SCHEDULE.</v>
      </c>
      <c r="E1757">
        <v>28</v>
      </c>
      <c r="F1757">
        <v>801011</v>
      </c>
      <c r="G1757" s="2">
        <v>-295.89</v>
      </c>
      <c r="H1757" t="s">
        <v>2155</v>
      </c>
      <c r="J1757" s="18" t="s">
        <v>4327</v>
      </c>
    </row>
    <row r="1758" spans="3:10" x14ac:dyDescent="0.25">
      <c r="C1758" s="17" t="str">
        <f t="shared" si="28"/>
        <v>28.801011.-15166.7333..CLEAR SCHEDULE.</v>
      </c>
      <c r="E1758">
        <v>28</v>
      </c>
      <c r="F1758">
        <v>801011</v>
      </c>
      <c r="G1758" s="1">
        <v>-151.66</v>
      </c>
      <c r="H1758" t="s">
        <v>2156</v>
      </c>
      <c r="J1758" s="18" t="s">
        <v>4327</v>
      </c>
    </row>
    <row r="1759" spans="3:10" x14ac:dyDescent="0.25">
      <c r="C1759" s="17" t="str">
        <f t="shared" si="28"/>
        <v>28.801011.-19742.7335..CLEAR SCHEDULE.</v>
      </c>
      <c r="E1759">
        <v>28</v>
      </c>
      <c r="F1759">
        <v>801011</v>
      </c>
      <c r="G1759" s="2">
        <v>-197.42</v>
      </c>
      <c r="H1759" t="s">
        <v>2157</v>
      </c>
      <c r="J1759" s="18" t="s">
        <v>4327</v>
      </c>
    </row>
    <row r="1760" spans="3:10" x14ac:dyDescent="0.25">
      <c r="C1760" s="17" t="str">
        <f t="shared" si="28"/>
        <v>28.801011.-19742.7337..CLEAR SCHEDULE.</v>
      </c>
      <c r="E1760">
        <v>28</v>
      </c>
      <c r="F1760">
        <v>801011</v>
      </c>
      <c r="G1760" s="1">
        <v>-197.42</v>
      </c>
      <c r="H1760" t="s">
        <v>2158</v>
      </c>
      <c r="J1760" s="18" t="s">
        <v>4327</v>
      </c>
    </row>
    <row r="1761" spans="3:10" x14ac:dyDescent="0.25">
      <c r="C1761" s="17" t="str">
        <f t="shared" si="28"/>
        <v>28.801011.-14387.7340..CLEAR SCHEDULE.</v>
      </c>
      <c r="E1761">
        <v>28</v>
      </c>
      <c r="F1761">
        <v>801011</v>
      </c>
      <c r="G1761" s="2">
        <v>-143.87</v>
      </c>
      <c r="H1761" t="s">
        <v>2159</v>
      </c>
      <c r="J1761" s="18" t="s">
        <v>4327</v>
      </c>
    </row>
    <row r="1762" spans="3:10" x14ac:dyDescent="0.25">
      <c r="C1762" s="17" t="str">
        <f t="shared" si="28"/>
        <v>28.801011.-7985.7341..CLEAR SCHEDULE.</v>
      </c>
      <c r="E1762">
        <v>28</v>
      </c>
      <c r="F1762">
        <v>801011</v>
      </c>
      <c r="G1762" s="1">
        <v>-79.849999999999994</v>
      </c>
      <c r="H1762" t="s">
        <v>2160</v>
      </c>
      <c r="J1762" s="18" t="s">
        <v>4327</v>
      </c>
    </row>
    <row r="1763" spans="3:10" x14ac:dyDescent="0.25">
      <c r="C1763" s="17" t="str">
        <f t="shared" si="28"/>
        <v>28.801011.-15166.7342..CLEAR SCHEDULE.</v>
      </c>
      <c r="E1763">
        <v>28</v>
      </c>
      <c r="F1763">
        <v>801011</v>
      </c>
      <c r="G1763" s="2">
        <v>-151.66</v>
      </c>
      <c r="H1763" t="s">
        <v>2161</v>
      </c>
      <c r="J1763" s="18" t="s">
        <v>4327</v>
      </c>
    </row>
    <row r="1764" spans="3:10" x14ac:dyDescent="0.25">
      <c r="C1764" s="17" t="str">
        <f t="shared" si="28"/>
        <v>28.801011.-8768.7344..CLEAR SCHEDULE.</v>
      </c>
      <c r="E1764">
        <v>28</v>
      </c>
      <c r="F1764">
        <v>801011</v>
      </c>
      <c r="G1764" s="1">
        <v>-87.68</v>
      </c>
      <c r="H1764" t="s">
        <v>2162</v>
      </c>
      <c r="J1764" s="18" t="s">
        <v>4327</v>
      </c>
    </row>
    <row r="1765" spans="3:10" x14ac:dyDescent="0.25">
      <c r="C1765" s="17" t="str">
        <f t="shared" si="28"/>
        <v>28.801011.-39290.7345..CLEAR SCHEDULE.</v>
      </c>
      <c r="E1765">
        <v>28</v>
      </c>
      <c r="F1765">
        <v>801011</v>
      </c>
      <c r="G1765" s="2">
        <v>-392.9</v>
      </c>
      <c r="H1765" t="s">
        <v>2163</v>
      </c>
      <c r="J1765" s="18" t="s">
        <v>4327</v>
      </c>
    </row>
    <row r="1766" spans="3:10" x14ac:dyDescent="0.25">
      <c r="C1766" s="17" t="str">
        <f t="shared" si="28"/>
        <v>28.801011.-22215.7346..CLEAR SCHEDULE.</v>
      </c>
      <c r="E1766">
        <v>28</v>
      </c>
      <c r="F1766">
        <v>801011</v>
      </c>
      <c r="G1766" s="1">
        <v>-222.15</v>
      </c>
      <c r="H1766" t="s">
        <v>2164</v>
      </c>
      <c r="J1766" s="18" t="s">
        <v>4327</v>
      </c>
    </row>
    <row r="1767" spans="3:10" x14ac:dyDescent="0.25">
      <c r="C1767" s="17" t="str">
        <f t="shared" si="28"/>
        <v>28.801011.-39751.7348..CLEAR SCHEDULE.</v>
      </c>
      <c r="E1767">
        <v>28</v>
      </c>
      <c r="F1767">
        <v>801011</v>
      </c>
      <c r="G1767" s="2">
        <v>-397.51</v>
      </c>
      <c r="H1767" t="s">
        <v>2165</v>
      </c>
      <c r="J1767" s="18" t="s">
        <v>4327</v>
      </c>
    </row>
    <row r="1768" spans="3:10" x14ac:dyDescent="0.25">
      <c r="C1768" s="17" t="str">
        <f t="shared" si="28"/>
        <v>28.801011.-16724.7353..CLEAR SCHEDULE.</v>
      </c>
      <c r="E1768">
        <v>28</v>
      </c>
      <c r="F1768">
        <v>801011</v>
      </c>
      <c r="G1768" s="1">
        <v>-167.24</v>
      </c>
      <c r="H1768" t="s">
        <v>2166</v>
      </c>
      <c r="J1768" s="18" t="s">
        <v>4327</v>
      </c>
    </row>
    <row r="1769" spans="3:10" x14ac:dyDescent="0.25">
      <c r="C1769" s="17" t="str">
        <f t="shared" si="28"/>
        <v>28.801011.-657536.7354..CLEAR SCHEDULE.</v>
      </c>
      <c r="E1769">
        <v>28</v>
      </c>
      <c r="F1769">
        <v>801011</v>
      </c>
      <c r="G1769" s="2">
        <v>-6575.36</v>
      </c>
      <c r="H1769" t="s">
        <v>2167</v>
      </c>
      <c r="J1769" s="18" t="s">
        <v>4327</v>
      </c>
    </row>
    <row r="1770" spans="3:10" x14ac:dyDescent="0.25">
      <c r="C1770" s="17" t="str">
        <f t="shared" si="28"/>
        <v>28.801011.-10530.7355..CLEAR SCHEDULE.</v>
      </c>
      <c r="E1770">
        <v>28</v>
      </c>
      <c r="F1770">
        <v>801011</v>
      </c>
      <c r="G1770" s="1">
        <v>-105.3</v>
      </c>
      <c r="H1770" t="s">
        <v>2168</v>
      </c>
      <c r="J1770" s="18" t="s">
        <v>4327</v>
      </c>
    </row>
    <row r="1771" spans="3:10" x14ac:dyDescent="0.25">
      <c r="C1771" s="17" t="str">
        <f t="shared" si="28"/>
        <v>28.801011.-8972.7358..CLEAR SCHEDULE.</v>
      </c>
      <c r="E1771">
        <v>28</v>
      </c>
      <c r="F1771">
        <v>801011</v>
      </c>
      <c r="G1771" s="2">
        <v>-89.72</v>
      </c>
      <c r="H1771" t="s">
        <v>2169</v>
      </c>
      <c r="J1771" s="18" t="s">
        <v>4327</v>
      </c>
    </row>
    <row r="1772" spans="3:10" x14ac:dyDescent="0.25">
      <c r="C1772" s="17" t="str">
        <f t="shared" si="28"/>
        <v>28.801011.-11377.7359..CLEAR SCHEDULE.</v>
      </c>
      <c r="E1772">
        <v>28</v>
      </c>
      <c r="F1772">
        <v>801011</v>
      </c>
      <c r="G1772" s="1">
        <v>-113.77</v>
      </c>
      <c r="H1772" t="s">
        <v>2170</v>
      </c>
      <c r="J1772" s="18" t="s">
        <v>4327</v>
      </c>
    </row>
    <row r="1773" spans="3:10" x14ac:dyDescent="0.25">
      <c r="C1773" s="17" t="str">
        <f t="shared" si="28"/>
        <v>28.801011.-416142.7361..CLEAR SCHEDULE.</v>
      </c>
      <c r="E1773">
        <v>28</v>
      </c>
      <c r="F1773">
        <v>801011</v>
      </c>
      <c r="G1773" s="2">
        <v>-4161.42</v>
      </c>
      <c r="H1773" t="s">
        <v>2171</v>
      </c>
      <c r="J1773" s="18" t="s">
        <v>4327</v>
      </c>
    </row>
    <row r="1774" spans="3:10" x14ac:dyDescent="0.25">
      <c r="C1774" s="17" t="str">
        <f t="shared" si="28"/>
        <v>28.801011.-24798.7369..CLEAR SCHEDULE.</v>
      </c>
      <c r="E1774">
        <v>28</v>
      </c>
      <c r="F1774">
        <v>801011</v>
      </c>
      <c r="G1774" s="1">
        <v>-247.98</v>
      </c>
      <c r="H1774" t="s">
        <v>2172</v>
      </c>
      <c r="J1774" s="18" t="s">
        <v>4327</v>
      </c>
    </row>
    <row r="1775" spans="3:10" x14ac:dyDescent="0.25">
      <c r="C1775" s="17" t="str">
        <f t="shared" si="28"/>
        <v>28.801011.-5415.7370..CLEAR SCHEDULE.</v>
      </c>
      <c r="E1775">
        <v>28</v>
      </c>
      <c r="F1775">
        <v>801011</v>
      </c>
      <c r="G1775" s="2">
        <v>-54.15</v>
      </c>
      <c r="H1775" t="s">
        <v>2173</v>
      </c>
      <c r="J1775" s="18" t="s">
        <v>4327</v>
      </c>
    </row>
    <row r="1776" spans="3:10" x14ac:dyDescent="0.25">
      <c r="C1776" s="17" t="str">
        <f t="shared" si="28"/>
        <v>28.801011.-14387.7374..CLEAR SCHEDULE.</v>
      </c>
      <c r="E1776">
        <v>28</v>
      </c>
      <c r="F1776">
        <v>801011</v>
      </c>
      <c r="G1776" s="1">
        <v>-143.87</v>
      </c>
      <c r="H1776" t="s">
        <v>2174</v>
      </c>
      <c r="J1776" s="18" t="s">
        <v>4327</v>
      </c>
    </row>
    <row r="1777" spans="3:10" x14ac:dyDescent="0.25">
      <c r="C1777" s="17" t="str">
        <f t="shared" si="28"/>
        <v>28.801011.-150067.7377..CLEAR SCHEDULE.</v>
      </c>
      <c r="E1777">
        <v>28</v>
      </c>
      <c r="F1777">
        <v>801011</v>
      </c>
      <c r="G1777" s="2">
        <v>-1500.67</v>
      </c>
      <c r="H1777" t="s">
        <v>2175</v>
      </c>
      <c r="J1777" s="18" t="s">
        <v>4327</v>
      </c>
    </row>
    <row r="1778" spans="3:10" x14ac:dyDescent="0.25">
      <c r="C1778" s="17" t="str">
        <f t="shared" si="28"/>
        <v>28.801011.-8972.7379..CLEAR SCHEDULE.</v>
      </c>
      <c r="E1778">
        <v>28</v>
      </c>
      <c r="F1778">
        <v>801011</v>
      </c>
      <c r="G1778" s="1">
        <v>-89.72</v>
      </c>
      <c r="H1778" t="s">
        <v>2176</v>
      </c>
      <c r="J1778" s="18" t="s">
        <v>4327</v>
      </c>
    </row>
    <row r="1779" spans="3:10" x14ac:dyDescent="0.25">
      <c r="C1779" s="17" t="str">
        <f t="shared" si="28"/>
        <v>28.801011.-212413.7382..CLEAR SCHEDULE.</v>
      </c>
      <c r="E1779">
        <v>28</v>
      </c>
      <c r="F1779">
        <v>801011</v>
      </c>
      <c r="G1779" s="2">
        <v>-2124.13</v>
      </c>
      <c r="H1779" t="s">
        <v>2177</v>
      </c>
      <c r="J1779" s="18" t="s">
        <v>4327</v>
      </c>
    </row>
    <row r="1780" spans="3:10" x14ac:dyDescent="0.25">
      <c r="C1780" s="17" t="str">
        <f t="shared" si="28"/>
        <v>28.801011.-23690.7383..CLEAR SCHEDULE.</v>
      </c>
      <c r="E1780">
        <v>28</v>
      </c>
      <c r="F1780">
        <v>801011</v>
      </c>
      <c r="G1780" s="1">
        <v>-236.9</v>
      </c>
      <c r="H1780" t="s">
        <v>2178</v>
      </c>
      <c r="J1780" s="18" t="s">
        <v>4327</v>
      </c>
    </row>
    <row r="1781" spans="3:10" x14ac:dyDescent="0.25">
      <c r="C1781" s="17" t="str">
        <f t="shared" si="28"/>
        <v>28.801011.-42328.7385..CLEAR SCHEDULE.</v>
      </c>
      <c r="E1781">
        <v>28</v>
      </c>
      <c r="F1781">
        <v>801011</v>
      </c>
      <c r="G1781" s="2">
        <v>-423.28</v>
      </c>
      <c r="H1781" t="s">
        <v>2179</v>
      </c>
      <c r="J1781" s="18" t="s">
        <v>4327</v>
      </c>
    </row>
    <row r="1782" spans="3:10" x14ac:dyDescent="0.25">
      <c r="C1782" s="17" t="str">
        <f t="shared" si="28"/>
        <v>28.801011.-102948.7386..CLEAR SCHEDULE.</v>
      </c>
      <c r="E1782">
        <v>28</v>
      </c>
      <c r="F1782">
        <v>801011</v>
      </c>
      <c r="G1782" s="1">
        <v>-1029.48</v>
      </c>
      <c r="H1782" t="s">
        <v>2180</v>
      </c>
      <c r="J1782" s="18" t="s">
        <v>4327</v>
      </c>
    </row>
    <row r="1783" spans="3:10" x14ac:dyDescent="0.25">
      <c r="C1783" s="17" t="str">
        <f t="shared" si="28"/>
        <v>28.801011.-14387.7387..CLEAR SCHEDULE.</v>
      </c>
      <c r="E1783">
        <v>28</v>
      </c>
      <c r="F1783">
        <v>801011</v>
      </c>
      <c r="G1783" s="2">
        <v>-143.87</v>
      </c>
      <c r="H1783" t="s">
        <v>2181</v>
      </c>
      <c r="J1783" s="18" t="s">
        <v>4327</v>
      </c>
    </row>
    <row r="1784" spans="3:10" x14ac:dyDescent="0.25">
      <c r="C1784" s="17" t="str">
        <f t="shared" si="28"/>
        <v>28.801011.-8972.7388..CLEAR SCHEDULE.</v>
      </c>
      <c r="E1784">
        <v>28</v>
      </c>
      <c r="F1784">
        <v>801011</v>
      </c>
      <c r="G1784" s="1">
        <v>-89.72</v>
      </c>
      <c r="H1784" t="s">
        <v>2182</v>
      </c>
      <c r="J1784" s="18" t="s">
        <v>4327</v>
      </c>
    </row>
    <row r="1785" spans="3:10" x14ac:dyDescent="0.25">
      <c r="C1785" s="17" t="str">
        <f t="shared" si="28"/>
        <v>28.801011.-101342.7389..CLEAR SCHEDULE.</v>
      </c>
      <c r="E1785">
        <v>28</v>
      </c>
      <c r="F1785">
        <v>801011</v>
      </c>
      <c r="G1785" s="2">
        <v>-1013.42</v>
      </c>
      <c r="H1785" t="s">
        <v>2183</v>
      </c>
      <c r="J1785" s="18" t="s">
        <v>4327</v>
      </c>
    </row>
    <row r="1786" spans="3:10" x14ac:dyDescent="0.25">
      <c r="C1786" s="17" t="str">
        <f t="shared" si="28"/>
        <v>28.801011.-47891.7394..CLEAR SCHEDULE.</v>
      </c>
      <c r="E1786">
        <v>28</v>
      </c>
      <c r="F1786">
        <v>801011</v>
      </c>
      <c r="G1786" s="1">
        <v>-478.91</v>
      </c>
      <c r="H1786" t="s">
        <v>2184</v>
      </c>
      <c r="J1786" s="18" t="s">
        <v>4327</v>
      </c>
    </row>
    <row r="1787" spans="3:10" x14ac:dyDescent="0.25">
      <c r="C1787" s="17" t="str">
        <f t="shared" si="28"/>
        <v>28.801011.-14387.7395..CLEAR SCHEDULE.</v>
      </c>
      <c r="E1787">
        <v>28</v>
      </c>
      <c r="F1787">
        <v>801011</v>
      </c>
      <c r="G1787" s="2">
        <v>-143.87</v>
      </c>
      <c r="H1787" t="s">
        <v>2185</v>
      </c>
      <c r="J1787" s="18" t="s">
        <v>4327</v>
      </c>
    </row>
    <row r="1788" spans="3:10" x14ac:dyDescent="0.25">
      <c r="C1788" s="17" t="str">
        <f t="shared" si="28"/>
        <v>28.801011.-8166.7396..CLEAR SCHEDULE.</v>
      </c>
      <c r="E1788">
        <v>28</v>
      </c>
      <c r="F1788">
        <v>801011</v>
      </c>
      <c r="G1788" s="1">
        <v>-81.66</v>
      </c>
      <c r="H1788" t="s">
        <v>2186</v>
      </c>
      <c r="J1788" s="18" t="s">
        <v>4327</v>
      </c>
    </row>
    <row r="1789" spans="3:10" x14ac:dyDescent="0.25">
      <c r="C1789" s="17" t="str">
        <f t="shared" si="28"/>
        <v>28.801011.-15945.7400..CLEAR SCHEDULE.</v>
      </c>
      <c r="E1789">
        <v>28</v>
      </c>
      <c r="F1789">
        <v>801011</v>
      </c>
      <c r="G1789" s="2">
        <v>-159.44999999999999</v>
      </c>
      <c r="H1789" t="s">
        <v>2187</v>
      </c>
      <c r="J1789" s="18" t="s">
        <v>4327</v>
      </c>
    </row>
    <row r="1790" spans="3:10" x14ac:dyDescent="0.25">
      <c r="C1790" s="17" t="str">
        <f t="shared" si="28"/>
        <v>28.801011.-13572.7402..CLEAR SCHEDULE.</v>
      </c>
      <c r="E1790">
        <v>28</v>
      </c>
      <c r="F1790">
        <v>801011</v>
      </c>
      <c r="G1790" s="1">
        <v>-135.72</v>
      </c>
      <c r="H1790" t="s">
        <v>2188</v>
      </c>
      <c r="J1790" s="18" t="s">
        <v>4327</v>
      </c>
    </row>
    <row r="1791" spans="3:10" x14ac:dyDescent="0.25">
      <c r="C1791" s="17" t="str">
        <f t="shared" si="28"/>
        <v>28.801011.-5798.7403..CLEAR SCHEDULE.</v>
      </c>
      <c r="E1791">
        <v>28</v>
      </c>
      <c r="F1791">
        <v>801011</v>
      </c>
      <c r="G1791" s="2">
        <v>-57.98</v>
      </c>
      <c r="H1791" t="s">
        <v>2189</v>
      </c>
      <c r="J1791" s="18" t="s">
        <v>4327</v>
      </c>
    </row>
    <row r="1792" spans="3:10" x14ac:dyDescent="0.25">
      <c r="C1792" s="17" t="str">
        <f t="shared" si="28"/>
        <v>28.801011.-15945.7404..CLEAR SCHEDULE.</v>
      </c>
      <c r="E1792">
        <v>28</v>
      </c>
      <c r="F1792">
        <v>801011</v>
      </c>
      <c r="G1792" s="1">
        <v>-159.44999999999999</v>
      </c>
      <c r="H1792" t="s">
        <v>2190</v>
      </c>
      <c r="J1792" s="18" t="s">
        <v>4327</v>
      </c>
    </row>
    <row r="1793" spans="3:10" x14ac:dyDescent="0.25">
      <c r="C1793" s="17" t="str">
        <f t="shared" si="28"/>
        <v>28.801011.-145828.7405..CLEAR SCHEDULE.</v>
      </c>
      <c r="E1793">
        <v>28</v>
      </c>
      <c r="F1793">
        <v>801011</v>
      </c>
      <c r="G1793" s="2">
        <v>-1458.28</v>
      </c>
      <c r="H1793" t="s">
        <v>2191</v>
      </c>
      <c r="J1793" s="18" t="s">
        <v>4327</v>
      </c>
    </row>
    <row r="1794" spans="3:10" x14ac:dyDescent="0.25">
      <c r="C1794" s="17" t="str">
        <f t="shared" si="28"/>
        <v>28.801011.-15166.7406..CLEAR SCHEDULE.</v>
      </c>
      <c r="E1794">
        <v>28</v>
      </c>
      <c r="F1794">
        <v>801011</v>
      </c>
      <c r="G1794" s="1">
        <v>-151.66</v>
      </c>
      <c r="H1794" t="s">
        <v>2192</v>
      </c>
      <c r="J1794" s="18" t="s">
        <v>4327</v>
      </c>
    </row>
    <row r="1795" spans="3:10" x14ac:dyDescent="0.25">
      <c r="C1795" s="17" t="str">
        <f t="shared" si="28"/>
        <v>28.801011.-14387.7407..CLEAR SCHEDULE.</v>
      </c>
      <c r="E1795">
        <v>28</v>
      </c>
      <c r="F1795">
        <v>801011</v>
      </c>
      <c r="G1795" s="2">
        <v>-143.87</v>
      </c>
      <c r="H1795" t="s">
        <v>2193</v>
      </c>
      <c r="J1795" s="18" t="s">
        <v>4327</v>
      </c>
    </row>
    <row r="1796" spans="3:10" x14ac:dyDescent="0.25">
      <c r="C1796" s="17" t="str">
        <f t="shared" si="28"/>
        <v>28.801011.-14387.7408..CLEAR SCHEDULE.</v>
      </c>
      <c r="E1796">
        <v>28</v>
      </c>
      <c r="F1796">
        <v>801011</v>
      </c>
      <c r="G1796" s="1">
        <v>-143.87</v>
      </c>
      <c r="H1796" t="s">
        <v>2194</v>
      </c>
      <c r="J1796" s="18" t="s">
        <v>4327</v>
      </c>
    </row>
    <row r="1797" spans="3:10" x14ac:dyDescent="0.25">
      <c r="C1797" s="17" t="str">
        <f t="shared" si="28"/>
        <v>28.801011.-5798.7409..CLEAR SCHEDULE.</v>
      </c>
      <c r="E1797">
        <v>28</v>
      </c>
      <c r="F1797">
        <v>801011</v>
      </c>
      <c r="G1797" s="2">
        <v>-57.98</v>
      </c>
      <c r="H1797" t="s">
        <v>2195</v>
      </c>
      <c r="J1797" s="18" t="s">
        <v>4327</v>
      </c>
    </row>
    <row r="1798" spans="3:10" x14ac:dyDescent="0.25">
      <c r="C1798" s="17" t="str">
        <f t="shared" si="28"/>
        <v>28.801011.-53145.7411..CLEAR SCHEDULE.</v>
      </c>
      <c r="E1798">
        <v>28</v>
      </c>
      <c r="F1798">
        <v>801011</v>
      </c>
      <c r="G1798" s="1">
        <v>-531.45000000000005</v>
      </c>
      <c r="H1798" t="s">
        <v>2196</v>
      </c>
      <c r="J1798" s="18" t="s">
        <v>4327</v>
      </c>
    </row>
    <row r="1799" spans="3:10" x14ac:dyDescent="0.25">
      <c r="C1799" s="17" t="str">
        <f t="shared" si="28"/>
        <v>28.801011.-275910.7412..CLEAR SCHEDULE.</v>
      </c>
      <c r="E1799">
        <v>28</v>
      </c>
      <c r="F1799">
        <v>801011</v>
      </c>
      <c r="G1799" s="2">
        <v>-2759.1</v>
      </c>
      <c r="H1799" t="s">
        <v>2197</v>
      </c>
      <c r="J1799" s="18" t="s">
        <v>4327</v>
      </c>
    </row>
    <row r="1800" spans="3:10" x14ac:dyDescent="0.25">
      <c r="C1800" s="17" t="str">
        <f t="shared" si="28"/>
        <v>28.801011.-5613.7414..CLEAR SCHEDULE.</v>
      </c>
      <c r="E1800">
        <v>28</v>
      </c>
      <c r="F1800">
        <v>801011</v>
      </c>
      <c r="G1800" s="1">
        <v>-56.13</v>
      </c>
      <c r="H1800" t="s">
        <v>2198</v>
      </c>
      <c r="J1800" s="18" t="s">
        <v>4327</v>
      </c>
    </row>
    <row r="1801" spans="3:10" x14ac:dyDescent="0.25">
      <c r="C1801" s="17" t="str">
        <f t="shared" si="28"/>
        <v>28.801011.-11309.7415..CLEAR SCHEDULE.</v>
      </c>
      <c r="E1801">
        <v>28</v>
      </c>
      <c r="F1801">
        <v>801011</v>
      </c>
      <c r="G1801" s="2">
        <v>-113.09</v>
      </c>
      <c r="H1801" t="s">
        <v>2199</v>
      </c>
      <c r="J1801" s="18" t="s">
        <v>4327</v>
      </c>
    </row>
    <row r="1802" spans="3:10" x14ac:dyDescent="0.25">
      <c r="C1802" s="17" t="str">
        <f t="shared" si="28"/>
        <v>28.801011.-65675.7416..CLEAR SCHEDULE.</v>
      </c>
      <c r="E1802">
        <v>28</v>
      </c>
      <c r="F1802">
        <v>801011</v>
      </c>
      <c r="G1802" s="1">
        <v>-656.75</v>
      </c>
      <c r="H1802" t="s">
        <v>2200</v>
      </c>
      <c r="J1802" s="18" t="s">
        <v>4327</v>
      </c>
    </row>
    <row r="1803" spans="3:10" x14ac:dyDescent="0.25">
      <c r="C1803" s="17" t="str">
        <f t="shared" ref="C1803:C1866" si="29">IF(G1803=0,"",(E1803&amp;"."&amp;F1803&amp;"."&amp;G1803*100&amp;"."&amp;H1803&amp;"."&amp;I1803&amp;"."&amp;J1803&amp;"."&amp;K1803))</f>
        <v>28.801011.-67920.7417..CLEAR SCHEDULE.</v>
      </c>
      <c r="E1803">
        <v>28</v>
      </c>
      <c r="F1803">
        <v>801011</v>
      </c>
      <c r="G1803" s="2">
        <v>-679.2</v>
      </c>
      <c r="H1803" t="s">
        <v>2201</v>
      </c>
      <c r="J1803" s="18" t="s">
        <v>4327</v>
      </c>
    </row>
    <row r="1804" spans="3:10" x14ac:dyDescent="0.25">
      <c r="C1804" s="17" t="str">
        <f t="shared" si="29"/>
        <v>28.801011.-8972.7418..CLEAR SCHEDULE.</v>
      </c>
      <c r="E1804">
        <v>28</v>
      </c>
      <c r="F1804">
        <v>801011</v>
      </c>
      <c r="G1804" s="1">
        <v>-89.72</v>
      </c>
      <c r="H1804" t="s">
        <v>2202</v>
      </c>
      <c r="J1804" s="18" t="s">
        <v>4327</v>
      </c>
    </row>
    <row r="1805" spans="3:10" x14ac:dyDescent="0.25">
      <c r="C1805" s="17" t="str">
        <f t="shared" si="29"/>
        <v>28.801011.-14387.7419..CLEAR SCHEDULE.</v>
      </c>
      <c r="E1805">
        <v>28</v>
      </c>
      <c r="F1805">
        <v>801011</v>
      </c>
      <c r="G1805" s="2">
        <v>-143.87</v>
      </c>
      <c r="H1805" t="s">
        <v>2203</v>
      </c>
      <c r="J1805" s="18" t="s">
        <v>4327</v>
      </c>
    </row>
    <row r="1806" spans="3:10" x14ac:dyDescent="0.25">
      <c r="C1806" s="17" t="str">
        <f t="shared" si="29"/>
        <v>28.801011.-5415.7421..CLEAR SCHEDULE.</v>
      </c>
      <c r="E1806">
        <v>28</v>
      </c>
      <c r="F1806">
        <v>801011</v>
      </c>
      <c r="G1806" s="1">
        <v>-54.15</v>
      </c>
      <c r="H1806" t="s">
        <v>2204</v>
      </c>
      <c r="J1806" s="18" t="s">
        <v>4327</v>
      </c>
    </row>
    <row r="1807" spans="3:10" x14ac:dyDescent="0.25">
      <c r="C1807" s="17" t="str">
        <f t="shared" si="29"/>
        <v>28.801011.-14387.7423..CLEAR SCHEDULE.</v>
      </c>
      <c r="E1807">
        <v>28</v>
      </c>
      <c r="F1807">
        <v>801011</v>
      </c>
      <c r="G1807" s="2">
        <v>-143.87</v>
      </c>
      <c r="H1807" t="s">
        <v>2205</v>
      </c>
      <c r="J1807" s="18" t="s">
        <v>4327</v>
      </c>
    </row>
    <row r="1808" spans="3:10" x14ac:dyDescent="0.25">
      <c r="C1808" s="17" t="str">
        <f t="shared" si="29"/>
        <v>28.801011.-242407.7424..CLEAR SCHEDULE.</v>
      </c>
      <c r="E1808">
        <v>28</v>
      </c>
      <c r="F1808">
        <v>801011</v>
      </c>
      <c r="G1808" s="1">
        <v>-2424.0700000000002</v>
      </c>
      <c r="H1808" t="s">
        <v>2206</v>
      </c>
      <c r="J1808" s="18" t="s">
        <v>4327</v>
      </c>
    </row>
    <row r="1809" spans="3:10" x14ac:dyDescent="0.25">
      <c r="C1809" s="17" t="str">
        <f t="shared" si="29"/>
        <v>28.801011.-46756.7425..CLEAR SCHEDULE.</v>
      </c>
      <c r="E1809">
        <v>28</v>
      </c>
      <c r="F1809">
        <v>801011</v>
      </c>
      <c r="G1809" s="2">
        <v>-467.56</v>
      </c>
      <c r="H1809" t="s">
        <v>2207</v>
      </c>
      <c r="J1809" s="18" t="s">
        <v>4327</v>
      </c>
    </row>
    <row r="1810" spans="3:10" x14ac:dyDescent="0.25">
      <c r="C1810" s="17" t="str">
        <f t="shared" si="29"/>
        <v>28.801011.-696955.7426..CLEAR SCHEDULE.</v>
      </c>
      <c r="E1810">
        <v>28</v>
      </c>
      <c r="F1810">
        <v>801011</v>
      </c>
      <c r="G1810" s="1">
        <v>-6969.55</v>
      </c>
      <c r="H1810" t="s">
        <v>2208</v>
      </c>
      <c r="J1810" s="18" t="s">
        <v>4327</v>
      </c>
    </row>
    <row r="1811" spans="3:10" x14ac:dyDescent="0.25">
      <c r="C1811" s="17" t="str">
        <f t="shared" si="29"/>
        <v>28.801011.-34899.7430..CLEAR SCHEDULE.</v>
      </c>
      <c r="E1811">
        <v>28</v>
      </c>
      <c r="F1811">
        <v>801011</v>
      </c>
      <c r="G1811" s="2">
        <v>-348.99</v>
      </c>
      <c r="H1811" t="s">
        <v>2209</v>
      </c>
      <c r="J1811" s="18" t="s">
        <v>4327</v>
      </c>
    </row>
    <row r="1812" spans="3:10" x14ac:dyDescent="0.25">
      <c r="C1812" s="17" t="str">
        <f t="shared" si="29"/>
        <v>28.801011.-19742.7431..CLEAR SCHEDULE.</v>
      </c>
      <c r="E1812">
        <v>28</v>
      </c>
      <c r="F1812">
        <v>801011</v>
      </c>
      <c r="G1812" s="1">
        <v>-197.42</v>
      </c>
      <c r="H1812" t="s">
        <v>2210</v>
      </c>
      <c r="J1812" s="18" t="s">
        <v>4327</v>
      </c>
    </row>
    <row r="1813" spans="3:10" x14ac:dyDescent="0.25">
      <c r="C1813" s="17" t="str">
        <f t="shared" si="29"/>
        <v>28.801011.-11309.7432..CLEAR SCHEDULE.</v>
      </c>
      <c r="E1813">
        <v>28</v>
      </c>
      <c r="F1813">
        <v>801011</v>
      </c>
      <c r="G1813" s="2">
        <v>-113.09</v>
      </c>
      <c r="H1813" t="s">
        <v>2211</v>
      </c>
      <c r="J1813" s="18" t="s">
        <v>4327</v>
      </c>
    </row>
    <row r="1814" spans="3:10" x14ac:dyDescent="0.25">
      <c r="C1814" s="17" t="str">
        <f t="shared" si="29"/>
        <v>28.801011.-20000.7433..CLEAR SCHEDULE.</v>
      </c>
      <c r="E1814">
        <v>28</v>
      </c>
      <c r="F1814">
        <v>801011</v>
      </c>
      <c r="G1814" s="1">
        <v>-200</v>
      </c>
      <c r="H1814" t="s">
        <v>2212</v>
      </c>
      <c r="J1814" s="18" t="s">
        <v>4327</v>
      </c>
    </row>
    <row r="1815" spans="3:10" x14ac:dyDescent="0.25">
      <c r="C1815" s="17" t="str">
        <f t="shared" si="29"/>
        <v>28.801011.-34274.7434..CLEAR SCHEDULE.</v>
      </c>
      <c r="E1815">
        <v>28</v>
      </c>
      <c r="F1815">
        <v>801011</v>
      </c>
      <c r="G1815" s="2">
        <v>-342.74</v>
      </c>
      <c r="H1815" t="s">
        <v>2213</v>
      </c>
      <c r="J1815" s="18" t="s">
        <v>4327</v>
      </c>
    </row>
    <row r="1816" spans="3:10" x14ac:dyDescent="0.25">
      <c r="C1816" s="17" t="str">
        <f t="shared" si="29"/>
        <v>28.801011.-57016.7435..CLEAR SCHEDULE.</v>
      </c>
      <c r="E1816">
        <v>28</v>
      </c>
      <c r="F1816">
        <v>801011</v>
      </c>
      <c r="G1816" s="1">
        <v>-570.16</v>
      </c>
      <c r="H1816" t="s">
        <v>2214</v>
      </c>
      <c r="J1816" s="18" t="s">
        <v>4327</v>
      </c>
    </row>
    <row r="1817" spans="3:10" x14ac:dyDescent="0.25">
      <c r="C1817" s="17" t="str">
        <f t="shared" si="29"/>
        <v>28.801011.-89119.7437..CLEAR SCHEDULE.</v>
      </c>
      <c r="E1817">
        <v>28</v>
      </c>
      <c r="F1817">
        <v>801011</v>
      </c>
      <c r="G1817" s="2">
        <v>-891.19</v>
      </c>
      <c r="H1817" t="s">
        <v>2215</v>
      </c>
      <c r="J1817" s="18" t="s">
        <v>4327</v>
      </c>
    </row>
    <row r="1818" spans="3:10" x14ac:dyDescent="0.25">
      <c r="C1818" s="17" t="str">
        <f t="shared" si="29"/>
        <v>28.801011.-18987.7438..CLEAR SCHEDULE.</v>
      </c>
      <c r="E1818">
        <v>28</v>
      </c>
      <c r="F1818">
        <v>801011</v>
      </c>
      <c r="G1818" s="1">
        <v>-189.87</v>
      </c>
      <c r="H1818" t="s">
        <v>2216</v>
      </c>
      <c r="J1818" s="18" t="s">
        <v>4327</v>
      </c>
    </row>
    <row r="1819" spans="3:10" x14ac:dyDescent="0.25">
      <c r="C1819" s="17" t="str">
        <f t="shared" si="29"/>
        <v>28.801011.-14387.7439..CLEAR SCHEDULE.</v>
      </c>
      <c r="E1819">
        <v>28</v>
      </c>
      <c r="F1819">
        <v>801011</v>
      </c>
      <c r="G1819" s="2">
        <v>-143.87</v>
      </c>
      <c r="H1819" t="s">
        <v>2217</v>
      </c>
      <c r="J1819" s="18" t="s">
        <v>4327</v>
      </c>
    </row>
    <row r="1820" spans="3:10" x14ac:dyDescent="0.25">
      <c r="C1820" s="17" t="str">
        <f t="shared" si="29"/>
        <v>28.801011.-8972.7440..CLEAR SCHEDULE.</v>
      </c>
      <c r="E1820">
        <v>28</v>
      </c>
      <c r="F1820">
        <v>801011</v>
      </c>
      <c r="G1820" s="1">
        <v>-89.72</v>
      </c>
      <c r="H1820" t="s">
        <v>2218</v>
      </c>
      <c r="J1820" s="18" t="s">
        <v>4327</v>
      </c>
    </row>
    <row r="1821" spans="3:10" x14ac:dyDescent="0.25">
      <c r="C1821" s="17" t="str">
        <f t="shared" si="29"/>
        <v>28.801011.-35609.7442..CLEAR SCHEDULE.</v>
      </c>
      <c r="E1821">
        <v>28</v>
      </c>
      <c r="F1821">
        <v>801011</v>
      </c>
      <c r="G1821" s="2">
        <v>-356.09</v>
      </c>
      <c r="H1821" t="s">
        <v>2219</v>
      </c>
      <c r="J1821" s="18" t="s">
        <v>4327</v>
      </c>
    </row>
    <row r="1822" spans="3:10" x14ac:dyDescent="0.25">
      <c r="C1822" s="17" t="str">
        <f t="shared" si="29"/>
        <v>28.801011.-5415.7443..CLEAR SCHEDULE.</v>
      </c>
      <c r="E1822">
        <v>28</v>
      </c>
      <c r="F1822">
        <v>801011</v>
      </c>
      <c r="G1822" s="1">
        <v>-54.15</v>
      </c>
      <c r="H1822" t="s">
        <v>2220</v>
      </c>
      <c r="J1822" s="18" t="s">
        <v>4327</v>
      </c>
    </row>
    <row r="1823" spans="3:10" x14ac:dyDescent="0.25">
      <c r="C1823" s="17" t="str">
        <f t="shared" si="29"/>
        <v>28.801011.-20779.7446..CLEAR SCHEDULE.</v>
      </c>
      <c r="E1823">
        <v>28</v>
      </c>
      <c r="F1823">
        <v>801011</v>
      </c>
      <c r="G1823" s="2">
        <v>-207.79</v>
      </c>
      <c r="H1823" t="s">
        <v>2221</v>
      </c>
      <c r="J1823" s="18" t="s">
        <v>4327</v>
      </c>
    </row>
    <row r="1824" spans="3:10" x14ac:dyDescent="0.25">
      <c r="C1824" s="17" t="str">
        <f t="shared" si="29"/>
        <v>28.801011.-47094.7452..CLEAR SCHEDULE.</v>
      </c>
      <c r="E1824">
        <v>28</v>
      </c>
      <c r="F1824">
        <v>801011</v>
      </c>
      <c r="G1824" s="1">
        <v>-470.94</v>
      </c>
      <c r="H1824" t="s">
        <v>2222</v>
      </c>
      <c r="J1824" s="18" t="s">
        <v>4327</v>
      </c>
    </row>
    <row r="1825" spans="3:10" x14ac:dyDescent="0.25">
      <c r="C1825" s="17" t="str">
        <f t="shared" si="29"/>
        <v>28.801011.-9263.7454..CLEAR SCHEDULE.</v>
      </c>
      <c r="E1825">
        <v>28</v>
      </c>
      <c r="F1825">
        <v>801011</v>
      </c>
      <c r="G1825" s="2">
        <v>-92.63</v>
      </c>
      <c r="H1825" t="s">
        <v>2223</v>
      </c>
      <c r="J1825" s="18" t="s">
        <v>4327</v>
      </c>
    </row>
    <row r="1826" spans="3:10" x14ac:dyDescent="0.25">
      <c r="C1826" s="17" t="str">
        <f t="shared" si="29"/>
        <v>28.801011.-21997.7455..CLEAR SCHEDULE.</v>
      </c>
      <c r="E1826">
        <v>28</v>
      </c>
      <c r="F1826">
        <v>801011</v>
      </c>
      <c r="G1826" s="1">
        <v>-219.97</v>
      </c>
      <c r="H1826" t="s">
        <v>2224</v>
      </c>
      <c r="J1826" s="18" t="s">
        <v>4327</v>
      </c>
    </row>
    <row r="1827" spans="3:10" x14ac:dyDescent="0.25">
      <c r="C1827" s="17" t="str">
        <f t="shared" si="29"/>
        <v>28.801011.-58563.7457..CLEAR SCHEDULE.</v>
      </c>
      <c r="E1827">
        <v>28</v>
      </c>
      <c r="F1827">
        <v>801011</v>
      </c>
      <c r="G1827" s="2">
        <v>-585.63</v>
      </c>
      <c r="H1827" t="s">
        <v>2225</v>
      </c>
      <c r="J1827" s="18" t="s">
        <v>4327</v>
      </c>
    </row>
    <row r="1828" spans="3:10" x14ac:dyDescent="0.25">
      <c r="C1828" s="17" t="str">
        <f t="shared" si="29"/>
        <v>28.801011.-25232.7459..CLEAR SCHEDULE.</v>
      </c>
      <c r="E1828">
        <v>28</v>
      </c>
      <c r="F1828">
        <v>801011</v>
      </c>
      <c r="G1828" s="1">
        <v>-252.32</v>
      </c>
      <c r="H1828" t="s">
        <v>2226</v>
      </c>
      <c r="J1828" s="18" t="s">
        <v>4327</v>
      </c>
    </row>
    <row r="1829" spans="3:10" x14ac:dyDescent="0.25">
      <c r="C1829" s="17" t="str">
        <f t="shared" si="29"/>
        <v>28.801011.-63716.7463..CLEAR SCHEDULE.</v>
      </c>
      <c r="E1829">
        <v>28</v>
      </c>
      <c r="F1829">
        <v>801011</v>
      </c>
      <c r="G1829" s="2">
        <v>-637.16</v>
      </c>
      <c r="H1829" t="s">
        <v>2227</v>
      </c>
      <c r="J1829" s="18" t="s">
        <v>4327</v>
      </c>
    </row>
    <row r="1830" spans="3:10" x14ac:dyDescent="0.25">
      <c r="C1830" s="17" t="str">
        <f t="shared" si="29"/>
        <v>28.801011.-5415.7470..CLEAR SCHEDULE.</v>
      </c>
      <c r="E1830">
        <v>28</v>
      </c>
      <c r="F1830">
        <v>801011</v>
      </c>
      <c r="G1830" s="1">
        <v>-54.15</v>
      </c>
      <c r="H1830" t="s">
        <v>2228</v>
      </c>
      <c r="J1830" s="18" t="s">
        <v>4327</v>
      </c>
    </row>
    <row r="1831" spans="3:10" x14ac:dyDescent="0.25">
      <c r="C1831" s="17" t="str">
        <f t="shared" si="29"/>
        <v>28.801011.-15945.7471..CLEAR SCHEDULE.</v>
      </c>
      <c r="E1831">
        <v>28</v>
      </c>
      <c r="F1831">
        <v>801011</v>
      </c>
      <c r="G1831" s="2">
        <v>-159.44999999999999</v>
      </c>
      <c r="H1831" t="s">
        <v>2229</v>
      </c>
      <c r="J1831" s="18" t="s">
        <v>4327</v>
      </c>
    </row>
    <row r="1832" spans="3:10" x14ac:dyDescent="0.25">
      <c r="C1832" s="17" t="str">
        <f t="shared" si="29"/>
        <v>28.801011.-39290.7472..CLEAR SCHEDULE.</v>
      </c>
      <c r="E1832">
        <v>28</v>
      </c>
      <c r="F1832">
        <v>801011</v>
      </c>
      <c r="G1832" s="1">
        <v>-392.9</v>
      </c>
      <c r="H1832" t="s">
        <v>2230</v>
      </c>
      <c r="J1832" s="18" t="s">
        <v>4327</v>
      </c>
    </row>
    <row r="1833" spans="3:10" x14ac:dyDescent="0.25">
      <c r="C1833" s="17" t="str">
        <f t="shared" si="29"/>
        <v>28.801011.-10236.7473..CLEAR SCHEDULE.</v>
      </c>
      <c r="E1833">
        <v>28</v>
      </c>
      <c r="F1833">
        <v>801011</v>
      </c>
      <c r="G1833" s="2">
        <v>-102.36</v>
      </c>
      <c r="H1833" t="s">
        <v>2231</v>
      </c>
      <c r="J1833" s="18" t="s">
        <v>4327</v>
      </c>
    </row>
    <row r="1834" spans="3:10" x14ac:dyDescent="0.25">
      <c r="C1834" s="17" t="str">
        <f t="shared" si="29"/>
        <v>28.801011.-17362.7474..CLEAR SCHEDULE.</v>
      </c>
      <c r="E1834">
        <v>28</v>
      </c>
      <c r="F1834">
        <v>801011</v>
      </c>
      <c r="G1834" s="1">
        <v>-173.62</v>
      </c>
      <c r="H1834" t="s">
        <v>2232</v>
      </c>
      <c r="J1834" s="18" t="s">
        <v>4327</v>
      </c>
    </row>
    <row r="1835" spans="3:10" x14ac:dyDescent="0.25">
      <c r="C1835" s="17" t="str">
        <f t="shared" si="29"/>
        <v>28.801011.-24202.7475..CLEAR SCHEDULE.</v>
      </c>
      <c r="E1835">
        <v>28</v>
      </c>
      <c r="F1835">
        <v>801011</v>
      </c>
      <c r="G1835" s="2">
        <v>-242.02</v>
      </c>
      <c r="H1835" t="s">
        <v>2233</v>
      </c>
      <c r="J1835" s="18" t="s">
        <v>4327</v>
      </c>
    </row>
    <row r="1836" spans="3:10" x14ac:dyDescent="0.25">
      <c r="C1836" s="17" t="str">
        <f t="shared" si="29"/>
        <v>28.801011.-142500.7477..CLEAR SCHEDULE.</v>
      </c>
      <c r="E1836">
        <v>28</v>
      </c>
      <c r="F1836">
        <v>801011</v>
      </c>
      <c r="G1836" s="1">
        <v>-1425</v>
      </c>
      <c r="H1836" t="s">
        <v>2234</v>
      </c>
      <c r="J1836" s="18" t="s">
        <v>4327</v>
      </c>
    </row>
    <row r="1837" spans="3:10" x14ac:dyDescent="0.25">
      <c r="C1837" s="17" t="str">
        <f t="shared" si="29"/>
        <v>28.801011.-44342.7481..CLEAR SCHEDULE.</v>
      </c>
      <c r="E1837">
        <v>28</v>
      </c>
      <c r="F1837">
        <v>801011</v>
      </c>
      <c r="G1837" s="2">
        <v>-443.42</v>
      </c>
      <c r="H1837" t="s">
        <v>2235</v>
      </c>
      <c r="J1837" s="18" t="s">
        <v>4327</v>
      </c>
    </row>
    <row r="1838" spans="3:10" x14ac:dyDescent="0.25">
      <c r="C1838" s="17" t="str">
        <f t="shared" si="29"/>
        <v>28.801011.-15166.7482..CLEAR SCHEDULE.</v>
      </c>
      <c r="E1838">
        <v>28</v>
      </c>
      <c r="F1838">
        <v>801011</v>
      </c>
      <c r="G1838" s="1">
        <v>-151.66</v>
      </c>
      <c r="H1838" t="s">
        <v>2236</v>
      </c>
      <c r="J1838" s="18" t="s">
        <v>4327</v>
      </c>
    </row>
    <row r="1839" spans="3:10" x14ac:dyDescent="0.25">
      <c r="C1839" s="17" t="str">
        <f t="shared" si="29"/>
        <v>28.801011.-9751.7483..CLEAR SCHEDULE.</v>
      </c>
      <c r="E1839">
        <v>28</v>
      </c>
      <c r="F1839">
        <v>801011</v>
      </c>
      <c r="G1839" s="2">
        <v>-97.51</v>
      </c>
      <c r="H1839" t="s">
        <v>2237</v>
      </c>
      <c r="J1839" s="18" t="s">
        <v>4327</v>
      </c>
    </row>
    <row r="1840" spans="3:10" x14ac:dyDescent="0.25">
      <c r="C1840" s="17" t="str">
        <f t="shared" si="29"/>
        <v>28.801011.-8771.7486..CLEAR SCHEDULE.</v>
      </c>
      <c r="E1840">
        <v>28</v>
      </c>
      <c r="F1840">
        <v>801011</v>
      </c>
      <c r="G1840" s="1">
        <v>-87.71</v>
      </c>
      <c r="H1840" t="s">
        <v>2238</v>
      </c>
      <c r="J1840" s="18" t="s">
        <v>4327</v>
      </c>
    </row>
    <row r="1841" spans="3:10" x14ac:dyDescent="0.25">
      <c r="C1841" s="17" t="str">
        <f t="shared" si="29"/>
        <v>28.801011.-15166.7488..CLEAR SCHEDULE.</v>
      </c>
      <c r="E1841">
        <v>28</v>
      </c>
      <c r="F1841">
        <v>801011</v>
      </c>
      <c r="G1841" s="2">
        <v>-151.66</v>
      </c>
      <c r="H1841" t="s">
        <v>2239</v>
      </c>
      <c r="J1841" s="18" t="s">
        <v>4327</v>
      </c>
    </row>
    <row r="1842" spans="3:10" x14ac:dyDescent="0.25">
      <c r="C1842" s="17" t="str">
        <f t="shared" si="29"/>
        <v>28.801011.-21935.7489..CLEAR SCHEDULE.</v>
      </c>
      <c r="E1842">
        <v>28</v>
      </c>
      <c r="F1842">
        <v>801011</v>
      </c>
      <c r="G1842" s="1">
        <v>-219.35</v>
      </c>
      <c r="H1842" t="s">
        <v>2240</v>
      </c>
      <c r="J1842" s="18" t="s">
        <v>4327</v>
      </c>
    </row>
    <row r="1843" spans="3:10" x14ac:dyDescent="0.25">
      <c r="C1843" s="17" t="str">
        <f t="shared" si="29"/>
        <v>28.801011.-58010.7490..CLEAR SCHEDULE.</v>
      </c>
      <c r="E1843">
        <v>28</v>
      </c>
      <c r="F1843">
        <v>801011</v>
      </c>
      <c r="G1843" s="2">
        <v>-580.1</v>
      </c>
      <c r="H1843" t="s">
        <v>2241</v>
      </c>
      <c r="J1843" s="18" t="s">
        <v>4327</v>
      </c>
    </row>
    <row r="1844" spans="3:10" x14ac:dyDescent="0.25">
      <c r="C1844" s="17" t="str">
        <f t="shared" si="29"/>
        <v>28.801011.-179621.7491..CLEAR SCHEDULE.</v>
      </c>
      <c r="E1844">
        <v>28</v>
      </c>
      <c r="F1844">
        <v>801011</v>
      </c>
      <c r="G1844" s="1">
        <v>-1796.21</v>
      </c>
      <c r="H1844" t="s">
        <v>2242</v>
      </c>
      <c r="J1844" s="18" t="s">
        <v>4327</v>
      </c>
    </row>
    <row r="1845" spans="3:10" x14ac:dyDescent="0.25">
      <c r="C1845" s="17" t="str">
        <f t="shared" si="29"/>
        <v>28.801011.-37059.7493..CLEAR SCHEDULE.</v>
      </c>
      <c r="E1845">
        <v>28</v>
      </c>
      <c r="F1845">
        <v>801011</v>
      </c>
      <c r="G1845" s="2">
        <v>-370.59</v>
      </c>
      <c r="H1845" t="s">
        <v>2243</v>
      </c>
      <c r="J1845" s="18" t="s">
        <v>4327</v>
      </c>
    </row>
    <row r="1846" spans="3:10" x14ac:dyDescent="0.25">
      <c r="C1846" s="17" t="str">
        <f t="shared" si="29"/>
        <v>28.801011.-16361.7494..CLEAR SCHEDULE.</v>
      </c>
      <c r="E1846">
        <v>28</v>
      </c>
      <c r="F1846">
        <v>801011</v>
      </c>
      <c r="G1846" s="1">
        <v>-163.61000000000001</v>
      </c>
      <c r="H1846" t="s">
        <v>2244</v>
      </c>
      <c r="J1846" s="18" t="s">
        <v>4327</v>
      </c>
    </row>
    <row r="1847" spans="3:10" x14ac:dyDescent="0.25">
      <c r="C1847" s="17" t="str">
        <f t="shared" si="29"/>
        <v>28.801011.-15945.7495..CLEAR SCHEDULE.</v>
      </c>
      <c r="E1847">
        <v>28</v>
      </c>
      <c r="F1847">
        <v>801011</v>
      </c>
      <c r="G1847" s="2">
        <v>-159.44999999999999</v>
      </c>
      <c r="H1847" t="s">
        <v>2245</v>
      </c>
      <c r="J1847" s="18" t="s">
        <v>4327</v>
      </c>
    </row>
    <row r="1848" spans="3:10" x14ac:dyDescent="0.25">
      <c r="C1848" s="17" t="str">
        <f t="shared" si="29"/>
        <v>28.801011.-18335.7497..CLEAR SCHEDULE.</v>
      </c>
      <c r="E1848">
        <v>28</v>
      </c>
      <c r="F1848">
        <v>801011</v>
      </c>
      <c r="G1848" s="1">
        <v>-183.35</v>
      </c>
      <c r="H1848" t="s">
        <v>2246</v>
      </c>
      <c r="J1848" s="18" t="s">
        <v>4327</v>
      </c>
    </row>
    <row r="1849" spans="3:10" x14ac:dyDescent="0.25">
      <c r="C1849" s="17" t="str">
        <f t="shared" si="29"/>
        <v>28.801011.-10530.7498..CLEAR SCHEDULE.</v>
      </c>
      <c r="E1849">
        <v>28</v>
      </c>
      <c r="F1849">
        <v>801011</v>
      </c>
      <c r="G1849" s="2">
        <v>-105.3</v>
      </c>
      <c r="H1849" t="s">
        <v>2247</v>
      </c>
      <c r="J1849" s="18" t="s">
        <v>4327</v>
      </c>
    </row>
    <row r="1850" spans="3:10" x14ac:dyDescent="0.25">
      <c r="C1850" s="17" t="str">
        <f t="shared" si="29"/>
        <v>28.801011.-166199.7499..CLEAR SCHEDULE.</v>
      </c>
      <c r="E1850">
        <v>28</v>
      </c>
      <c r="F1850">
        <v>801011</v>
      </c>
      <c r="G1850" s="1">
        <v>-1661.99</v>
      </c>
      <c r="H1850" t="s">
        <v>2248</v>
      </c>
      <c r="J1850" s="18" t="s">
        <v>4327</v>
      </c>
    </row>
    <row r="1851" spans="3:10" x14ac:dyDescent="0.25">
      <c r="C1851" s="17" t="str">
        <f t="shared" si="29"/>
        <v>28.801011.-99412.7500..CLEAR SCHEDULE.</v>
      </c>
      <c r="E1851">
        <v>28</v>
      </c>
      <c r="F1851">
        <v>801011</v>
      </c>
      <c r="G1851" s="2">
        <v>-994.12</v>
      </c>
      <c r="H1851" t="s">
        <v>2249</v>
      </c>
      <c r="J1851" s="18" t="s">
        <v>4327</v>
      </c>
    </row>
    <row r="1852" spans="3:10" x14ac:dyDescent="0.25">
      <c r="C1852" s="17" t="str">
        <f t="shared" si="29"/>
        <v>28.801011.-14387.7502..CLEAR SCHEDULE.</v>
      </c>
      <c r="E1852">
        <v>28</v>
      </c>
      <c r="F1852">
        <v>801011</v>
      </c>
      <c r="G1852" s="1">
        <v>-143.87</v>
      </c>
      <c r="H1852" t="s">
        <v>2250</v>
      </c>
      <c r="J1852" s="18" t="s">
        <v>4327</v>
      </c>
    </row>
    <row r="1853" spans="3:10" x14ac:dyDescent="0.25">
      <c r="C1853" s="17" t="str">
        <f t="shared" si="29"/>
        <v>28.801011.-32486.7503..CLEAR SCHEDULE.</v>
      </c>
      <c r="E1853">
        <v>28</v>
      </c>
      <c r="F1853">
        <v>801011</v>
      </c>
      <c r="G1853" s="2">
        <v>-324.86</v>
      </c>
      <c r="H1853" t="s">
        <v>2251</v>
      </c>
      <c r="J1853" s="18" t="s">
        <v>4327</v>
      </c>
    </row>
    <row r="1854" spans="3:10" x14ac:dyDescent="0.25">
      <c r="C1854" s="17" t="str">
        <f t="shared" si="29"/>
        <v>28.801011.-4800.7504..CLEAR SCHEDULE.</v>
      </c>
      <c r="E1854">
        <v>28</v>
      </c>
      <c r="F1854">
        <v>801011</v>
      </c>
      <c r="G1854" s="1">
        <v>-48</v>
      </c>
      <c r="H1854" t="s">
        <v>2252</v>
      </c>
      <c r="J1854" s="18" t="s">
        <v>4327</v>
      </c>
    </row>
    <row r="1855" spans="3:10" x14ac:dyDescent="0.25">
      <c r="C1855" s="17" t="str">
        <f t="shared" si="29"/>
        <v>28.801011.-647683.7505..CLEAR SCHEDULE.</v>
      </c>
      <c r="E1855">
        <v>28</v>
      </c>
      <c r="F1855">
        <v>801011</v>
      </c>
      <c r="G1855" s="2">
        <v>-6476.83</v>
      </c>
      <c r="H1855" t="s">
        <v>2253</v>
      </c>
      <c r="J1855" s="18" t="s">
        <v>4327</v>
      </c>
    </row>
    <row r="1856" spans="3:10" x14ac:dyDescent="0.25">
      <c r="C1856" s="17" t="str">
        <f t="shared" si="29"/>
        <v>28.801011.-15166.7507..CLEAR SCHEDULE.</v>
      </c>
      <c r="E1856">
        <v>28</v>
      </c>
      <c r="F1856">
        <v>801011</v>
      </c>
      <c r="G1856" s="1">
        <v>-151.66</v>
      </c>
      <c r="H1856" t="s">
        <v>2254</v>
      </c>
      <c r="J1856" s="18" t="s">
        <v>4327</v>
      </c>
    </row>
    <row r="1857" spans="3:10" x14ac:dyDescent="0.25">
      <c r="C1857" s="17" t="str">
        <f t="shared" si="29"/>
        <v>28.801011.-15945.7511..CLEAR SCHEDULE.</v>
      </c>
      <c r="E1857">
        <v>28</v>
      </c>
      <c r="F1857">
        <v>801011</v>
      </c>
      <c r="G1857" s="2">
        <v>-159.44999999999999</v>
      </c>
      <c r="H1857" t="s">
        <v>2255</v>
      </c>
      <c r="J1857" s="18" t="s">
        <v>4327</v>
      </c>
    </row>
    <row r="1858" spans="3:10" x14ac:dyDescent="0.25">
      <c r="C1858" s="17" t="str">
        <f t="shared" si="29"/>
        <v>28.801011.-55648.7514..CLEAR SCHEDULE.</v>
      </c>
      <c r="E1858">
        <v>28</v>
      </c>
      <c r="F1858">
        <v>801011</v>
      </c>
      <c r="G1858" s="1">
        <v>-556.48</v>
      </c>
      <c r="H1858" t="s">
        <v>2256</v>
      </c>
      <c r="J1858" s="18" t="s">
        <v>4327</v>
      </c>
    </row>
    <row r="1859" spans="3:10" x14ac:dyDescent="0.25">
      <c r="C1859" s="17" t="str">
        <f t="shared" si="29"/>
        <v>28.801011.-14387.7515..CLEAR SCHEDULE.</v>
      </c>
      <c r="E1859">
        <v>28</v>
      </c>
      <c r="F1859">
        <v>801011</v>
      </c>
      <c r="G1859" s="2">
        <v>-143.87</v>
      </c>
      <c r="H1859" t="s">
        <v>2257</v>
      </c>
      <c r="J1859" s="18" t="s">
        <v>4327</v>
      </c>
    </row>
    <row r="1860" spans="3:10" x14ac:dyDescent="0.25">
      <c r="C1860" s="17" t="str">
        <f t="shared" si="29"/>
        <v>28.801011.-124343.7518..CLEAR SCHEDULE.</v>
      </c>
      <c r="E1860">
        <v>28</v>
      </c>
      <c r="F1860">
        <v>801011</v>
      </c>
      <c r="G1860" s="1">
        <v>-1243.43</v>
      </c>
      <c r="H1860" t="s">
        <v>2258</v>
      </c>
      <c r="J1860" s="18" t="s">
        <v>4327</v>
      </c>
    </row>
    <row r="1861" spans="3:10" x14ac:dyDescent="0.25">
      <c r="C1861" s="17" t="str">
        <f t="shared" si="29"/>
        <v>28.801011.-52290.7528..CLEAR SCHEDULE.</v>
      </c>
      <c r="E1861">
        <v>28</v>
      </c>
      <c r="F1861">
        <v>801011</v>
      </c>
      <c r="G1861" s="2">
        <v>-522.9</v>
      </c>
      <c r="H1861" t="s">
        <v>2259</v>
      </c>
      <c r="J1861" s="18" t="s">
        <v>4327</v>
      </c>
    </row>
    <row r="1862" spans="3:10" x14ac:dyDescent="0.25">
      <c r="C1862" s="17" t="str">
        <f t="shared" si="29"/>
        <v>28.801011.-23690.7530..CLEAR SCHEDULE.</v>
      </c>
      <c r="E1862">
        <v>28</v>
      </c>
      <c r="F1862">
        <v>801011</v>
      </c>
      <c r="G1862" s="1">
        <v>-236.9</v>
      </c>
      <c r="H1862" t="s">
        <v>2260</v>
      </c>
      <c r="J1862" s="18" t="s">
        <v>4327</v>
      </c>
    </row>
    <row r="1863" spans="3:10" x14ac:dyDescent="0.25">
      <c r="C1863" s="17" t="str">
        <f t="shared" si="29"/>
        <v>28.801011.-53274.7531..CLEAR SCHEDULE.</v>
      </c>
      <c r="E1863">
        <v>28</v>
      </c>
      <c r="F1863">
        <v>801011</v>
      </c>
      <c r="G1863" s="2">
        <v>-532.74</v>
      </c>
      <c r="H1863" t="s">
        <v>2261</v>
      </c>
      <c r="J1863" s="18" t="s">
        <v>4327</v>
      </c>
    </row>
    <row r="1864" spans="3:10" x14ac:dyDescent="0.25">
      <c r="C1864" s="17" t="str">
        <f t="shared" si="29"/>
        <v>28.801011.-147938.7532..CLEAR SCHEDULE.</v>
      </c>
      <c r="E1864">
        <v>28</v>
      </c>
      <c r="F1864">
        <v>801011</v>
      </c>
      <c r="G1864" s="1">
        <v>-1479.38</v>
      </c>
      <c r="H1864" t="s">
        <v>2262</v>
      </c>
      <c r="J1864" s="18" t="s">
        <v>4327</v>
      </c>
    </row>
    <row r="1865" spans="3:10" x14ac:dyDescent="0.25">
      <c r="C1865" s="17" t="str">
        <f t="shared" si="29"/>
        <v>28.801011.-14387.7537..CLEAR SCHEDULE.</v>
      </c>
      <c r="E1865">
        <v>28</v>
      </c>
      <c r="F1865">
        <v>801011</v>
      </c>
      <c r="G1865" s="2">
        <v>-143.87</v>
      </c>
      <c r="H1865" t="s">
        <v>2263</v>
      </c>
      <c r="J1865" s="18" t="s">
        <v>4327</v>
      </c>
    </row>
    <row r="1866" spans="3:10" x14ac:dyDescent="0.25">
      <c r="C1866" s="17" t="str">
        <f t="shared" si="29"/>
        <v>28.801011.-10530.7540..CLEAR SCHEDULE.</v>
      </c>
      <c r="E1866">
        <v>28</v>
      </c>
      <c r="F1866">
        <v>801011</v>
      </c>
      <c r="G1866" s="1">
        <v>-105.3</v>
      </c>
      <c r="H1866" t="s">
        <v>2264</v>
      </c>
      <c r="J1866" s="18" t="s">
        <v>4327</v>
      </c>
    </row>
    <row r="1867" spans="3:10" x14ac:dyDescent="0.25">
      <c r="C1867" s="17" t="str">
        <f t="shared" ref="C1867:C1930" si="30">IF(G1867=0,"",(E1867&amp;"."&amp;F1867&amp;"."&amp;G1867*100&amp;"."&amp;H1867&amp;"."&amp;I1867&amp;"."&amp;J1867&amp;"."&amp;K1867))</f>
        <v>28.801011.-90738.7543..CLEAR SCHEDULE.</v>
      </c>
      <c r="E1867">
        <v>28</v>
      </c>
      <c r="F1867">
        <v>801011</v>
      </c>
      <c r="G1867" s="2">
        <v>-907.38</v>
      </c>
      <c r="H1867" t="s">
        <v>2265</v>
      </c>
      <c r="J1867" s="18" t="s">
        <v>4327</v>
      </c>
    </row>
    <row r="1868" spans="3:10" x14ac:dyDescent="0.25">
      <c r="C1868" s="17" t="str">
        <f t="shared" si="30"/>
        <v>28.801011.-14387.7546..CLEAR SCHEDULE.</v>
      </c>
      <c r="E1868">
        <v>28</v>
      </c>
      <c r="F1868">
        <v>801011</v>
      </c>
      <c r="G1868" s="1">
        <v>-143.87</v>
      </c>
      <c r="H1868" t="s">
        <v>2266</v>
      </c>
      <c r="J1868" s="18" t="s">
        <v>4327</v>
      </c>
    </row>
    <row r="1869" spans="3:10" x14ac:dyDescent="0.25">
      <c r="C1869" s="17" t="str">
        <f t="shared" si="30"/>
        <v>28.801011.-8972.7548..CLEAR SCHEDULE.</v>
      </c>
      <c r="E1869">
        <v>28</v>
      </c>
      <c r="F1869">
        <v>801011</v>
      </c>
      <c r="G1869" s="2">
        <v>-89.72</v>
      </c>
      <c r="H1869" t="s">
        <v>2267</v>
      </c>
      <c r="J1869" s="18" t="s">
        <v>4327</v>
      </c>
    </row>
    <row r="1870" spans="3:10" x14ac:dyDescent="0.25">
      <c r="C1870" s="17" t="str">
        <f t="shared" si="30"/>
        <v>28.801011.-160501.7549..CLEAR SCHEDULE.</v>
      </c>
      <c r="E1870">
        <v>28</v>
      </c>
      <c r="F1870">
        <v>801011</v>
      </c>
      <c r="G1870" s="1">
        <v>-1605.01</v>
      </c>
      <c r="H1870" t="s">
        <v>2268</v>
      </c>
      <c r="J1870" s="18" t="s">
        <v>4327</v>
      </c>
    </row>
    <row r="1871" spans="3:10" x14ac:dyDescent="0.25">
      <c r="C1871" s="17" t="str">
        <f t="shared" si="30"/>
        <v>28.801011.-14387.7551..CLEAR SCHEDULE.</v>
      </c>
      <c r="E1871">
        <v>28</v>
      </c>
      <c r="F1871">
        <v>801011</v>
      </c>
      <c r="G1871" s="2">
        <v>-143.87</v>
      </c>
      <c r="H1871" t="s">
        <v>2269</v>
      </c>
      <c r="J1871" s="18" t="s">
        <v>4327</v>
      </c>
    </row>
    <row r="1872" spans="3:10" x14ac:dyDescent="0.25">
      <c r="C1872" s="17" t="str">
        <f t="shared" si="30"/>
        <v>28.801011.-5415.7554..CLEAR SCHEDULE.</v>
      </c>
      <c r="E1872">
        <v>28</v>
      </c>
      <c r="F1872">
        <v>801011</v>
      </c>
      <c r="G1872" s="1">
        <v>-54.15</v>
      </c>
      <c r="H1872" t="s">
        <v>2270</v>
      </c>
      <c r="J1872" s="18" t="s">
        <v>4327</v>
      </c>
    </row>
    <row r="1873" spans="3:10" x14ac:dyDescent="0.25">
      <c r="C1873" s="17" t="str">
        <f t="shared" si="30"/>
        <v>28.801011.-61224.7555..CLEAR SCHEDULE.</v>
      </c>
      <c r="E1873">
        <v>28</v>
      </c>
      <c r="F1873">
        <v>801011</v>
      </c>
      <c r="G1873" s="2">
        <v>-612.24</v>
      </c>
      <c r="H1873" t="s">
        <v>2271</v>
      </c>
      <c r="J1873" s="18" t="s">
        <v>4327</v>
      </c>
    </row>
    <row r="1874" spans="3:10" x14ac:dyDescent="0.25">
      <c r="C1874" s="17" t="str">
        <f t="shared" si="30"/>
        <v>28.801011.-5415.7559..CLEAR SCHEDULE.</v>
      </c>
      <c r="E1874">
        <v>28</v>
      </c>
      <c r="F1874">
        <v>801011</v>
      </c>
      <c r="G1874" s="1">
        <v>-54.15</v>
      </c>
      <c r="H1874" t="s">
        <v>2272</v>
      </c>
      <c r="J1874" s="18" t="s">
        <v>4327</v>
      </c>
    </row>
    <row r="1875" spans="3:10" x14ac:dyDescent="0.25">
      <c r="C1875" s="17" t="str">
        <f t="shared" si="30"/>
        <v>28.801011.-69578.7561..CLEAR SCHEDULE.</v>
      </c>
      <c r="E1875">
        <v>28</v>
      </c>
      <c r="F1875">
        <v>801011</v>
      </c>
      <c r="G1875" s="2">
        <v>-695.78</v>
      </c>
      <c r="H1875" t="s">
        <v>2273</v>
      </c>
      <c r="J1875" s="18" t="s">
        <v>4327</v>
      </c>
    </row>
    <row r="1876" spans="3:10" x14ac:dyDescent="0.25">
      <c r="C1876" s="17" t="str">
        <f t="shared" si="30"/>
        <v>28.801011.-14387.7564..CLEAR SCHEDULE.</v>
      </c>
      <c r="E1876">
        <v>28</v>
      </c>
      <c r="F1876">
        <v>801011</v>
      </c>
      <c r="G1876" s="1">
        <v>-143.87</v>
      </c>
      <c r="H1876" t="s">
        <v>2274</v>
      </c>
      <c r="J1876" s="18" t="s">
        <v>4327</v>
      </c>
    </row>
    <row r="1877" spans="3:10" x14ac:dyDescent="0.25">
      <c r="C1877" s="17" t="str">
        <f t="shared" si="30"/>
        <v>28.801011.-8972.7565..CLEAR SCHEDULE.</v>
      </c>
      <c r="E1877">
        <v>28</v>
      </c>
      <c r="F1877">
        <v>801011</v>
      </c>
      <c r="G1877" s="2">
        <v>-89.72</v>
      </c>
      <c r="H1877" t="s">
        <v>2275</v>
      </c>
      <c r="J1877" s="18" t="s">
        <v>4327</v>
      </c>
    </row>
    <row r="1878" spans="3:10" x14ac:dyDescent="0.25">
      <c r="C1878" s="17" t="str">
        <f t="shared" si="30"/>
        <v>28.801011.-24012.7566..CLEAR SCHEDULE.</v>
      </c>
      <c r="E1878">
        <v>28</v>
      </c>
      <c r="F1878">
        <v>801011</v>
      </c>
      <c r="G1878" s="1">
        <v>-240.12</v>
      </c>
      <c r="H1878" t="s">
        <v>2276</v>
      </c>
      <c r="J1878" s="18" t="s">
        <v>4327</v>
      </c>
    </row>
    <row r="1879" spans="3:10" x14ac:dyDescent="0.25">
      <c r="C1879" s="17" t="str">
        <f t="shared" si="30"/>
        <v>28.801011.-15166.7570..CLEAR SCHEDULE.</v>
      </c>
      <c r="E1879">
        <v>28</v>
      </c>
      <c r="F1879">
        <v>801011</v>
      </c>
      <c r="G1879" s="2">
        <v>-151.66</v>
      </c>
      <c r="H1879" t="s">
        <v>2277</v>
      </c>
      <c r="J1879" s="18" t="s">
        <v>4327</v>
      </c>
    </row>
    <row r="1880" spans="3:10" x14ac:dyDescent="0.25">
      <c r="C1880" s="17" t="str">
        <f t="shared" si="30"/>
        <v>28.801011.-8972.7571..CLEAR SCHEDULE.</v>
      </c>
      <c r="E1880">
        <v>28</v>
      </c>
      <c r="F1880">
        <v>801011</v>
      </c>
      <c r="G1880" s="1">
        <v>-89.72</v>
      </c>
      <c r="H1880" t="s">
        <v>2278</v>
      </c>
      <c r="J1880" s="18" t="s">
        <v>4327</v>
      </c>
    </row>
    <row r="1881" spans="3:10" x14ac:dyDescent="0.25">
      <c r="C1881" s="17" t="str">
        <f t="shared" si="30"/>
        <v>28.801011.-26059.7572..CLEAR SCHEDULE.</v>
      </c>
      <c r="E1881">
        <v>28</v>
      </c>
      <c r="F1881">
        <v>801011</v>
      </c>
      <c r="G1881" s="2">
        <v>-260.58999999999997</v>
      </c>
      <c r="H1881" t="s">
        <v>2279</v>
      </c>
      <c r="J1881" s="18" t="s">
        <v>4327</v>
      </c>
    </row>
    <row r="1882" spans="3:10" x14ac:dyDescent="0.25">
      <c r="C1882" s="17" t="str">
        <f t="shared" si="30"/>
        <v>28.801011.-35687.7573..CLEAR SCHEDULE.</v>
      </c>
      <c r="E1882">
        <v>28</v>
      </c>
      <c r="F1882">
        <v>801011</v>
      </c>
      <c r="G1882" s="1">
        <v>-356.87</v>
      </c>
      <c r="H1882" t="s">
        <v>2280</v>
      </c>
      <c r="J1882" s="18" t="s">
        <v>4327</v>
      </c>
    </row>
    <row r="1883" spans="3:10" x14ac:dyDescent="0.25">
      <c r="C1883" s="17" t="str">
        <f t="shared" si="30"/>
        <v>28.801011.-9476.7574..CLEAR SCHEDULE.</v>
      </c>
      <c r="E1883">
        <v>28</v>
      </c>
      <c r="F1883">
        <v>801011</v>
      </c>
      <c r="G1883" s="2">
        <v>-94.76</v>
      </c>
      <c r="H1883" t="s">
        <v>2281</v>
      </c>
      <c r="J1883" s="18" t="s">
        <v>4327</v>
      </c>
    </row>
    <row r="1884" spans="3:10" x14ac:dyDescent="0.25">
      <c r="C1884" s="17" t="str">
        <f t="shared" si="30"/>
        <v>28.801011.-95683.7575..CLEAR SCHEDULE.</v>
      </c>
      <c r="E1884">
        <v>28</v>
      </c>
      <c r="F1884">
        <v>801011</v>
      </c>
      <c r="G1884" s="1">
        <v>-956.83</v>
      </c>
      <c r="H1884" t="s">
        <v>2282</v>
      </c>
      <c r="J1884" s="18" t="s">
        <v>4327</v>
      </c>
    </row>
    <row r="1885" spans="3:10" x14ac:dyDescent="0.25">
      <c r="C1885" s="17" t="str">
        <f t="shared" si="30"/>
        <v>28.801011.-19742.7576..CLEAR SCHEDULE.</v>
      </c>
      <c r="E1885">
        <v>28</v>
      </c>
      <c r="F1885">
        <v>801011</v>
      </c>
      <c r="G1885" s="2">
        <v>-197.42</v>
      </c>
      <c r="H1885" t="s">
        <v>2283</v>
      </c>
      <c r="J1885" s="18" t="s">
        <v>4327</v>
      </c>
    </row>
    <row r="1886" spans="3:10" x14ac:dyDescent="0.25">
      <c r="C1886" s="17" t="str">
        <f t="shared" si="30"/>
        <v>28.801011.-15166.7577..CLEAR SCHEDULE.</v>
      </c>
      <c r="E1886">
        <v>28</v>
      </c>
      <c r="F1886">
        <v>801011</v>
      </c>
      <c r="G1886" s="1">
        <v>-151.66</v>
      </c>
      <c r="H1886" t="s">
        <v>2284</v>
      </c>
      <c r="J1886" s="18" t="s">
        <v>4327</v>
      </c>
    </row>
    <row r="1887" spans="3:10" x14ac:dyDescent="0.25">
      <c r="C1887" s="17" t="str">
        <f t="shared" si="30"/>
        <v>28.801011.-8972.7578..CLEAR SCHEDULE.</v>
      </c>
      <c r="E1887">
        <v>28</v>
      </c>
      <c r="F1887">
        <v>801011</v>
      </c>
      <c r="G1887" s="2">
        <v>-89.72</v>
      </c>
      <c r="H1887" t="s">
        <v>2285</v>
      </c>
      <c r="J1887" s="18" t="s">
        <v>4327</v>
      </c>
    </row>
    <row r="1888" spans="3:10" x14ac:dyDescent="0.25">
      <c r="C1888" s="17" t="str">
        <f t="shared" si="30"/>
        <v>28.801011.-23366.7579..CLEAR SCHEDULE.</v>
      </c>
      <c r="E1888">
        <v>28</v>
      </c>
      <c r="F1888">
        <v>801011</v>
      </c>
      <c r="G1888" s="1">
        <v>-233.66</v>
      </c>
      <c r="H1888" t="s">
        <v>2286</v>
      </c>
      <c r="J1888" s="18" t="s">
        <v>4327</v>
      </c>
    </row>
    <row r="1889" spans="3:10" x14ac:dyDescent="0.25">
      <c r="C1889" s="17" t="str">
        <f t="shared" si="30"/>
        <v>28.801011.-41368.7584..CLEAR SCHEDULE.</v>
      </c>
      <c r="E1889">
        <v>28</v>
      </c>
      <c r="F1889">
        <v>801011</v>
      </c>
      <c r="G1889" s="2">
        <v>-413.68</v>
      </c>
      <c r="H1889" t="s">
        <v>2287</v>
      </c>
      <c r="J1889" s="18" t="s">
        <v>4327</v>
      </c>
    </row>
    <row r="1890" spans="3:10" x14ac:dyDescent="0.25">
      <c r="C1890" s="17" t="str">
        <f t="shared" si="30"/>
        <v>28.801011.-22371.7585..CLEAR SCHEDULE.</v>
      </c>
      <c r="E1890">
        <v>28</v>
      </c>
      <c r="F1890">
        <v>801011</v>
      </c>
      <c r="G1890" s="1">
        <v>-223.71</v>
      </c>
      <c r="H1890" t="s">
        <v>2288</v>
      </c>
      <c r="J1890" s="18" t="s">
        <v>4327</v>
      </c>
    </row>
    <row r="1891" spans="3:10" x14ac:dyDescent="0.25">
      <c r="C1891" s="17" t="str">
        <f t="shared" si="30"/>
        <v>28.801011.-24903.7586..CLEAR SCHEDULE.</v>
      </c>
      <c r="E1891">
        <v>28</v>
      </c>
      <c r="F1891">
        <v>801011</v>
      </c>
      <c r="G1891" s="2">
        <v>-249.03</v>
      </c>
      <c r="H1891" t="s">
        <v>2289</v>
      </c>
      <c r="J1891" s="18" t="s">
        <v>4327</v>
      </c>
    </row>
    <row r="1892" spans="3:10" x14ac:dyDescent="0.25">
      <c r="C1892" s="17" t="str">
        <f t="shared" si="30"/>
        <v>28.801011.-14387.7587..CLEAR SCHEDULE.</v>
      </c>
      <c r="E1892">
        <v>28</v>
      </c>
      <c r="F1892">
        <v>801011</v>
      </c>
      <c r="G1892" s="1">
        <v>-143.87</v>
      </c>
      <c r="H1892" t="s">
        <v>2290</v>
      </c>
      <c r="J1892" s="18" t="s">
        <v>4327</v>
      </c>
    </row>
    <row r="1893" spans="3:10" x14ac:dyDescent="0.25">
      <c r="C1893" s="17" t="str">
        <f t="shared" si="30"/>
        <v>28.801011.-15945.7588..CLEAR SCHEDULE.</v>
      </c>
      <c r="E1893">
        <v>28</v>
      </c>
      <c r="F1893">
        <v>801011</v>
      </c>
      <c r="G1893" s="2">
        <v>-159.44999999999999</v>
      </c>
      <c r="H1893" t="s">
        <v>2291</v>
      </c>
      <c r="J1893" s="18" t="s">
        <v>4327</v>
      </c>
    </row>
    <row r="1894" spans="3:10" x14ac:dyDescent="0.25">
      <c r="C1894" s="17" t="str">
        <f t="shared" si="30"/>
        <v>28.801011.-14897.7589..CLEAR SCHEDULE.</v>
      </c>
      <c r="E1894">
        <v>28</v>
      </c>
      <c r="F1894">
        <v>801011</v>
      </c>
      <c r="G1894" s="1">
        <v>-148.97</v>
      </c>
      <c r="H1894" t="s">
        <v>2292</v>
      </c>
      <c r="J1894" s="18" t="s">
        <v>4327</v>
      </c>
    </row>
    <row r="1895" spans="3:10" x14ac:dyDescent="0.25">
      <c r="C1895" s="17" t="str">
        <f t="shared" si="30"/>
        <v>28.801011.-37753.7591..CLEAR SCHEDULE.</v>
      </c>
      <c r="E1895">
        <v>28</v>
      </c>
      <c r="F1895">
        <v>801011</v>
      </c>
      <c r="G1895" s="2">
        <v>-377.53</v>
      </c>
      <c r="H1895" t="s">
        <v>2293</v>
      </c>
      <c r="J1895" s="18" t="s">
        <v>4327</v>
      </c>
    </row>
    <row r="1896" spans="3:10" x14ac:dyDescent="0.25">
      <c r="C1896" s="17" t="str">
        <f t="shared" si="30"/>
        <v>28.801011.-13668.7595..CLEAR SCHEDULE.</v>
      </c>
      <c r="E1896">
        <v>28</v>
      </c>
      <c r="F1896">
        <v>801011</v>
      </c>
      <c r="G1896" s="1">
        <v>-136.68</v>
      </c>
      <c r="H1896" t="s">
        <v>2294</v>
      </c>
      <c r="J1896" s="18" t="s">
        <v>4327</v>
      </c>
    </row>
    <row r="1897" spans="3:10" x14ac:dyDescent="0.25">
      <c r="C1897" s="17" t="str">
        <f t="shared" si="30"/>
        <v>28.801011.-30364.7596..CLEAR SCHEDULE.</v>
      </c>
      <c r="E1897">
        <v>28</v>
      </c>
      <c r="F1897">
        <v>801011</v>
      </c>
      <c r="G1897" s="2">
        <v>-303.64</v>
      </c>
      <c r="H1897" t="s">
        <v>2295</v>
      </c>
      <c r="J1897" s="18" t="s">
        <v>4327</v>
      </c>
    </row>
    <row r="1898" spans="3:10" x14ac:dyDescent="0.25">
      <c r="C1898" s="17" t="str">
        <f t="shared" si="30"/>
        <v>28.801011.-17535.7598..CLEAR SCHEDULE.</v>
      </c>
      <c r="E1898">
        <v>28</v>
      </c>
      <c r="F1898">
        <v>801011</v>
      </c>
      <c r="G1898" s="1">
        <v>-175.35</v>
      </c>
      <c r="H1898" t="s">
        <v>2296</v>
      </c>
      <c r="J1898" s="18" t="s">
        <v>4327</v>
      </c>
    </row>
    <row r="1899" spans="3:10" x14ac:dyDescent="0.25">
      <c r="C1899" s="17" t="str">
        <f t="shared" si="30"/>
        <v>28.801011.-52091.7599..CLEAR SCHEDULE.</v>
      </c>
      <c r="E1899">
        <v>28</v>
      </c>
      <c r="F1899">
        <v>801011</v>
      </c>
      <c r="G1899" s="2">
        <v>-520.91</v>
      </c>
      <c r="H1899" t="s">
        <v>2297</v>
      </c>
      <c r="J1899" s="18" t="s">
        <v>4327</v>
      </c>
    </row>
    <row r="1900" spans="3:10" x14ac:dyDescent="0.25">
      <c r="C1900" s="17" t="str">
        <f t="shared" si="30"/>
        <v>28.801011.-149086.7600..CLEAR SCHEDULE.</v>
      </c>
      <c r="E1900">
        <v>28</v>
      </c>
      <c r="F1900">
        <v>801011</v>
      </c>
      <c r="G1900" s="1">
        <v>-1490.86</v>
      </c>
      <c r="H1900" t="s">
        <v>2298</v>
      </c>
      <c r="J1900" s="18" t="s">
        <v>4327</v>
      </c>
    </row>
    <row r="1901" spans="3:10" x14ac:dyDescent="0.25">
      <c r="C1901" s="17" t="str">
        <f t="shared" si="30"/>
        <v>28.801011.-65781.7602..CLEAR SCHEDULE.</v>
      </c>
      <c r="E1901">
        <v>28</v>
      </c>
      <c r="F1901">
        <v>801011</v>
      </c>
      <c r="G1901" s="2">
        <v>-657.81</v>
      </c>
      <c r="H1901" t="s">
        <v>2299</v>
      </c>
      <c r="J1901" s="18" t="s">
        <v>4327</v>
      </c>
    </row>
    <row r="1902" spans="3:10" x14ac:dyDescent="0.25">
      <c r="C1902" s="17" t="str">
        <f t="shared" si="30"/>
        <v>28.801011.-158602.7603..CLEAR SCHEDULE.</v>
      </c>
      <c r="E1902">
        <v>28</v>
      </c>
      <c r="F1902">
        <v>801011</v>
      </c>
      <c r="G1902" s="1">
        <v>-1586.02</v>
      </c>
      <c r="H1902" t="s">
        <v>2300</v>
      </c>
      <c r="J1902" s="18" t="s">
        <v>4327</v>
      </c>
    </row>
    <row r="1903" spans="3:10" x14ac:dyDescent="0.25">
      <c r="C1903" s="17" t="str">
        <f t="shared" si="30"/>
        <v>28.801011.-30811.7604..CLEAR SCHEDULE.</v>
      </c>
      <c r="E1903">
        <v>28</v>
      </c>
      <c r="F1903">
        <v>801011</v>
      </c>
      <c r="G1903" s="2">
        <v>-308.11</v>
      </c>
      <c r="H1903" t="s">
        <v>2301</v>
      </c>
      <c r="J1903" s="18" t="s">
        <v>4327</v>
      </c>
    </row>
    <row r="1904" spans="3:10" x14ac:dyDescent="0.25">
      <c r="C1904" s="17" t="str">
        <f t="shared" si="30"/>
        <v>28.801011.-115054.7606..CLEAR SCHEDULE.</v>
      </c>
      <c r="E1904">
        <v>28</v>
      </c>
      <c r="F1904">
        <v>801011</v>
      </c>
      <c r="G1904" s="1">
        <v>-1150.54</v>
      </c>
      <c r="H1904" t="s">
        <v>2302</v>
      </c>
      <c r="J1904" s="18" t="s">
        <v>4327</v>
      </c>
    </row>
    <row r="1905" spans="3:10" x14ac:dyDescent="0.25">
      <c r="C1905" s="17" t="str">
        <f t="shared" si="30"/>
        <v>28.801011.-35420.7608..CLEAR SCHEDULE.</v>
      </c>
      <c r="E1905">
        <v>28</v>
      </c>
      <c r="F1905">
        <v>801011</v>
      </c>
      <c r="G1905" s="2">
        <v>-354.2</v>
      </c>
      <c r="H1905" t="s">
        <v>2303</v>
      </c>
      <c r="J1905" s="18" t="s">
        <v>4327</v>
      </c>
    </row>
    <row r="1906" spans="3:10" x14ac:dyDescent="0.25">
      <c r="C1906" s="17" t="str">
        <f t="shared" si="30"/>
        <v>28.801011.-642245.7610..CLEAR SCHEDULE.</v>
      </c>
      <c r="E1906">
        <v>28</v>
      </c>
      <c r="F1906">
        <v>801011</v>
      </c>
      <c r="G1906" s="1">
        <v>-6422.45</v>
      </c>
      <c r="H1906" t="s">
        <v>2304</v>
      </c>
      <c r="J1906" s="18" t="s">
        <v>4327</v>
      </c>
    </row>
    <row r="1907" spans="3:10" x14ac:dyDescent="0.25">
      <c r="C1907" s="17" t="str">
        <f t="shared" si="30"/>
        <v>28.801011.-86640.7613..CLEAR SCHEDULE.</v>
      </c>
      <c r="E1907">
        <v>28</v>
      </c>
      <c r="F1907">
        <v>801011</v>
      </c>
      <c r="G1907" s="2">
        <v>-866.4</v>
      </c>
      <c r="H1907" t="s">
        <v>2305</v>
      </c>
      <c r="J1907" s="18" t="s">
        <v>4327</v>
      </c>
    </row>
    <row r="1908" spans="3:10" x14ac:dyDescent="0.25">
      <c r="C1908" s="17" t="str">
        <f t="shared" si="30"/>
        <v>28.801011.-19265.7614..CLEAR SCHEDULE.</v>
      </c>
      <c r="E1908">
        <v>28</v>
      </c>
      <c r="F1908">
        <v>801011</v>
      </c>
      <c r="G1908" s="1">
        <v>-192.65</v>
      </c>
      <c r="H1908" t="s">
        <v>2306</v>
      </c>
      <c r="J1908" s="18" t="s">
        <v>4327</v>
      </c>
    </row>
    <row r="1909" spans="3:10" x14ac:dyDescent="0.25">
      <c r="C1909" s="17" t="str">
        <f t="shared" si="30"/>
        <v>28.801011.-24174.7616..CLEAR SCHEDULE.</v>
      </c>
      <c r="E1909">
        <v>28</v>
      </c>
      <c r="F1909">
        <v>801011</v>
      </c>
      <c r="G1909" s="2">
        <v>-241.74</v>
      </c>
      <c r="H1909" t="s">
        <v>2307</v>
      </c>
      <c r="J1909" s="18" t="s">
        <v>4327</v>
      </c>
    </row>
    <row r="1910" spans="3:10" x14ac:dyDescent="0.25">
      <c r="C1910" s="17" t="str">
        <f t="shared" si="30"/>
        <v>28.801011.-11309.7617..CLEAR SCHEDULE.</v>
      </c>
      <c r="E1910">
        <v>28</v>
      </c>
      <c r="F1910">
        <v>801011</v>
      </c>
      <c r="G1910" s="1">
        <v>-113.09</v>
      </c>
      <c r="H1910" t="s">
        <v>2308</v>
      </c>
      <c r="J1910" s="18" t="s">
        <v>4327</v>
      </c>
    </row>
    <row r="1911" spans="3:10" x14ac:dyDescent="0.25">
      <c r="C1911" s="17" t="str">
        <f t="shared" si="30"/>
        <v>28.801011.-14387.7619..CLEAR SCHEDULE.</v>
      </c>
      <c r="E1911">
        <v>28</v>
      </c>
      <c r="F1911">
        <v>801011</v>
      </c>
      <c r="G1911" s="2">
        <v>-143.87</v>
      </c>
      <c r="H1911" t="s">
        <v>2309</v>
      </c>
      <c r="J1911" s="18" t="s">
        <v>4327</v>
      </c>
    </row>
    <row r="1912" spans="3:10" x14ac:dyDescent="0.25">
      <c r="C1912" s="17" t="str">
        <f t="shared" si="30"/>
        <v>28.801011.-22553.7620..CLEAR SCHEDULE.</v>
      </c>
      <c r="E1912">
        <v>28</v>
      </c>
      <c r="F1912">
        <v>801011</v>
      </c>
      <c r="G1912" s="1">
        <v>-225.53</v>
      </c>
      <c r="H1912" t="s">
        <v>2310</v>
      </c>
      <c r="J1912" s="18" t="s">
        <v>4327</v>
      </c>
    </row>
    <row r="1913" spans="3:10" x14ac:dyDescent="0.25">
      <c r="C1913" s="17" t="str">
        <f t="shared" si="30"/>
        <v>28.801011.-26910.7622..CLEAR SCHEDULE.</v>
      </c>
      <c r="E1913">
        <v>28</v>
      </c>
      <c r="F1913">
        <v>801011</v>
      </c>
      <c r="G1913" s="2">
        <v>-269.10000000000002</v>
      </c>
      <c r="H1913" t="s">
        <v>2311</v>
      </c>
      <c r="J1913" s="18" t="s">
        <v>4327</v>
      </c>
    </row>
    <row r="1914" spans="3:10" x14ac:dyDescent="0.25">
      <c r="C1914" s="17" t="str">
        <f t="shared" si="30"/>
        <v>28.801011.-95057.7623..CLEAR SCHEDULE.</v>
      </c>
      <c r="E1914">
        <v>28</v>
      </c>
      <c r="F1914">
        <v>801011</v>
      </c>
      <c r="G1914" s="1">
        <v>-950.57</v>
      </c>
      <c r="H1914" t="s">
        <v>2312</v>
      </c>
      <c r="J1914" s="18" t="s">
        <v>4327</v>
      </c>
    </row>
    <row r="1915" spans="3:10" x14ac:dyDescent="0.25">
      <c r="C1915" s="17" t="str">
        <f t="shared" si="30"/>
        <v>28.801011.-37887.7625..CLEAR SCHEDULE.</v>
      </c>
      <c r="E1915">
        <v>28</v>
      </c>
      <c r="F1915">
        <v>801011</v>
      </c>
      <c r="G1915" s="2">
        <v>-378.87</v>
      </c>
      <c r="H1915" t="s">
        <v>2313</v>
      </c>
      <c r="J1915" s="18" t="s">
        <v>4327</v>
      </c>
    </row>
    <row r="1916" spans="3:10" x14ac:dyDescent="0.25">
      <c r="C1916" s="17" t="str">
        <f t="shared" si="30"/>
        <v>28.801011.-29954.7630..CLEAR SCHEDULE.</v>
      </c>
      <c r="E1916">
        <v>28</v>
      </c>
      <c r="F1916">
        <v>801011</v>
      </c>
      <c r="G1916" s="1">
        <v>-299.54000000000002</v>
      </c>
      <c r="H1916" t="s">
        <v>2314</v>
      </c>
      <c r="J1916" s="18" t="s">
        <v>4327</v>
      </c>
    </row>
    <row r="1917" spans="3:10" x14ac:dyDescent="0.25">
      <c r="C1917" s="17" t="str">
        <f t="shared" si="30"/>
        <v>28.801011.-5415.7635..CLEAR SCHEDULE.</v>
      </c>
      <c r="E1917">
        <v>28</v>
      </c>
      <c r="F1917">
        <v>801011</v>
      </c>
      <c r="G1917" s="2">
        <v>-54.15</v>
      </c>
      <c r="H1917" t="s">
        <v>2315</v>
      </c>
      <c r="J1917" s="18" t="s">
        <v>4327</v>
      </c>
    </row>
    <row r="1918" spans="3:10" x14ac:dyDescent="0.25">
      <c r="C1918" s="17" t="str">
        <f t="shared" si="30"/>
        <v>28.801011.-1995.7636..CLEAR SCHEDULE.</v>
      </c>
      <c r="E1918">
        <v>28</v>
      </c>
      <c r="F1918">
        <v>801011</v>
      </c>
      <c r="G1918" s="1">
        <v>-19.95</v>
      </c>
      <c r="H1918" t="s">
        <v>2316</v>
      </c>
      <c r="J1918" s="18" t="s">
        <v>4327</v>
      </c>
    </row>
    <row r="1919" spans="3:10" x14ac:dyDescent="0.25">
      <c r="C1919" s="17" t="str">
        <f t="shared" si="30"/>
        <v>28.801011.-13410.7638..CLEAR SCHEDULE.</v>
      </c>
      <c r="E1919">
        <v>28</v>
      </c>
      <c r="F1919">
        <v>801011</v>
      </c>
      <c r="G1919" s="2">
        <v>-134.1</v>
      </c>
      <c r="H1919" t="s">
        <v>2317</v>
      </c>
      <c r="J1919" s="18" t="s">
        <v>4327</v>
      </c>
    </row>
    <row r="1920" spans="3:10" x14ac:dyDescent="0.25">
      <c r="C1920" s="17" t="str">
        <f t="shared" si="30"/>
        <v>28.801011.-8972.7639..CLEAR SCHEDULE.</v>
      </c>
      <c r="E1920">
        <v>28</v>
      </c>
      <c r="F1920">
        <v>801011</v>
      </c>
      <c r="G1920" s="1">
        <v>-89.72</v>
      </c>
      <c r="H1920" t="s">
        <v>2318</v>
      </c>
      <c r="J1920" s="18" t="s">
        <v>4327</v>
      </c>
    </row>
    <row r="1921" spans="3:10" x14ac:dyDescent="0.25">
      <c r="C1921" s="17" t="str">
        <f t="shared" si="30"/>
        <v>28.801011.-5415.7645..CLEAR SCHEDULE.</v>
      </c>
      <c r="E1921">
        <v>28</v>
      </c>
      <c r="F1921">
        <v>801011</v>
      </c>
      <c r="G1921" s="2">
        <v>-54.15</v>
      </c>
      <c r="H1921" t="s">
        <v>2319</v>
      </c>
      <c r="J1921" s="18" t="s">
        <v>4327</v>
      </c>
    </row>
    <row r="1922" spans="3:10" x14ac:dyDescent="0.25">
      <c r="C1922" s="17" t="str">
        <f t="shared" si="30"/>
        <v>28.801011.-19742.7646..CLEAR SCHEDULE.</v>
      </c>
      <c r="E1922">
        <v>28</v>
      </c>
      <c r="F1922">
        <v>801011</v>
      </c>
      <c r="G1922" s="1">
        <v>-197.42</v>
      </c>
      <c r="H1922" t="s">
        <v>2320</v>
      </c>
      <c r="J1922" s="18" t="s">
        <v>4327</v>
      </c>
    </row>
    <row r="1923" spans="3:10" x14ac:dyDescent="0.25">
      <c r="C1923" s="17" t="str">
        <f t="shared" si="30"/>
        <v>28.801011.-23311.7647..CLEAR SCHEDULE.</v>
      </c>
      <c r="E1923">
        <v>28</v>
      </c>
      <c r="F1923">
        <v>801011</v>
      </c>
      <c r="G1923" s="2">
        <v>-233.11</v>
      </c>
      <c r="H1923" t="s">
        <v>2321</v>
      </c>
      <c r="J1923" s="18" t="s">
        <v>4327</v>
      </c>
    </row>
    <row r="1924" spans="3:10" x14ac:dyDescent="0.25">
      <c r="C1924" s="17" t="str">
        <f t="shared" si="30"/>
        <v>28.801011.-22215.7648..CLEAR SCHEDULE.</v>
      </c>
      <c r="E1924">
        <v>28</v>
      </c>
      <c r="F1924">
        <v>801011</v>
      </c>
      <c r="G1924" s="1">
        <v>-222.15</v>
      </c>
      <c r="H1924" t="s">
        <v>2322</v>
      </c>
      <c r="J1924" s="18" t="s">
        <v>4327</v>
      </c>
    </row>
    <row r="1925" spans="3:10" x14ac:dyDescent="0.25">
      <c r="C1925" s="17" t="str">
        <f t="shared" si="30"/>
        <v>28.801011.-85092.7649..CLEAR SCHEDULE.</v>
      </c>
      <c r="E1925">
        <v>28</v>
      </c>
      <c r="F1925">
        <v>801011</v>
      </c>
      <c r="G1925" s="2">
        <v>-850.92</v>
      </c>
      <c r="H1925" t="s">
        <v>2323</v>
      </c>
      <c r="J1925" s="18" t="s">
        <v>4327</v>
      </c>
    </row>
    <row r="1926" spans="3:10" x14ac:dyDescent="0.25">
      <c r="C1926" s="17" t="str">
        <f t="shared" si="30"/>
        <v>28.801011.-92599.7651..CLEAR SCHEDULE.</v>
      </c>
      <c r="E1926">
        <v>28</v>
      </c>
      <c r="F1926">
        <v>801011</v>
      </c>
      <c r="G1926" s="1">
        <v>-925.99</v>
      </c>
      <c r="H1926" t="s">
        <v>2324</v>
      </c>
      <c r="J1926" s="18" t="s">
        <v>4327</v>
      </c>
    </row>
    <row r="1927" spans="3:10" x14ac:dyDescent="0.25">
      <c r="C1927" s="17" t="str">
        <f t="shared" si="30"/>
        <v>28.801011.-16746.7653..CLEAR SCHEDULE.</v>
      </c>
      <c r="E1927">
        <v>28</v>
      </c>
      <c r="F1927">
        <v>801011</v>
      </c>
      <c r="G1927" s="2">
        <v>-167.46</v>
      </c>
      <c r="H1927" t="s">
        <v>2325</v>
      </c>
      <c r="J1927" s="18" t="s">
        <v>4327</v>
      </c>
    </row>
    <row r="1928" spans="3:10" x14ac:dyDescent="0.25">
      <c r="C1928" s="17" t="str">
        <f t="shared" si="30"/>
        <v>28.801011.-54356.7656..CLEAR SCHEDULE.</v>
      </c>
      <c r="E1928">
        <v>28</v>
      </c>
      <c r="F1928">
        <v>801011</v>
      </c>
      <c r="G1928" s="1">
        <v>-543.55999999999995</v>
      </c>
      <c r="H1928" t="s">
        <v>2326</v>
      </c>
      <c r="J1928" s="18" t="s">
        <v>4327</v>
      </c>
    </row>
    <row r="1929" spans="3:10" x14ac:dyDescent="0.25">
      <c r="C1929" s="17" t="str">
        <f t="shared" si="30"/>
        <v>28.801011.-11341.7657..CLEAR SCHEDULE.</v>
      </c>
      <c r="E1929">
        <v>28</v>
      </c>
      <c r="F1929">
        <v>801011</v>
      </c>
      <c r="G1929" s="2">
        <v>-113.41</v>
      </c>
      <c r="H1929" t="s">
        <v>2327</v>
      </c>
      <c r="J1929" s="18" t="s">
        <v>4327</v>
      </c>
    </row>
    <row r="1930" spans="3:10" x14ac:dyDescent="0.25">
      <c r="C1930" s="17" t="str">
        <f t="shared" si="30"/>
        <v>28.801011.-15945.7658..CLEAR SCHEDULE.</v>
      </c>
      <c r="E1930">
        <v>28</v>
      </c>
      <c r="F1930">
        <v>801011</v>
      </c>
      <c r="G1930" s="1">
        <v>-159.44999999999999</v>
      </c>
      <c r="H1930" t="s">
        <v>2328</v>
      </c>
      <c r="J1930" s="18" t="s">
        <v>4327</v>
      </c>
    </row>
    <row r="1931" spans="3:10" x14ac:dyDescent="0.25">
      <c r="C1931" s="17" t="str">
        <f t="shared" ref="C1931:C1994" si="31">IF(G1931=0,"",(E1931&amp;"."&amp;F1931&amp;"."&amp;G1931*100&amp;"."&amp;H1931&amp;"."&amp;I1931&amp;"."&amp;J1931&amp;"."&amp;K1931))</f>
        <v>28.801011.-5413.7659..CLEAR SCHEDULE.</v>
      </c>
      <c r="E1931">
        <v>28</v>
      </c>
      <c r="F1931">
        <v>801011</v>
      </c>
      <c r="G1931" s="2">
        <v>-54.13</v>
      </c>
      <c r="H1931" t="s">
        <v>2329</v>
      </c>
      <c r="J1931" s="18" t="s">
        <v>4327</v>
      </c>
    </row>
    <row r="1932" spans="3:10" x14ac:dyDescent="0.25">
      <c r="C1932" s="17" t="str">
        <f t="shared" si="31"/>
        <v>28.801011.-19742.7661..CLEAR SCHEDULE.</v>
      </c>
      <c r="E1932">
        <v>28</v>
      </c>
      <c r="F1932">
        <v>801011</v>
      </c>
      <c r="G1932" s="1">
        <v>-197.42</v>
      </c>
      <c r="H1932" t="s">
        <v>2330</v>
      </c>
      <c r="J1932" s="18" t="s">
        <v>4327</v>
      </c>
    </row>
    <row r="1933" spans="3:10" x14ac:dyDescent="0.25">
      <c r="C1933" s="17" t="str">
        <f t="shared" si="31"/>
        <v>28.801011.-33806.7665..CLEAR SCHEDULE.</v>
      </c>
      <c r="E1933">
        <v>28</v>
      </c>
      <c r="F1933">
        <v>801011</v>
      </c>
      <c r="G1933" s="2">
        <v>-338.06</v>
      </c>
      <c r="H1933" t="s">
        <v>2331</v>
      </c>
      <c r="J1933" s="18" t="s">
        <v>4327</v>
      </c>
    </row>
    <row r="1934" spans="3:10" x14ac:dyDescent="0.25">
      <c r="C1934" s="17" t="str">
        <f t="shared" si="31"/>
        <v>28.801011.-14387.7668..CLEAR SCHEDULE.</v>
      </c>
      <c r="E1934">
        <v>28</v>
      </c>
      <c r="F1934">
        <v>801011</v>
      </c>
      <c r="G1934" s="1">
        <v>-143.87</v>
      </c>
      <c r="H1934" t="s">
        <v>2332</v>
      </c>
      <c r="J1934" s="18" t="s">
        <v>4327</v>
      </c>
    </row>
    <row r="1935" spans="3:10" x14ac:dyDescent="0.25">
      <c r="C1935" s="17" t="str">
        <f t="shared" si="31"/>
        <v>28.801011.-15387.7669..CLEAR SCHEDULE.</v>
      </c>
      <c r="E1935">
        <v>28</v>
      </c>
      <c r="F1935">
        <v>801011</v>
      </c>
      <c r="G1935" s="2">
        <v>-153.87</v>
      </c>
      <c r="H1935" t="s">
        <v>2333</v>
      </c>
      <c r="J1935" s="18" t="s">
        <v>4327</v>
      </c>
    </row>
    <row r="1936" spans="3:10" x14ac:dyDescent="0.25">
      <c r="C1936" s="17" t="str">
        <f t="shared" si="31"/>
        <v>28.801011.-23961.7670..CLEAR SCHEDULE.</v>
      </c>
      <c r="E1936">
        <v>28</v>
      </c>
      <c r="F1936">
        <v>801011</v>
      </c>
      <c r="G1936" s="1">
        <v>-239.61</v>
      </c>
      <c r="H1936" t="s">
        <v>2334</v>
      </c>
      <c r="J1936" s="18" t="s">
        <v>4327</v>
      </c>
    </row>
    <row r="1937" spans="3:10" x14ac:dyDescent="0.25">
      <c r="C1937" s="17" t="str">
        <f t="shared" si="31"/>
        <v>28.801011.-34389.7673..CLEAR SCHEDULE.</v>
      </c>
      <c r="E1937">
        <v>28</v>
      </c>
      <c r="F1937">
        <v>801011</v>
      </c>
      <c r="G1937" s="2">
        <v>-343.89</v>
      </c>
      <c r="H1937" t="s">
        <v>2335</v>
      </c>
      <c r="J1937" s="18" t="s">
        <v>4327</v>
      </c>
    </row>
    <row r="1938" spans="3:10" x14ac:dyDescent="0.25">
      <c r="C1938" s="17" t="str">
        <f t="shared" si="31"/>
        <v>28.801011.-103837.7675..CLEAR SCHEDULE.</v>
      </c>
      <c r="E1938">
        <v>28</v>
      </c>
      <c r="F1938">
        <v>801011</v>
      </c>
      <c r="G1938" s="1">
        <v>-1038.3699999999999</v>
      </c>
      <c r="H1938" t="s">
        <v>2336</v>
      </c>
      <c r="J1938" s="18" t="s">
        <v>4327</v>
      </c>
    </row>
    <row r="1939" spans="3:10" x14ac:dyDescent="0.25">
      <c r="C1939" s="17" t="str">
        <f t="shared" si="31"/>
        <v>28.801011.-54582.7678..CLEAR SCHEDULE.</v>
      </c>
      <c r="E1939">
        <v>28</v>
      </c>
      <c r="F1939">
        <v>801011</v>
      </c>
      <c r="G1939" s="2">
        <v>-545.82000000000005</v>
      </c>
      <c r="H1939" t="s">
        <v>2337</v>
      </c>
      <c r="J1939" s="18" t="s">
        <v>4327</v>
      </c>
    </row>
    <row r="1940" spans="3:10" x14ac:dyDescent="0.25">
      <c r="C1940" s="17" t="str">
        <f t="shared" si="31"/>
        <v>28.801011.-1687.7680..CLEAR SCHEDULE.</v>
      </c>
      <c r="E1940">
        <v>28</v>
      </c>
      <c r="F1940">
        <v>801011</v>
      </c>
      <c r="G1940" s="1">
        <v>-16.87</v>
      </c>
      <c r="H1940" t="s">
        <v>2338</v>
      </c>
      <c r="J1940" s="18" t="s">
        <v>4327</v>
      </c>
    </row>
    <row r="1941" spans="3:10" x14ac:dyDescent="0.25">
      <c r="C1941" s="17" t="str">
        <f t="shared" si="31"/>
        <v>28.801011.-5798.7681..CLEAR SCHEDULE.</v>
      </c>
      <c r="E1941">
        <v>28</v>
      </c>
      <c r="F1941">
        <v>801011</v>
      </c>
      <c r="G1941" s="2">
        <v>-57.98</v>
      </c>
      <c r="H1941" t="s">
        <v>2339</v>
      </c>
      <c r="J1941" s="18" t="s">
        <v>4327</v>
      </c>
    </row>
    <row r="1942" spans="3:10" x14ac:dyDescent="0.25">
      <c r="C1942" s="17" t="str">
        <f t="shared" si="31"/>
        <v>28.801011.-236095.7682..CLEAR SCHEDULE.</v>
      </c>
      <c r="E1942">
        <v>28</v>
      </c>
      <c r="F1942">
        <v>801011</v>
      </c>
      <c r="G1942" s="1">
        <v>-2360.9499999999998</v>
      </c>
      <c r="H1942" t="s">
        <v>2340</v>
      </c>
      <c r="J1942" s="18" t="s">
        <v>4327</v>
      </c>
    </row>
    <row r="1943" spans="3:10" x14ac:dyDescent="0.25">
      <c r="C1943" s="17" t="str">
        <f t="shared" si="31"/>
        <v>28.801011.-37697.7683..CLEAR SCHEDULE.</v>
      </c>
      <c r="E1943">
        <v>28</v>
      </c>
      <c r="F1943">
        <v>801011</v>
      </c>
      <c r="G1943" s="2">
        <v>-376.97</v>
      </c>
      <c r="H1943" t="s">
        <v>2341</v>
      </c>
      <c r="J1943" s="18" t="s">
        <v>4327</v>
      </c>
    </row>
    <row r="1944" spans="3:10" x14ac:dyDescent="0.25">
      <c r="C1944" s="17" t="str">
        <f t="shared" si="31"/>
        <v>28.801011.-14387.7691..CLEAR SCHEDULE.</v>
      </c>
      <c r="E1944">
        <v>28</v>
      </c>
      <c r="F1944">
        <v>801011</v>
      </c>
      <c r="G1944" s="1">
        <v>-143.87</v>
      </c>
      <c r="H1944" t="s">
        <v>2342</v>
      </c>
      <c r="J1944" s="18" t="s">
        <v>4327</v>
      </c>
    </row>
    <row r="1945" spans="3:10" x14ac:dyDescent="0.25">
      <c r="C1945" s="17" t="str">
        <f t="shared" si="31"/>
        <v>28.801011.-70410.7695..CLEAR SCHEDULE.</v>
      </c>
      <c r="E1945">
        <v>28</v>
      </c>
      <c r="F1945">
        <v>801011</v>
      </c>
      <c r="G1945" s="2">
        <v>-704.1</v>
      </c>
      <c r="H1945" t="s">
        <v>2343</v>
      </c>
      <c r="J1945" s="18" t="s">
        <v>4327</v>
      </c>
    </row>
    <row r="1946" spans="3:10" x14ac:dyDescent="0.25">
      <c r="C1946" s="17" t="str">
        <f t="shared" si="31"/>
        <v>28.801011.-4541.7698..CLEAR SCHEDULE.</v>
      </c>
      <c r="E1946">
        <v>28</v>
      </c>
      <c r="F1946">
        <v>801011</v>
      </c>
      <c r="G1946" s="1">
        <v>-45.41</v>
      </c>
      <c r="H1946" t="s">
        <v>2344</v>
      </c>
      <c r="J1946" s="18" t="s">
        <v>4327</v>
      </c>
    </row>
    <row r="1947" spans="3:10" x14ac:dyDescent="0.25">
      <c r="C1947" s="17" t="str">
        <f t="shared" si="31"/>
        <v>28.801011.-55055.7701..CLEAR SCHEDULE.</v>
      </c>
      <c r="E1947">
        <v>28</v>
      </c>
      <c r="F1947">
        <v>801011</v>
      </c>
      <c r="G1947" s="2">
        <v>-550.54999999999995</v>
      </c>
      <c r="H1947" t="s">
        <v>2345</v>
      </c>
      <c r="J1947" s="18" t="s">
        <v>4327</v>
      </c>
    </row>
    <row r="1948" spans="3:10" x14ac:dyDescent="0.25">
      <c r="C1948" s="17" t="str">
        <f t="shared" si="31"/>
        <v>28.801011.-18275.7702..CLEAR SCHEDULE.</v>
      </c>
      <c r="E1948">
        <v>28</v>
      </c>
      <c r="F1948">
        <v>801011</v>
      </c>
      <c r="G1948" s="1">
        <v>-182.75</v>
      </c>
      <c r="H1948" t="s">
        <v>2346</v>
      </c>
      <c r="J1948" s="18" t="s">
        <v>4327</v>
      </c>
    </row>
    <row r="1949" spans="3:10" x14ac:dyDescent="0.25">
      <c r="C1949" s="17" t="str">
        <f t="shared" si="31"/>
        <v>28.801011.-5415.7703..CLEAR SCHEDULE.</v>
      </c>
      <c r="E1949">
        <v>28</v>
      </c>
      <c r="F1949">
        <v>801011</v>
      </c>
      <c r="G1949" s="2">
        <v>-54.15</v>
      </c>
      <c r="H1949" t="s">
        <v>2347</v>
      </c>
      <c r="J1949" s="18" t="s">
        <v>4327</v>
      </c>
    </row>
    <row r="1950" spans="3:10" x14ac:dyDescent="0.25">
      <c r="C1950" s="17" t="str">
        <f t="shared" si="31"/>
        <v>28.801011.-41558.7706..CLEAR SCHEDULE.</v>
      </c>
      <c r="E1950">
        <v>28</v>
      </c>
      <c r="F1950">
        <v>801011</v>
      </c>
      <c r="G1950" s="1">
        <v>-415.58</v>
      </c>
      <c r="H1950" t="s">
        <v>2348</v>
      </c>
      <c r="J1950" s="18" t="s">
        <v>4327</v>
      </c>
    </row>
    <row r="1951" spans="3:10" x14ac:dyDescent="0.25">
      <c r="C1951" s="17" t="str">
        <f t="shared" si="31"/>
        <v>28.801011.-10530.7708..CLEAR SCHEDULE.</v>
      </c>
      <c r="E1951">
        <v>28</v>
      </c>
      <c r="F1951">
        <v>801011</v>
      </c>
      <c r="G1951" s="2">
        <v>-105.3</v>
      </c>
      <c r="H1951" t="s">
        <v>2349</v>
      </c>
      <c r="J1951" s="18" t="s">
        <v>4327</v>
      </c>
    </row>
    <row r="1952" spans="3:10" x14ac:dyDescent="0.25">
      <c r="C1952" s="17" t="str">
        <f t="shared" si="31"/>
        <v>28.801011.-16724.7709..CLEAR SCHEDULE.</v>
      </c>
      <c r="E1952">
        <v>28</v>
      </c>
      <c r="F1952">
        <v>801011</v>
      </c>
      <c r="G1952" s="1">
        <v>-167.24</v>
      </c>
      <c r="H1952" t="s">
        <v>2350</v>
      </c>
      <c r="J1952" s="18" t="s">
        <v>4327</v>
      </c>
    </row>
    <row r="1953" spans="3:10" x14ac:dyDescent="0.25">
      <c r="C1953" s="17" t="str">
        <f t="shared" si="31"/>
        <v>28.801011.-61207.7711..CLEAR SCHEDULE.</v>
      </c>
      <c r="E1953">
        <v>28</v>
      </c>
      <c r="F1953">
        <v>801011</v>
      </c>
      <c r="G1953" s="2">
        <v>-612.07000000000005</v>
      </c>
      <c r="H1953" t="s">
        <v>2351</v>
      </c>
      <c r="J1953" s="18" t="s">
        <v>4327</v>
      </c>
    </row>
    <row r="1954" spans="3:10" x14ac:dyDescent="0.25">
      <c r="C1954" s="17" t="str">
        <f t="shared" si="31"/>
        <v>28.801011.-11269.7712..CLEAR SCHEDULE.</v>
      </c>
      <c r="E1954">
        <v>28</v>
      </c>
      <c r="F1954">
        <v>801011</v>
      </c>
      <c r="G1954" s="1">
        <v>-112.69</v>
      </c>
      <c r="H1954" t="s">
        <v>2352</v>
      </c>
      <c r="J1954" s="18" t="s">
        <v>4327</v>
      </c>
    </row>
    <row r="1955" spans="3:10" x14ac:dyDescent="0.25">
      <c r="C1955" s="17" t="str">
        <f t="shared" si="31"/>
        <v>28.801011.-38622.7715..CLEAR SCHEDULE.</v>
      </c>
      <c r="E1955">
        <v>28</v>
      </c>
      <c r="F1955">
        <v>801011</v>
      </c>
      <c r="G1955" s="2">
        <v>-386.22</v>
      </c>
      <c r="H1955" t="s">
        <v>2353</v>
      </c>
      <c r="J1955" s="18" t="s">
        <v>4327</v>
      </c>
    </row>
    <row r="1956" spans="3:10" x14ac:dyDescent="0.25">
      <c r="C1956" s="17" t="str">
        <f t="shared" si="31"/>
        <v>28.801011.-15945.7717..CLEAR SCHEDULE.</v>
      </c>
      <c r="E1956">
        <v>28</v>
      </c>
      <c r="F1956">
        <v>801011</v>
      </c>
      <c r="G1956" s="1">
        <v>-159.44999999999999</v>
      </c>
      <c r="H1956" t="s">
        <v>2354</v>
      </c>
      <c r="J1956" s="18" t="s">
        <v>4327</v>
      </c>
    </row>
    <row r="1957" spans="3:10" x14ac:dyDescent="0.25">
      <c r="C1957" s="17" t="str">
        <f t="shared" si="31"/>
        <v>28.801011.-4200.7718..CLEAR SCHEDULE.</v>
      </c>
      <c r="E1957">
        <v>28</v>
      </c>
      <c r="F1957">
        <v>801011</v>
      </c>
      <c r="G1957" s="2">
        <v>-42</v>
      </c>
      <c r="H1957" t="s">
        <v>2355</v>
      </c>
      <c r="J1957" s="18" t="s">
        <v>4327</v>
      </c>
    </row>
    <row r="1958" spans="3:10" x14ac:dyDescent="0.25">
      <c r="C1958" s="17" t="str">
        <f t="shared" si="31"/>
        <v>28.801011.-15945.7719..CLEAR SCHEDULE.</v>
      </c>
      <c r="E1958">
        <v>28</v>
      </c>
      <c r="F1958">
        <v>801011</v>
      </c>
      <c r="G1958" s="1">
        <v>-159.44999999999999</v>
      </c>
      <c r="H1958" t="s">
        <v>2356</v>
      </c>
      <c r="J1958" s="18" t="s">
        <v>4327</v>
      </c>
    </row>
    <row r="1959" spans="3:10" x14ac:dyDescent="0.25">
      <c r="C1959" s="17" t="str">
        <f t="shared" si="31"/>
        <v>28.801011.-36639.7720..CLEAR SCHEDULE.</v>
      </c>
      <c r="E1959">
        <v>28</v>
      </c>
      <c r="F1959">
        <v>801011</v>
      </c>
      <c r="G1959" s="2">
        <v>-366.39</v>
      </c>
      <c r="H1959" t="s">
        <v>2357</v>
      </c>
      <c r="J1959" s="18" t="s">
        <v>4327</v>
      </c>
    </row>
    <row r="1960" spans="3:10" x14ac:dyDescent="0.25">
      <c r="C1960" s="17" t="str">
        <f t="shared" si="31"/>
        <v>28.801011.-5413.7721..CLEAR SCHEDULE.</v>
      </c>
      <c r="E1960">
        <v>28</v>
      </c>
      <c r="F1960">
        <v>801011</v>
      </c>
      <c r="G1960" s="1">
        <v>-54.13</v>
      </c>
      <c r="H1960" t="s">
        <v>2358</v>
      </c>
      <c r="J1960" s="18" t="s">
        <v>4327</v>
      </c>
    </row>
    <row r="1961" spans="3:10" x14ac:dyDescent="0.25">
      <c r="C1961" s="17" t="str">
        <f t="shared" si="31"/>
        <v>28.801011.-68726.7724..CLEAR SCHEDULE.</v>
      </c>
      <c r="E1961">
        <v>28</v>
      </c>
      <c r="F1961">
        <v>801011</v>
      </c>
      <c r="G1961" s="2">
        <v>-687.26</v>
      </c>
      <c r="H1961" t="s">
        <v>2359</v>
      </c>
      <c r="J1961" s="18" t="s">
        <v>4327</v>
      </c>
    </row>
    <row r="1962" spans="3:10" x14ac:dyDescent="0.25">
      <c r="C1962" s="17" t="str">
        <f t="shared" si="31"/>
        <v>28.801011.-16724.7725..CLEAR SCHEDULE.</v>
      </c>
      <c r="E1962">
        <v>28</v>
      </c>
      <c r="F1962">
        <v>801011</v>
      </c>
      <c r="G1962" s="1">
        <v>-167.24</v>
      </c>
      <c r="H1962" t="s">
        <v>2360</v>
      </c>
      <c r="J1962" s="18" t="s">
        <v>4327</v>
      </c>
    </row>
    <row r="1963" spans="3:10" x14ac:dyDescent="0.25">
      <c r="C1963" s="17" t="str">
        <f t="shared" si="31"/>
        <v>28.801011.-15166.7727..CLEAR SCHEDULE.</v>
      </c>
      <c r="E1963">
        <v>28</v>
      </c>
      <c r="F1963">
        <v>801011</v>
      </c>
      <c r="G1963" s="2">
        <v>-151.66</v>
      </c>
      <c r="H1963" t="s">
        <v>2361</v>
      </c>
      <c r="J1963" s="18" t="s">
        <v>4327</v>
      </c>
    </row>
    <row r="1964" spans="3:10" x14ac:dyDescent="0.25">
      <c r="C1964" s="17" t="str">
        <f t="shared" si="31"/>
        <v>28.801011.-127442.7728..CLEAR SCHEDULE.</v>
      </c>
      <c r="E1964">
        <v>28</v>
      </c>
      <c r="F1964">
        <v>801011</v>
      </c>
      <c r="G1964" s="1">
        <v>-1274.42</v>
      </c>
      <c r="H1964" t="s">
        <v>2362</v>
      </c>
      <c r="J1964" s="18" t="s">
        <v>4327</v>
      </c>
    </row>
    <row r="1965" spans="3:10" x14ac:dyDescent="0.25">
      <c r="C1965" s="17" t="str">
        <f t="shared" si="31"/>
        <v>28.801011.-10530.7729..CLEAR SCHEDULE.</v>
      </c>
      <c r="E1965">
        <v>28</v>
      </c>
      <c r="F1965">
        <v>801011</v>
      </c>
      <c r="G1965" s="2">
        <v>-105.3</v>
      </c>
      <c r="H1965" t="s">
        <v>2363</v>
      </c>
      <c r="J1965" s="18" t="s">
        <v>4327</v>
      </c>
    </row>
    <row r="1966" spans="3:10" x14ac:dyDescent="0.25">
      <c r="C1966" s="17" t="str">
        <f t="shared" si="31"/>
        <v>28.801011.-30313.7730..CLEAR SCHEDULE.</v>
      </c>
      <c r="E1966">
        <v>28</v>
      </c>
      <c r="F1966">
        <v>801011</v>
      </c>
      <c r="G1966" s="1">
        <v>-303.13</v>
      </c>
      <c r="H1966" t="s">
        <v>2364</v>
      </c>
      <c r="J1966" s="18" t="s">
        <v>4327</v>
      </c>
    </row>
    <row r="1967" spans="3:10" x14ac:dyDescent="0.25">
      <c r="C1967" s="17" t="str">
        <f t="shared" si="31"/>
        <v>28.801011.-14387.7731..CLEAR SCHEDULE.</v>
      </c>
      <c r="E1967">
        <v>28</v>
      </c>
      <c r="F1967">
        <v>801011</v>
      </c>
      <c r="G1967" s="2">
        <v>-143.87</v>
      </c>
      <c r="H1967" t="s">
        <v>2365</v>
      </c>
      <c r="J1967" s="18" t="s">
        <v>4327</v>
      </c>
    </row>
    <row r="1968" spans="3:10" x14ac:dyDescent="0.25">
      <c r="C1968" s="17" t="str">
        <f t="shared" si="31"/>
        <v>28.801011.-15651.7732..CLEAR SCHEDULE.</v>
      </c>
      <c r="E1968">
        <v>28</v>
      </c>
      <c r="F1968">
        <v>801011</v>
      </c>
      <c r="G1968" s="1">
        <v>-156.51</v>
      </c>
      <c r="H1968" t="s">
        <v>2366</v>
      </c>
      <c r="J1968" s="18" t="s">
        <v>4327</v>
      </c>
    </row>
    <row r="1969" spans="3:10" x14ac:dyDescent="0.25">
      <c r="C1969" s="17" t="str">
        <f t="shared" si="31"/>
        <v>28.801011.-56356.7734..CLEAR SCHEDULE.</v>
      </c>
      <c r="E1969">
        <v>28</v>
      </c>
      <c r="F1969">
        <v>801011</v>
      </c>
      <c r="G1969" s="2">
        <v>-563.55999999999995</v>
      </c>
      <c r="H1969" t="s">
        <v>2367</v>
      </c>
      <c r="J1969" s="18" t="s">
        <v>4327</v>
      </c>
    </row>
    <row r="1970" spans="3:10" x14ac:dyDescent="0.25">
      <c r="C1970" s="17" t="str">
        <f t="shared" si="31"/>
        <v>28.801011.-61063.7735..CLEAR SCHEDULE.</v>
      </c>
      <c r="E1970">
        <v>28</v>
      </c>
      <c r="F1970">
        <v>801011</v>
      </c>
      <c r="G1970" s="1">
        <v>-610.63</v>
      </c>
      <c r="H1970" t="s">
        <v>2368</v>
      </c>
      <c r="J1970" s="18" t="s">
        <v>4327</v>
      </c>
    </row>
    <row r="1971" spans="3:10" x14ac:dyDescent="0.25">
      <c r="C1971" s="17" t="str">
        <f t="shared" si="31"/>
        <v>28.801011.-10530.7736..CLEAR SCHEDULE.</v>
      </c>
      <c r="E1971">
        <v>28</v>
      </c>
      <c r="F1971">
        <v>801011</v>
      </c>
      <c r="G1971" s="2">
        <v>-105.3</v>
      </c>
      <c r="H1971" t="s">
        <v>2369</v>
      </c>
      <c r="J1971" s="18" t="s">
        <v>4327</v>
      </c>
    </row>
    <row r="1972" spans="3:10" x14ac:dyDescent="0.25">
      <c r="C1972" s="17" t="str">
        <f t="shared" si="31"/>
        <v>28.801011.-15166.7737..CLEAR SCHEDULE.</v>
      </c>
      <c r="E1972">
        <v>28</v>
      </c>
      <c r="F1972">
        <v>801011</v>
      </c>
      <c r="G1972" s="1">
        <v>-151.66</v>
      </c>
      <c r="H1972" t="s">
        <v>2370</v>
      </c>
      <c r="J1972" s="18" t="s">
        <v>4327</v>
      </c>
    </row>
    <row r="1973" spans="3:10" x14ac:dyDescent="0.25">
      <c r="C1973" s="17" t="str">
        <f t="shared" si="31"/>
        <v>28.801011.-40999.7738..CLEAR SCHEDULE.</v>
      </c>
      <c r="E1973">
        <v>28</v>
      </c>
      <c r="F1973">
        <v>801011</v>
      </c>
      <c r="G1973" s="2">
        <v>-409.99</v>
      </c>
      <c r="H1973" t="s">
        <v>2371</v>
      </c>
      <c r="J1973" s="18" t="s">
        <v>4327</v>
      </c>
    </row>
    <row r="1974" spans="3:10" x14ac:dyDescent="0.25">
      <c r="C1974" s="17" t="str">
        <f t="shared" si="31"/>
        <v>28.801011.-177599.7740..CLEAR SCHEDULE.</v>
      </c>
      <c r="E1974">
        <v>28</v>
      </c>
      <c r="F1974">
        <v>801011</v>
      </c>
      <c r="G1974" s="1">
        <v>-1775.99</v>
      </c>
      <c r="H1974" t="s">
        <v>2372</v>
      </c>
      <c r="J1974" s="18" t="s">
        <v>4327</v>
      </c>
    </row>
    <row r="1975" spans="3:10" x14ac:dyDescent="0.25">
      <c r="C1975" s="17" t="str">
        <f t="shared" si="31"/>
        <v>28.801011.-152732.7741..CLEAR SCHEDULE.</v>
      </c>
      <c r="E1975">
        <v>28</v>
      </c>
      <c r="F1975">
        <v>801011</v>
      </c>
      <c r="G1975" s="2">
        <v>-1527.32</v>
      </c>
      <c r="H1975" t="s">
        <v>2373</v>
      </c>
      <c r="J1975" s="18" t="s">
        <v>4327</v>
      </c>
    </row>
    <row r="1976" spans="3:10" x14ac:dyDescent="0.25">
      <c r="C1976" s="17" t="str">
        <f t="shared" si="31"/>
        <v>28.801011.-37787.7743..CLEAR SCHEDULE.</v>
      </c>
      <c r="E1976">
        <v>28</v>
      </c>
      <c r="F1976">
        <v>801011</v>
      </c>
      <c r="G1976" s="1">
        <v>-377.87</v>
      </c>
      <c r="H1976" t="s">
        <v>2374</v>
      </c>
      <c r="J1976" s="18" t="s">
        <v>4327</v>
      </c>
    </row>
    <row r="1977" spans="3:10" x14ac:dyDescent="0.25">
      <c r="C1977" s="17" t="str">
        <f t="shared" si="31"/>
        <v>28.801011.-14387.7744..CLEAR SCHEDULE.</v>
      </c>
      <c r="E1977">
        <v>28</v>
      </c>
      <c r="F1977">
        <v>801011</v>
      </c>
      <c r="G1977" s="2">
        <v>-143.87</v>
      </c>
      <c r="H1977" t="s">
        <v>2375</v>
      </c>
      <c r="J1977" s="18" t="s">
        <v>4327</v>
      </c>
    </row>
    <row r="1978" spans="3:10" x14ac:dyDescent="0.25">
      <c r="C1978" s="17" t="str">
        <f t="shared" si="31"/>
        <v>28.801011.-98331.7745..CLEAR SCHEDULE.</v>
      </c>
      <c r="E1978">
        <v>28</v>
      </c>
      <c r="F1978">
        <v>801011</v>
      </c>
      <c r="G1978" s="1">
        <v>-983.31</v>
      </c>
      <c r="H1978" t="s">
        <v>2376</v>
      </c>
      <c r="J1978" s="18" t="s">
        <v>4327</v>
      </c>
    </row>
    <row r="1979" spans="3:10" x14ac:dyDescent="0.25">
      <c r="C1979" s="17" t="str">
        <f t="shared" si="31"/>
        <v>28.801011.-14387.7746..CLEAR SCHEDULE.</v>
      </c>
      <c r="E1979">
        <v>28</v>
      </c>
      <c r="F1979">
        <v>801011</v>
      </c>
      <c r="G1979" s="2">
        <v>-143.87</v>
      </c>
      <c r="H1979" t="s">
        <v>2377</v>
      </c>
      <c r="J1979" s="18" t="s">
        <v>4327</v>
      </c>
    </row>
    <row r="1980" spans="3:10" x14ac:dyDescent="0.25">
      <c r="C1980" s="17" t="str">
        <f t="shared" si="31"/>
        <v>28.801011.-271370.7747..CLEAR SCHEDULE.</v>
      </c>
      <c r="E1980">
        <v>28</v>
      </c>
      <c r="F1980">
        <v>801011</v>
      </c>
      <c r="G1980" s="1">
        <v>-2713.7</v>
      </c>
      <c r="H1980" t="s">
        <v>2378</v>
      </c>
      <c r="J1980" s="18" t="s">
        <v>4327</v>
      </c>
    </row>
    <row r="1981" spans="3:10" x14ac:dyDescent="0.25">
      <c r="C1981" s="17" t="str">
        <f t="shared" si="31"/>
        <v>28.801011.-10901.7750..CLEAR SCHEDULE.</v>
      </c>
      <c r="E1981">
        <v>28</v>
      </c>
      <c r="F1981">
        <v>801011</v>
      </c>
      <c r="G1981" s="2">
        <v>-109.01</v>
      </c>
      <c r="H1981" t="s">
        <v>2379</v>
      </c>
      <c r="J1981" s="18" t="s">
        <v>4327</v>
      </c>
    </row>
    <row r="1982" spans="3:10" x14ac:dyDescent="0.25">
      <c r="C1982" s="17" t="str">
        <f t="shared" si="31"/>
        <v>28.801011.-5415.7752..CLEAR SCHEDULE.</v>
      </c>
      <c r="E1982">
        <v>28</v>
      </c>
      <c r="F1982">
        <v>801011</v>
      </c>
      <c r="G1982" s="1">
        <v>-54.15</v>
      </c>
      <c r="H1982" t="s">
        <v>2380</v>
      </c>
      <c r="J1982" s="18" t="s">
        <v>4327</v>
      </c>
    </row>
    <row r="1983" spans="3:10" x14ac:dyDescent="0.25">
      <c r="C1983" s="17" t="str">
        <f t="shared" si="31"/>
        <v>28.801011.-15867.7753..CLEAR SCHEDULE.</v>
      </c>
      <c r="E1983">
        <v>28</v>
      </c>
      <c r="F1983">
        <v>801011</v>
      </c>
      <c r="G1983" s="2">
        <v>-158.66999999999999</v>
      </c>
      <c r="H1983" t="s">
        <v>2381</v>
      </c>
      <c r="J1983" s="18" t="s">
        <v>4327</v>
      </c>
    </row>
    <row r="1984" spans="3:10" x14ac:dyDescent="0.25">
      <c r="C1984" s="17" t="str">
        <f t="shared" si="31"/>
        <v>28.801011.-14387.7754..CLEAR SCHEDULE.</v>
      </c>
      <c r="E1984">
        <v>28</v>
      </c>
      <c r="F1984">
        <v>801011</v>
      </c>
      <c r="G1984" s="1">
        <v>-143.87</v>
      </c>
      <c r="H1984" t="s">
        <v>2382</v>
      </c>
      <c r="J1984" s="18" t="s">
        <v>4327</v>
      </c>
    </row>
    <row r="1985" spans="3:10" x14ac:dyDescent="0.25">
      <c r="C1985" s="17" t="str">
        <f t="shared" si="31"/>
        <v>28.801011.-128409.7755..CLEAR SCHEDULE.</v>
      </c>
      <c r="E1985">
        <v>28</v>
      </c>
      <c r="F1985">
        <v>801011</v>
      </c>
      <c r="G1985" s="2">
        <v>-1284.0899999999999</v>
      </c>
      <c r="H1985" t="s">
        <v>2383</v>
      </c>
      <c r="J1985" s="18" t="s">
        <v>4327</v>
      </c>
    </row>
    <row r="1986" spans="3:10" x14ac:dyDescent="0.25">
      <c r="C1986" s="17" t="str">
        <f t="shared" si="31"/>
        <v>28.801011.-8972.7756..CLEAR SCHEDULE.</v>
      </c>
      <c r="E1986">
        <v>28</v>
      </c>
      <c r="F1986">
        <v>801011</v>
      </c>
      <c r="G1986" s="1">
        <v>-89.72</v>
      </c>
      <c r="H1986" t="s">
        <v>2384</v>
      </c>
      <c r="J1986" s="18" t="s">
        <v>4327</v>
      </c>
    </row>
    <row r="1987" spans="3:10" x14ac:dyDescent="0.25">
      <c r="C1987" s="17" t="str">
        <f t="shared" si="31"/>
        <v>28.801011.-122586.7758..CLEAR SCHEDULE.</v>
      </c>
      <c r="E1987">
        <v>28</v>
      </c>
      <c r="F1987">
        <v>801011</v>
      </c>
      <c r="G1987" s="2">
        <v>-1225.8599999999999</v>
      </c>
      <c r="H1987" t="s">
        <v>2385</v>
      </c>
      <c r="J1987" s="18" t="s">
        <v>4327</v>
      </c>
    </row>
    <row r="1988" spans="3:10" x14ac:dyDescent="0.25">
      <c r="C1988" s="17" t="str">
        <f t="shared" si="31"/>
        <v>28.801011.-138339.7760..CLEAR SCHEDULE.</v>
      </c>
      <c r="E1988">
        <v>28</v>
      </c>
      <c r="F1988">
        <v>801011</v>
      </c>
      <c r="G1988" s="1">
        <v>-1383.39</v>
      </c>
      <c r="H1988" t="s">
        <v>2386</v>
      </c>
      <c r="J1988" s="18" t="s">
        <v>4327</v>
      </c>
    </row>
    <row r="1989" spans="3:10" x14ac:dyDescent="0.25">
      <c r="C1989" s="17" t="str">
        <f t="shared" si="31"/>
        <v>28.801011.-8972.7761..CLEAR SCHEDULE.</v>
      </c>
      <c r="E1989">
        <v>28</v>
      </c>
      <c r="F1989">
        <v>801011</v>
      </c>
      <c r="G1989" s="2">
        <v>-89.72</v>
      </c>
      <c r="H1989" t="s">
        <v>2387</v>
      </c>
      <c r="J1989" s="18" t="s">
        <v>4327</v>
      </c>
    </row>
    <row r="1990" spans="3:10" x14ac:dyDescent="0.25">
      <c r="C1990" s="17" t="str">
        <f t="shared" si="31"/>
        <v>28.801011.-105111.7762..CLEAR SCHEDULE.</v>
      </c>
      <c r="E1990">
        <v>28</v>
      </c>
      <c r="F1990">
        <v>801011</v>
      </c>
      <c r="G1990" s="1">
        <v>-1051.1099999999999</v>
      </c>
      <c r="H1990" t="s">
        <v>2388</v>
      </c>
      <c r="J1990" s="18" t="s">
        <v>4327</v>
      </c>
    </row>
    <row r="1991" spans="3:10" x14ac:dyDescent="0.25">
      <c r="C1991" s="17" t="str">
        <f t="shared" si="31"/>
        <v>28.801011.-9751.7767..CLEAR SCHEDULE.</v>
      </c>
      <c r="E1991">
        <v>28</v>
      </c>
      <c r="F1991">
        <v>801011</v>
      </c>
      <c r="G1991" s="2">
        <v>-97.51</v>
      </c>
      <c r="H1991" t="s">
        <v>2389</v>
      </c>
      <c r="J1991" s="18" t="s">
        <v>4327</v>
      </c>
    </row>
    <row r="1992" spans="3:10" x14ac:dyDescent="0.25">
      <c r="C1992" s="17" t="str">
        <f t="shared" si="31"/>
        <v>28.801011.-36143.7768..CLEAR SCHEDULE.</v>
      </c>
      <c r="E1992">
        <v>28</v>
      </c>
      <c r="F1992">
        <v>801011</v>
      </c>
      <c r="G1992" s="1">
        <v>-361.43</v>
      </c>
      <c r="H1992" t="s">
        <v>2390</v>
      </c>
      <c r="J1992" s="18" t="s">
        <v>4327</v>
      </c>
    </row>
    <row r="1993" spans="3:10" x14ac:dyDescent="0.25">
      <c r="C1993" s="17" t="str">
        <f t="shared" si="31"/>
        <v>28.801011.-14387.7772..CLEAR SCHEDULE.</v>
      </c>
      <c r="E1993">
        <v>28</v>
      </c>
      <c r="F1993">
        <v>801011</v>
      </c>
      <c r="G1993" s="2">
        <v>-143.87</v>
      </c>
      <c r="H1993" t="s">
        <v>2391</v>
      </c>
      <c r="J1993" s="18" t="s">
        <v>4327</v>
      </c>
    </row>
    <row r="1994" spans="3:10" x14ac:dyDescent="0.25">
      <c r="C1994" s="17" t="str">
        <f t="shared" si="31"/>
        <v>28.801011.-10743.7773..CLEAR SCHEDULE.</v>
      </c>
      <c r="E1994">
        <v>28</v>
      </c>
      <c r="F1994">
        <v>801011</v>
      </c>
      <c r="G1994" s="1">
        <v>-107.43</v>
      </c>
      <c r="H1994" t="s">
        <v>2392</v>
      </c>
      <c r="J1994" s="18" t="s">
        <v>4327</v>
      </c>
    </row>
    <row r="1995" spans="3:10" x14ac:dyDescent="0.25">
      <c r="C1995" s="17" t="str">
        <f t="shared" ref="C1995:C2058" si="32">IF(G1995=0,"",(E1995&amp;"."&amp;F1995&amp;"."&amp;G1995*100&amp;"."&amp;H1995&amp;"."&amp;I1995&amp;"."&amp;J1995&amp;"."&amp;K1995))</f>
        <v>28.801011.-14897.7774..CLEAR SCHEDULE.</v>
      </c>
      <c r="E1995">
        <v>28</v>
      </c>
      <c r="F1995">
        <v>801011</v>
      </c>
      <c r="G1995" s="2">
        <v>-148.97</v>
      </c>
      <c r="H1995" t="s">
        <v>2393</v>
      </c>
      <c r="J1995" s="18" t="s">
        <v>4327</v>
      </c>
    </row>
    <row r="1996" spans="3:10" x14ac:dyDescent="0.25">
      <c r="C1996" s="17" t="str">
        <f t="shared" si="32"/>
        <v>28.801011.-9263.7776..CLEAR SCHEDULE.</v>
      </c>
      <c r="E1996">
        <v>28</v>
      </c>
      <c r="F1996">
        <v>801011</v>
      </c>
      <c r="G1996" s="1">
        <v>-92.63</v>
      </c>
      <c r="H1996" t="s">
        <v>2394</v>
      </c>
      <c r="J1996" s="18" t="s">
        <v>4327</v>
      </c>
    </row>
    <row r="1997" spans="3:10" x14ac:dyDescent="0.25">
      <c r="C1997" s="17" t="str">
        <f t="shared" si="32"/>
        <v>28.801011.-55235.7777..CLEAR SCHEDULE.</v>
      </c>
      <c r="E1997">
        <v>28</v>
      </c>
      <c r="F1997">
        <v>801011</v>
      </c>
      <c r="G1997" s="2">
        <v>-552.35</v>
      </c>
      <c r="H1997" t="s">
        <v>2395</v>
      </c>
      <c r="J1997" s="18" t="s">
        <v>4327</v>
      </c>
    </row>
    <row r="1998" spans="3:10" x14ac:dyDescent="0.25">
      <c r="C1998" s="17" t="str">
        <f t="shared" si="32"/>
        <v>28.801011.-194184.7778..CLEAR SCHEDULE.</v>
      </c>
      <c r="E1998">
        <v>28</v>
      </c>
      <c r="F1998">
        <v>801011</v>
      </c>
      <c r="G1998" s="1">
        <v>-1941.84</v>
      </c>
      <c r="H1998" t="s">
        <v>2396</v>
      </c>
      <c r="J1998" s="18" t="s">
        <v>4327</v>
      </c>
    </row>
    <row r="1999" spans="3:10" x14ac:dyDescent="0.25">
      <c r="C1999" s="17" t="str">
        <f t="shared" si="32"/>
        <v>28.801011.-16328.7780..CLEAR SCHEDULE.</v>
      </c>
      <c r="E1999">
        <v>28</v>
      </c>
      <c r="F1999">
        <v>801011</v>
      </c>
      <c r="G1999" s="2">
        <v>-163.28</v>
      </c>
      <c r="H1999" t="s">
        <v>2397</v>
      </c>
      <c r="J1999" s="18" t="s">
        <v>4327</v>
      </c>
    </row>
    <row r="2000" spans="3:10" x14ac:dyDescent="0.25">
      <c r="C2000" s="17" t="str">
        <f t="shared" si="32"/>
        <v>28.801011.-8972.7781..CLEAR SCHEDULE.</v>
      </c>
      <c r="E2000">
        <v>28</v>
      </c>
      <c r="F2000">
        <v>801011</v>
      </c>
      <c r="G2000" s="1">
        <v>-89.72</v>
      </c>
      <c r="H2000" t="s">
        <v>2398</v>
      </c>
      <c r="J2000" s="18" t="s">
        <v>4327</v>
      </c>
    </row>
    <row r="2001" spans="3:10" x14ac:dyDescent="0.25">
      <c r="C2001" s="17" t="str">
        <f t="shared" si="32"/>
        <v>28.801011.-36657.7783..CLEAR SCHEDULE.</v>
      </c>
      <c r="E2001">
        <v>28</v>
      </c>
      <c r="F2001">
        <v>801011</v>
      </c>
      <c r="G2001" s="2">
        <v>-366.57</v>
      </c>
      <c r="H2001" t="s">
        <v>2399</v>
      </c>
      <c r="J2001" s="18" t="s">
        <v>4327</v>
      </c>
    </row>
    <row r="2002" spans="3:10" x14ac:dyDescent="0.25">
      <c r="C2002" s="17" t="str">
        <f t="shared" si="32"/>
        <v>28.801011.-279463.7784..CLEAR SCHEDULE.</v>
      </c>
      <c r="E2002">
        <v>28</v>
      </c>
      <c r="F2002">
        <v>801011</v>
      </c>
      <c r="G2002" s="1">
        <v>-2794.63</v>
      </c>
      <c r="H2002" t="s">
        <v>2400</v>
      </c>
      <c r="J2002" s="18" t="s">
        <v>4327</v>
      </c>
    </row>
    <row r="2003" spans="3:10" x14ac:dyDescent="0.25">
      <c r="C2003" s="17" t="str">
        <f t="shared" si="32"/>
        <v>28.801011.-239133.7787..CLEAR SCHEDULE.</v>
      </c>
      <c r="E2003">
        <v>28</v>
      </c>
      <c r="F2003">
        <v>801011</v>
      </c>
      <c r="G2003" s="2">
        <v>-2391.33</v>
      </c>
      <c r="H2003" t="s">
        <v>2401</v>
      </c>
      <c r="J2003" s="18" t="s">
        <v>4327</v>
      </c>
    </row>
    <row r="2004" spans="3:10" x14ac:dyDescent="0.25">
      <c r="C2004" s="17" t="str">
        <f t="shared" si="32"/>
        <v>28.801011.-14387.7788..CLEAR SCHEDULE.</v>
      </c>
      <c r="E2004">
        <v>28</v>
      </c>
      <c r="F2004">
        <v>801011</v>
      </c>
      <c r="G2004" s="1">
        <v>-143.87</v>
      </c>
      <c r="H2004" t="s">
        <v>2402</v>
      </c>
      <c r="J2004" s="18" t="s">
        <v>4327</v>
      </c>
    </row>
    <row r="2005" spans="3:10" x14ac:dyDescent="0.25">
      <c r="C2005" s="17" t="str">
        <f t="shared" si="32"/>
        <v>28.801011.-84548.7795..CLEAR SCHEDULE.</v>
      </c>
      <c r="E2005">
        <v>28</v>
      </c>
      <c r="F2005">
        <v>801011</v>
      </c>
      <c r="G2005" s="2">
        <v>-845.48</v>
      </c>
      <c r="H2005" t="s">
        <v>2403</v>
      </c>
      <c r="J2005" s="18" t="s">
        <v>4327</v>
      </c>
    </row>
    <row r="2006" spans="3:10" x14ac:dyDescent="0.25">
      <c r="C2006" s="17" t="str">
        <f t="shared" si="32"/>
        <v>28.801011.-11040.7797..CLEAR SCHEDULE.</v>
      </c>
      <c r="E2006">
        <v>28</v>
      </c>
      <c r="F2006">
        <v>801011</v>
      </c>
      <c r="G2006" s="1">
        <v>-110.4</v>
      </c>
      <c r="H2006" t="s">
        <v>2404</v>
      </c>
      <c r="J2006" s="18" t="s">
        <v>4327</v>
      </c>
    </row>
    <row r="2007" spans="3:10" x14ac:dyDescent="0.25">
      <c r="C2007" s="17" t="str">
        <f t="shared" si="32"/>
        <v>28.801011.-9751.7798..CLEAR SCHEDULE.</v>
      </c>
      <c r="E2007">
        <v>28</v>
      </c>
      <c r="F2007">
        <v>801011</v>
      </c>
      <c r="G2007" s="2">
        <v>-97.51</v>
      </c>
      <c r="H2007" t="s">
        <v>2405</v>
      </c>
      <c r="J2007" s="18" t="s">
        <v>4327</v>
      </c>
    </row>
    <row r="2008" spans="3:10" x14ac:dyDescent="0.25">
      <c r="C2008" s="17" t="str">
        <f t="shared" si="32"/>
        <v>28.801011.-99627.7799..CLEAR SCHEDULE.</v>
      </c>
      <c r="E2008">
        <v>28</v>
      </c>
      <c r="F2008">
        <v>801011</v>
      </c>
      <c r="G2008" s="1">
        <v>-996.27</v>
      </c>
      <c r="H2008" t="s">
        <v>2406</v>
      </c>
      <c r="J2008" s="18" t="s">
        <v>4327</v>
      </c>
    </row>
    <row r="2009" spans="3:10" x14ac:dyDescent="0.25">
      <c r="C2009" s="17" t="str">
        <f t="shared" si="32"/>
        <v>28.801011.-28051.7801..CLEAR SCHEDULE.</v>
      </c>
      <c r="E2009">
        <v>28</v>
      </c>
      <c r="F2009">
        <v>801011</v>
      </c>
      <c r="G2009" s="2">
        <v>-280.51</v>
      </c>
      <c r="H2009" t="s">
        <v>2407</v>
      </c>
      <c r="J2009" s="18" t="s">
        <v>4327</v>
      </c>
    </row>
    <row r="2010" spans="3:10" x14ac:dyDescent="0.25">
      <c r="C2010" s="17" t="str">
        <f t="shared" si="32"/>
        <v>28.801011.-14387.7802..CLEAR SCHEDULE.</v>
      </c>
      <c r="E2010">
        <v>28</v>
      </c>
      <c r="F2010">
        <v>801011</v>
      </c>
      <c r="G2010" s="1">
        <v>-143.87</v>
      </c>
      <c r="H2010" t="s">
        <v>2408</v>
      </c>
      <c r="J2010" s="18" t="s">
        <v>4327</v>
      </c>
    </row>
    <row r="2011" spans="3:10" x14ac:dyDescent="0.25">
      <c r="C2011" s="17" t="str">
        <f t="shared" si="32"/>
        <v>28.801011.-216628.7803..CLEAR SCHEDULE.</v>
      </c>
      <c r="E2011">
        <v>28</v>
      </c>
      <c r="F2011">
        <v>801011</v>
      </c>
      <c r="G2011" s="2">
        <v>-2166.2800000000002</v>
      </c>
      <c r="H2011" t="s">
        <v>2409</v>
      </c>
      <c r="J2011" s="18" t="s">
        <v>4327</v>
      </c>
    </row>
    <row r="2012" spans="3:10" x14ac:dyDescent="0.25">
      <c r="C2012" s="17" t="str">
        <f t="shared" si="32"/>
        <v>28.801011.-10236.7807..CLEAR SCHEDULE.</v>
      </c>
      <c r="E2012">
        <v>28</v>
      </c>
      <c r="F2012">
        <v>801011</v>
      </c>
      <c r="G2012" s="1">
        <v>-102.36</v>
      </c>
      <c r="H2012" t="s">
        <v>2410</v>
      </c>
      <c r="J2012" s="18" t="s">
        <v>4327</v>
      </c>
    </row>
    <row r="2013" spans="3:10" x14ac:dyDescent="0.25">
      <c r="C2013" s="17" t="str">
        <f t="shared" si="32"/>
        <v>28.801011.-34188.7809..CLEAR SCHEDULE.</v>
      </c>
      <c r="E2013">
        <v>28</v>
      </c>
      <c r="F2013">
        <v>801011</v>
      </c>
      <c r="G2013" s="2">
        <v>-341.88</v>
      </c>
      <c r="H2013" t="s">
        <v>2411</v>
      </c>
      <c r="J2013" s="18" t="s">
        <v>4327</v>
      </c>
    </row>
    <row r="2014" spans="3:10" x14ac:dyDescent="0.25">
      <c r="C2014" s="17" t="str">
        <f t="shared" si="32"/>
        <v>28.801011.-14387.7810..CLEAR SCHEDULE.</v>
      </c>
      <c r="E2014">
        <v>28</v>
      </c>
      <c r="F2014">
        <v>801011</v>
      </c>
      <c r="G2014" s="1">
        <v>-143.87</v>
      </c>
      <c r="H2014" t="s">
        <v>2412</v>
      </c>
      <c r="J2014" s="18" t="s">
        <v>4327</v>
      </c>
    </row>
    <row r="2015" spans="3:10" x14ac:dyDescent="0.25">
      <c r="C2015" s="17" t="str">
        <f t="shared" si="32"/>
        <v>28.801011.-14387.7812..CLEAR SCHEDULE.</v>
      </c>
      <c r="E2015">
        <v>28</v>
      </c>
      <c r="F2015">
        <v>801011</v>
      </c>
      <c r="G2015" s="2">
        <v>-143.87</v>
      </c>
      <c r="H2015" t="s">
        <v>2413</v>
      </c>
      <c r="J2015" s="18" t="s">
        <v>4327</v>
      </c>
    </row>
    <row r="2016" spans="3:10" x14ac:dyDescent="0.25">
      <c r="C2016" s="17" t="str">
        <f t="shared" si="32"/>
        <v>28.801011.-16724.7813..CLEAR SCHEDULE.</v>
      </c>
      <c r="E2016">
        <v>28</v>
      </c>
      <c r="F2016">
        <v>801011</v>
      </c>
      <c r="G2016" s="1">
        <v>-167.24</v>
      </c>
      <c r="H2016" t="s">
        <v>2414</v>
      </c>
      <c r="J2016" s="18" t="s">
        <v>4327</v>
      </c>
    </row>
    <row r="2017" spans="3:10" x14ac:dyDescent="0.25">
      <c r="C2017" s="17" t="str">
        <f t="shared" si="32"/>
        <v>28.801011.-54170.7815..CLEAR SCHEDULE.</v>
      </c>
      <c r="E2017">
        <v>28</v>
      </c>
      <c r="F2017">
        <v>801011</v>
      </c>
      <c r="G2017" s="2">
        <v>-541.70000000000005</v>
      </c>
      <c r="H2017" t="s">
        <v>2415</v>
      </c>
      <c r="J2017" s="18" t="s">
        <v>4327</v>
      </c>
    </row>
    <row r="2018" spans="3:10" x14ac:dyDescent="0.25">
      <c r="C2018" s="17" t="str">
        <f t="shared" si="32"/>
        <v>28.801011.-25000.7816..CLEAR SCHEDULE.</v>
      </c>
      <c r="E2018">
        <v>28</v>
      </c>
      <c r="F2018">
        <v>801011</v>
      </c>
      <c r="G2018" s="1">
        <v>-250</v>
      </c>
      <c r="H2018" t="s">
        <v>2416</v>
      </c>
      <c r="J2018" s="18" t="s">
        <v>4327</v>
      </c>
    </row>
    <row r="2019" spans="3:10" x14ac:dyDescent="0.25">
      <c r="C2019" s="17" t="str">
        <f t="shared" si="32"/>
        <v>28.801011.-11309.7818..CLEAR SCHEDULE.</v>
      </c>
      <c r="E2019">
        <v>28</v>
      </c>
      <c r="F2019">
        <v>801011</v>
      </c>
      <c r="G2019" s="2">
        <v>-113.09</v>
      </c>
      <c r="H2019" t="s">
        <v>2417</v>
      </c>
      <c r="J2019" s="18" t="s">
        <v>4327</v>
      </c>
    </row>
    <row r="2020" spans="3:10" x14ac:dyDescent="0.25">
      <c r="C2020" s="17" t="str">
        <f t="shared" si="32"/>
        <v>28.801011.-9590.7819..CLEAR SCHEDULE.</v>
      </c>
      <c r="E2020">
        <v>28</v>
      </c>
      <c r="F2020">
        <v>801011</v>
      </c>
      <c r="G2020" s="1">
        <v>-95.9</v>
      </c>
      <c r="H2020" t="s">
        <v>2418</v>
      </c>
      <c r="J2020" s="18" t="s">
        <v>4327</v>
      </c>
    </row>
    <row r="2021" spans="3:10" x14ac:dyDescent="0.25">
      <c r="C2021" s="17" t="str">
        <f t="shared" si="32"/>
        <v>28.801011.-20166.7820..CLEAR SCHEDULE.</v>
      </c>
      <c r="E2021">
        <v>28</v>
      </c>
      <c r="F2021">
        <v>801011</v>
      </c>
      <c r="G2021" s="2">
        <v>-201.66</v>
      </c>
      <c r="H2021" t="s">
        <v>2419</v>
      </c>
      <c r="J2021" s="18" t="s">
        <v>4327</v>
      </c>
    </row>
    <row r="2022" spans="3:10" x14ac:dyDescent="0.25">
      <c r="C2022" s="17" t="str">
        <f t="shared" si="32"/>
        <v>28.801011.-19742.7821..CLEAR SCHEDULE.</v>
      </c>
      <c r="E2022">
        <v>28</v>
      </c>
      <c r="F2022">
        <v>801011</v>
      </c>
      <c r="G2022" s="1">
        <v>-197.42</v>
      </c>
      <c r="H2022" t="s">
        <v>2420</v>
      </c>
      <c r="J2022" s="18" t="s">
        <v>4327</v>
      </c>
    </row>
    <row r="2023" spans="3:10" x14ac:dyDescent="0.25">
      <c r="C2023" s="17" t="str">
        <f t="shared" si="32"/>
        <v>28.801011.-15945.7822..CLEAR SCHEDULE.</v>
      </c>
      <c r="E2023">
        <v>28</v>
      </c>
      <c r="F2023">
        <v>801011</v>
      </c>
      <c r="G2023" s="2">
        <v>-159.44999999999999</v>
      </c>
      <c r="H2023" t="s">
        <v>2421</v>
      </c>
      <c r="J2023" s="18" t="s">
        <v>4327</v>
      </c>
    </row>
    <row r="2024" spans="3:10" x14ac:dyDescent="0.25">
      <c r="C2024" s="17" t="str">
        <f t="shared" si="32"/>
        <v>28.801011.-47015.7823..CLEAR SCHEDULE.</v>
      </c>
      <c r="E2024">
        <v>28</v>
      </c>
      <c r="F2024">
        <v>801011</v>
      </c>
      <c r="G2024" s="1">
        <v>-470.15</v>
      </c>
      <c r="H2024" t="s">
        <v>2422</v>
      </c>
      <c r="J2024" s="18" t="s">
        <v>4327</v>
      </c>
    </row>
    <row r="2025" spans="3:10" x14ac:dyDescent="0.25">
      <c r="C2025" s="17" t="str">
        <f t="shared" si="32"/>
        <v>28.801011.-69670.7833..CLEAR SCHEDULE.</v>
      </c>
      <c r="E2025">
        <v>28</v>
      </c>
      <c r="F2025">
        <v>801011</v>
      </c>
      <c r="G2025" s="2">
        <v>-696.7</v>
      </c>
      <c r="H2025" t="s">
        <v>2423</v>
      </c>
      <c r="J2025" s="18" t="s">
        <v>4327</v>
      </c>
    </row>
    <row r="2026" spans="3:10" x14ac:dyDescent="0.25">
      <c r="C2026" s="17" t="str">
        <f t="shared" si="32"/>
        <v>28.801011.-14387.7834..CLEAR SCHEDULE.</v>
      </c>
      <c r="E2026">
        <v>28</v>
      </c>
      <c r="F2026">
        <v>801011</v>
      </c>
      <c r="G2026" s="1">
        <v>-143.87</v>
      </c>
      <c r="H2026" t="s">
        <v>2424</v>
      </c>
      <c r="J2026" s="18" t="s">
        <v>4327</v>
      </c>
    </row>
    <row r="2027" spans="3:10" x14ac:dyDescent="0.25">
      <c r="C2027" s="17" t="str">
        <f t="shared" si="32"/>
        <v>28.801011.-8242.7835..CLEAR SCHEDULE.</v>
      </c>
      <c r="E2027">
        <v>28</v>
      </c>
      <c r="F2027">
        <v>801011</v>
      </c>
      <c r="G2027" s="2">
        <v>-82.42</v>
      </c>
      <c r="H2027" t="s">
        <v>2425</v>
      </c>
      <c r="J2027" s="18" t="s">
        <v>4327</v>
      </c>
    </row>
    <row r="2028" spans="3:10" x14ac:dyDescent="0.25">
      <c r="C2028" s="17" t="str">
        <f t="shared" si="32"/>
        <v>28.801011.-33896.7836..CLEAR SCHEDULE.</v>
      </c>
      <c r="E2028">
        <v>28</v>
      </c>
      <c r="F2028">
        <v>801011</v>
      </c>
      <c r="G2028" s="1">
        <v>-338.96</v>
      </c>
      <c r="H2028" t="s">
        <v>2426</v>
      </c>
      <c r="J2028" s="18" t="s">
        <v>4327</v>
      </c>
    </row>
    <row r="2029" spans="3:10" x14ac:dyDescent="0.25">
      <c r="C2029" s="17" t="str">
        <f t="shared" si="32"/>
        <v>28.801011.-19742.7838..CLEAR SCHEDULE.</v>
      </c>
      <c r="E2029">
        <v>28</v>
      </c>
      <c r="F2029">
        <v>801011</v>
      </c>
      <c r="G2029" s="2">
        <v>-197.42</v>
      </c>
      <c r="H2029" t="s">
        <v>2427</v>
      </c>
      <c r="J2029" s="18" t="s">
        <v>4327</v>
      </c>
    </row>
    <row r="2030" spans="3:10" x14ac:dyDescent="0.25">
      <c r="C2030" s="17" t="str">
        <f t="shared" si="32"/>
        <v>28.801011.-9871.7840..CLEAR SCHEDULE.</v>
      </c>
      <c r="E2030">
        <v>28</v>
      </c>
      <c r="F2030">
        <v>801011</v>
      </c>
      <c r="G2030" s="1">
        <v>-98.71</v>
      </c>
      <c r="H2030" t="s">
        <v>2428</v>
      </c>
      <c r="J2030" s="18" t="s">
        <v>4327</v>
      </c>
    </row>
    <row r="2031" spans="3:10" x14ac:dyDescent="0.25">
      <c r="C2031" s="17" t="str">
        <f t="shared" si="32"/>
        <v>28.801011.-10004.7841..CLEAR SCHEDULE.</v>
      </c>
      <c r="E2031">
        <v>28</v>
      </c>
      <c r="F2031">
        <v>801011</v>
      </c>
      <c r="G2031" s="2">
        <v>-100.04</v>
      </c>
      <c r="H2031" t="s">
        <v>2429</v>
      </c>
      <c r="J2031" s="18" t="s">
        <v>4327</v>
      </c>
    </row>
    <row r="2032" spans="3:10" x14ac:dyDescent="0.25">
      <c r="C2032" s="17" t="str">
        <f t="shared" si="32"/>
        <v>28.801011.-103234.7842..CLEAR SCHEDULE.</v>
      </c>
      <c r="E2032">
        <v>28</v>
      </c>
      <c r="F2032">
        <v>801011</v>
      </c>
      <c r="G2032" s="1">
        <v>-1032.3399999999999</v>
      </c>
      <c r="H2032" t="s">
        <v>2430</v>
      </c>
      <c r="J2032" s="18" t="s">
        <v>4327</v>
      </c>
    </row>
    <row r="2033" spans="3:10" x14ac:dyDescent="0.25">
      <c r="C2033" s="17" t="str">
        <f t="shared" si="32"/>
        <v>28.801011.-15945.7844..CLEAR SCHEDULE.</v>
      </c>
      <c r="E2033">
        <v>28</v>
      </c>
      <c r="F2033">
        <v>801011</v>
      </c>
      <c r="G2033" s="2">
        <v>-159.44999999999999</v>
      </c>
      <c r="H2033" t="s">
        <v>2431</v>
      </c>
      <c r="J2033" s="18" t="s">
        <v>4327</v>
      </c>
    </row>
    <row r="2034" spans="3:10" x14ac:dyDescent="0.25">
      <c r="C2034" s="17" t="str">
        <f t="shared" si="32"/>
        <v>28.801011.-23779.7845..CLEAR SCHEDULE.</v>
      </c>
      <c r="E2034">
        <v>28</v>
      </c>
      <c r="F2034">
        <v>801011</v>
      </c>
      <c r="G2034" s="1">
        <v>-237.79</v>
      </c>
      <c r="H2034" t="s">
        <v>2432</v>
      </c>
      <c r="J2034" s="18" t="s">
        <v>4327</v>
      </c>
    </row>
    <row r="2035" spans="3:10" x14ac:dyDescent="0.25">
      <c r="C2035" s="17" t="str">
        <f t="shared" si="32"/>
        <v>28.801011.-11028.7846..CLEAR SCHEDULE.</v>
      </c>
      <c r="E2035">
        <v>28</v>
      </c>
      <c r="F2035">
        <v>801011</v>
      </c>
      <c r="G2035" s="2">
        <v>-110.28</v>
      </c>
      <c r="H2035" t="s">
        <v>2433</v>
      </c>
      <c r="J2035" s="18" t="s">
        <v>4327</v>
      </c>
    </row>
    <row r="2036" spans="3:10" x14ac:dyDescent="0.25">
      <c r="C2036" s="17" t="str">
        <f t="shared" si="32"/>
        <v>28.801011.-10530.7847..CLEAR SCHEDULE.</v>
      </c>
      <c r="E2036">
        <v>28</v>
      </c>
      <c r="F2036">
        <v>801011</v>
      </c>
      <c r="G2036" s="1">
        <v>-105.3</v>
      </c>
      <c r="H2036" t="s">
        <v>2434</v>
      </c>
      <c r="J2036" s="18" t="s">
        <v>4327</v>
      </c>
    </row>
    <row r="2037" spans="3:10" x14ac:dyDescent="0.25">
      <c r="C2037" s="17" t="str">
        <f t="shared" si="32"/>
        <v>28.801011.-53389.7848..CLEAR SCHEDULE.</v>
      </c>
      <c r="E2037">
        <v>28</v>
      </c>
      <c r="F2037">
        <v>801011</v>
      </c>
      <c r="G2037" s="2">
        <v>-533.89</v>
      </c>
      <c r="H2037" t="s">
        <v>2435</v>
      </c>
      <c r="J2037" s="18" t="s">
        <v>4327</v>
      </c>
    </row>
    <row r="2038" spans="3:10" x14ac:dyDescent="0.25">
      <c r="C2038" s="17" t="str">
        <f t="shared" si="32"/>
        <v>28.801011.-5415.7850..CLEAR SCHEDULE.</v>
      </c>
      <c r="E2038">
        <v>28</v>
      </c>
      <c r="F2038">
        <v>801011</v>
      </c>
      <c r="G2038" s="1">
        <v>-54.15</v>
      </c>
      <c r="H2038" t="s">
        <v>2436</v>
      </c>
      <c r="J2038" s="18" t="s">
        <v>4327</v>
      </c>
    </row>
    <row r="2039" spans="3:10" x14ac:dyDescent="0.25">
      <c r="C2039" s="17" t="str">
        <f t="shared" si="32"/>
        <v>28.801011.-68699.7851..CLEAR SCHEDULE.</v>
      </c>
      <c r="E2039">
        <v>28</v>
      </c>
      <c r="F2039">
        <v>801011</v>
      </c>
      <c r="G2039" s="2">
        <v>-686.99</v>
      </c>
      <c r="H2039" t="s">
        <v>2437</v>
      </c>
      <c r="J2039" s="18" t="s">
        <v>4327</v>
      </c>
    </row>
    <row r="2040" spans="3:10" x14ac:dyDescent="0.25">
      <c r="C2040" s="17" t="str">
        <f t="shared" si="32"/>
        <v>28.801011.-14387.7852..CLEAR SCHEDULE.</v>
      </c>
      <c r="E2040">
        <v>28</v>
      </c>
      <c r="F2040">
        <v>801011</v>
      </c>
      <c r="G2040" s="1">
        <v>-143.87</v>
      </c>
      <c r="H2040" t="s">
        <v>2438</v>
      </c>
      <c r="J2040" s="18" t="s">
        <v>4327</v>
      </c>
    </row>
    <row r="2041" spans="3:10" x14ac:dyDescent="0.25">
      <c r="C2041" s="17" t="str">
        <f t="shared" si="32"/>
        <v>28.801011.-17830.7853..CLEAR SCHEDULE.</v>
      </c>
      <c r="E2041">
        <v>28</v>
      </c>
      <c r="F2041">
        <v>801011</v>
      </c>
      <c r="G2041" s="2">
        <v>-178.3</v>
      </c>
      <c r="H2041" t="s">
        <v>2439</v>
      </c>
      <c r="J2041" s="18" t="s">
        <v>4327</v>
      </c>
    </row>
    <row r="2042" spans="3:10" x14ac:dyDescent="0.25">
      <c r="C2042" s="17" t="str">
        <f t="shared" si="32"/>
        <v>28.801011.-15945.7855..CLEAR SCHEDULE.</v>
      </c>
      <c r="E2042">
        <v>28</v>
      </c>
      <c r="F2042">
        <v>801011</v>
      </c>
      <c r="G2042" s="1">
        <v>-159.44999999999999</v>
      </c>
      <c r="H2042" t="s">
        <v>2440</v>
      </c>
      <c r="J2042" s="18" t="s">
        <v>4327</v>
      </c>
    </row>
    <row r="2043" spans="3:10" x14ac:dyDescent="0.25">
      <c r="C2043" s="17" t="str">
        <f t="shared" si="32"/>
        <v>28.801011.-10530.7856..CLEAR SCHEDULE.</v>
      </c>
      <c r="E2043">
        <v>28</v>
      </c>
      <c r="F2043">
        <v>801011</v>
      </c>
      <c r="G2043" s="2">
        <v>-105.3</v>
      </c>
      <c r="H2043" t="s">
        <v>2441</v>
      </c>
      <c r="J2043" s="18" t="s">
        <v>4327</v>
      </c>
    </row>
    <row r="2044" spans="3:10" x14ac:dyDescent="0.25">
      <c r="C2044" s="17" t="str">
        <f t="shared" si="32"/>
        <v>28.801011.-262667.7857..CLEAR SCHEDULE.</v>
      </c>
      <c r="E2044">
        <v>28</v>
      </c>
      <c r="F2044">
        <v>801011</v>
      </c>
      <c r="G2044" s="1">
        <v>-2626.67</v>
      </c>
      <c r="H2044" t="s">
        <v>2442</v>
      </c>
      <c r="J2044" s="18" t="s">
        <v>4327</v>
      </c>
    </row>
    <row r="2045" spans="3:10" x14ac:dyDescent="0.25">
      <c r="C2045" s="17" t="str">
        <f t="shared" si="32"/>
        <v>28.801011.-12521.7860..CLEAR SCHEDULE.</v>
      </c>
      <c r="E2045">
        <v>28</v>
      </c>
      <c r="F2045">
        <v>801011</v>
      </c>
      <c r="G2045" s="2">
        <v>-125.21</v>
      </c>
      <c r="H2045" t="s">
        <v>2443</v>
      </c>
      <c r="J2045" s="18" t="s">
        <v>4327</v>
      </c>
    </row>
    <row r="2046" spans="3:10" x14ac:dyDescent="0.25">
      <c r="C2046" s="17" t="str">
        <f t="shared" si="32"/>
        <v>28.801011.-17500.7862..CLEAR SCHEDULE.</v>
      </c>
      <c r="E2046">
        <v>28</v>
      </c>
      <c r="F2046">
        <v>801011</v>
      </c>
      <c r="G2046" s="1">
        <v>-175</v>
      </c>
      <c r="H2046" t="s">
        <v>2444</v>
      </c>
      <c r="J2046" s="18" t="s">
        <v>4327</v>
      </c>
    </row>
    <row r="2047" spans="3:10" x14ac:dyDescent="0.25">
      <c r="C2047" s="17" t="str">
        <f t="shared" si="32"/>
        <v>28.801011.-52091.7864..CLEAR SCHEDULE.</v>
      </c>
      <c r="E2047">
        <v>28</v>
      </c>
      <c r="F2047">
        <v>801011</v>
      </c>
      <c r="G2047" s="2">
        <v>-520.91</v>
      </c>
      <c r="H2047" t="s">
        <v>2445</v>
      </c>
      <c r="J2047" s="18" t="s">
        <v>4327</v>
      </c>
    </row>
    <row r="2048" spans="3:10" x14ac:dyDescent="0.25">
      <c r="C2048" s="17" t="str">
        <f t="shared" si="32"/>
        <v>28.801011.-14387.7866..CLEAR SCHEDULE.</v>
      </c>
      <c r="E2048">
        <v>28</v>
      </c>
      <c r="F2048">
        <v>801011</v>
      </c>
      <c r="G2048" s="1">
        <v>-143.87</v>
      </c>
      <c r="H2048" t="s">
        <v>2446</v>
      </c>
      <c r="J2048" s="18" t="s">
        <v>4327</v>
      </c>
    </row>
    <row r="2049" spans="3:10" x14ac:dyDescent="0.25">
      <c r="C2049" s="17" t="str">
        <f t="shared" si="32"/>
        <v>28.801011.-14387.7869..CLEAR SCHEDULE.</v>
      </c>
      <c r="E2049">
        <v>28</v>
      </c>
      <c r="F2049">
        <v>801011</v>
      </c>
      <c r="G2049" s="2">
        <v>-143.87</v>
      </c>
      <c r="H2049" t="s">
        <v>2447</v>
      </c>
      <c r="J2049" s="18" t="s">
        <v>4327</v>
      </c>
    </row>
    <row r="2050" spans="3:10" x14ac:dyDescent="0.25">
      <c r="C2050" s="17" t="str">
        <f t="shared" si="32"/>
        <v>28.801011.-7878.7875..CLEAR SCHEDULE.</v>
      </c>
      <c r="E2050">
        <v>28</v>
      </c>
      <c r="F2050">
        <v>801011</v>
      </c>
      <c r="G2050" s="1">
        <v>-78.78</v>
      </c>
      <c r="H2050" t="s">
        <v>2448</v>
      </c>
      <c r="J2050" s="18" t="s">
        <v>4327</v>
      </c>
    </row>
    <row r="2051" spans="3:10" x14ac:dyDescent="0.25">
      <c r="C2051" s="17" t="str">
        <f t="shared" si="32"/>
        <v>28.801011.-146202.7876..CLEAR SCHEDULE.</v>
      </c>
      <c r="E2051">
        <v>28</v>
      </c>
      <c r="F2051">
        <v>801011</v>
      </c>
      <c r="G2051" s="2">
        <v>-1462.02</v>
      </c>
      <c r="H2051" t="s">
        <v>2449</v>
      </c>
      <c r="J2051" s="18" t="s">
        <v>4327</v>
      </c>
    </row>
    <row r="2052" spans="3:10" x14ac:dyDescent="0.25">
      <c r="C2052" s="17" t="str">
        <f t="shared" si="32"/>
        <v>28.801011.-14387.7877..CLEAR SCHEDULE.</v>
      </c>
      <c r="E2052">
        <v>28</v>
      </c>
      <c r="F2052">
        <v>801011</v>
      </c>
      <c r="G2052" s="1">
        <v>-143.87</v>
      </c>
      <c r="H2052" t="s">
        <v>2450</v>
      </c>
      <c r="J2052" s="18" t="s">
        <v>4327</v>
      </c>
    </row>
    <row r="2053" spans="3:10" x14ac:dyDescent="0.25">
      <c r="C2053" s="17" t="str">
        <f t="shared" si="32"/>
        <v>28.801011.-28393.7878..CLEAR SCHEDULE.</v>
      </c>
      <c r="E2053">
        <v>28</v>
      </c>
      <c r="F2053">
        <v>801011</v>
      </c>
      <c r="G2053" s="2">
        <v>-283.93</v>
      </c>
      <c r="H2053" t="s">
        <v>2451</v>
      </c>
      <c r="J2053" s="18" t="s">
        <v>4327</v>
      </c>
    </row>
    <row r="2054" spans="3:10" x14ac:dyDescent="0.25">
      <c r="C2054" s="17" t="str">
        <f t="shared" si="32"/>
        <v>28.801011.-10901.7879..CLEAR SCHEDULE.</v>
      </c>
      <c r="E2054">
        <v>28</v>
      </c>
      <c r="F2054">
        <v>801011</v>
      </c>
      <c r="G2054" s="1">
        <v>-109.01</v>
      </c>
      <c r="H2054" t="s">
        <v>2452</v>
      </c>
      <c r="J2054" s="18" t="s">
        <v>4327</v>
      </c>
    </row>
    <row r="2055" spans="3:10" x14ac:dyDescent="0.25">
      <c r="C2055" s="17" t="str">
        <f t="shared" si="32"/>
        <v>28.801011.-15166.7881..CLEAR SCHEDULE.</v>
      </c>
      <c r="E2055">
        <v>28</v>
      </c>
      <c r="F2055">
        <v>801011</v>
      </c>
      <c r="G2055" s="2">
        <v>-151.66</v>
      </c>
      <c r="H2055" t="s">
        <v>2453</v>
      </c>
      <c r="J2055" s="18" t="s">
        <v>4327</v>
      </c>
    </row>
    <row r="2056" spans="3:10" x14ac:dyDescent="0.25">
      <c r="C2056" s="17" t="str">
        <f t="shared" si="32"/>
        <v>28.801011.-1601.7882..CLEAR SCHEDULE.</v>
      </c>
      <c r="E2056">
        <v>28</v>
      </c>
      <c r="F2056">
        <v>801011</v>
      </c>
      <c r="G2056" s="1">
        <v>-16.010000000000002</v>
      </c>
      <c r="H2056" t="s">
        <v>2454</v>
      </c>
      <c r="J2056" s="18" t="s">
        <v>4327</v>
      </c>
    </row>
    <row r="2057" spans="3:10" x14ac:dyDescent="0.25">
      <c r="C2057" s="17" t="str">
        <f t="shared" si="32"/>
        <v>28.801011.-16459.7883..CLEAR SCHEDULE.</v>
      </c>
      <c r="E2057">
        <v>28</v>
      </c>
      <c r="F2057">
        <v>801011</v>
      </c>
      <c r="G2057" s="2">
        <v>-164.59</v>
      </c>
      <c r="H2057" t="s">
        <v>2455</v>
      </c>
      <c r="J2057" s="18" t="s">
        <v>4327</v>
      </c>
    </row>
    <row r="2058" spans="3:10" x14ac:dyDescent="0.25">
      <c r="C2058" s="17" t="str">
        <f t="shared" si="32"/>
        <v>28.801011.-10004.7884..CLEAR SCHEDULE.</v>
      </c>
      <c r="E2058">
        <v>28</v>
      </c>
      <c r="F2058">
        <v>801011</v>
      </c>
      <c r="G2058" s="1">
        <v>-100.04</v>
      </c>
      <c r="H2058" t="s">
        <v>2456</v>
      </c>
      <c r="J2058" s="18" t="s">
        <v>4327</v>
      </c>
    </row>
    <row r="2059" spans="3:10" x14ac:dyDescent="0.25">
      <c r="C2059" s="17" t="str">
        <f t="shared" ref="C2059:C2122" si="33">IF(G2059=0,"",(E2059&amp;"."&amp;F2059&amp;"."&amp;G2059*100&amp;"."&amp;H2059&amp;"."&amp;I2059&amp;"."&amp;J2059&amp;"."&amp;K2059))</f>
        <v>28.801011.-9751.7885..CLEAR SCHEDULE.</v>
      </c>
      <c r="E2059">
        <v>28</v>
      </c>
      <c r="F2059">
        <v>801011</v>
      </c>
      <c r="G2059" s="2">
        <v>-97.51</v>
      </c>
      <c r="H2059" t="s">
        <v>2457</v>
      </c>
      <c r="J2059" s="18" t="s">
        <v>4327</v>
      </c>
    </row>
    <row r="2060" spans="3:10" x14ac:dyDescent="0.25">
      <c r="C2060" s="17" t="str">
        <f t="shared" si="33"/>
        <v>28.801011.-23906.7886..CLEAR SCHEDULE.</v>
      </c>
      <c r="E2060">
        <v>28</v>
      </c>
      <c r="F2060">
        <v>801011</v>
      </c>
      <c r="G2060" s="1">
        <v>-239.06</v>
      </c>
      <c r="H2060" t="s">
        <v>2458</v>
      </c>
      <c r="J2060" s="18" t="s">
        <v>4327</v>
      </c>
    </row>
    <row r="2061" spans="3:10" x14ac:dyDescent="0.25">
      <c r="C2061" s="17" t="str">
        <f t="shared" si="33"/>
        <v>28.801011.-97708.7887..CLEAR SCHEDULE.</v>
      </c>
      <c r="E2061">
        <v>28</v>
      </c>
      <c r="F2061">
        <v>801011</v>
      </c>
      <c r="G2061" s="2">
        <v>-977.08</v>
      </c>
      <c r="H2061" t="s">
        <v>2459</v>
      </c>
      <c r="J2061" s="18" t="s">
        <v>4327</v>
      </c>
    </row>
    <row r="2062" spans="3:10" x14ac:dyDescent="0.25">
      <c r="C2062" s="17" t="str">
        <f t="shared" si="33"/>
        <v>28.801011.-14472.7891..CLEAR SCHEDULE.</v>
      </c>
      <c r="E2062">
        <v>28</v>
      </c>
      <c r="F2062">
        <v>801011</v>
      </c>
      <c r="G2062" s="1">
        <v>-144.72</v>
      </c>
      <c r="H2062" t="s">
        <v>2460</v>
      </c>
      <c r="J2062" s="18" t="s">
        <v>4327</v>
      </c>
    </row>
    <row r="2063" spans="3:10" x14ac:dyDescent="0.25">
      <c r="C2063" s="17" t="str">
        <f t="shared" si="33"/>
        <v>28.801011.-92928.7893..CLEAR SCHEDULE.</v>
      </c>
      <c r="E2063">
        <v>28</v>
      </c>
      <c r="F2063">
        <v>801011</v>
      </c>
      <c r="G2063" s="2">
        <v>-929.28</v>
      </c>
      <c r="H2063" t="s">
        <v>2461</v>
      </c>
      <c r="J2063" s="18" t="s">
        <v>4327</v>
      </c>
    </row>
    <row r="2064" spans="3:10" x14ac:dyDescent="0.25">
      <c r="C2064" s="17" t="str">
        <f t="shared" si="33"/>
        <v>28.801011.-15166.7894..CLEAR SCHEDULE.</v>
      </c>
      <c r="E2064">
        <v>28</v>
      </c>
      <c r="F2064">
        <v>801011</v>
      </c>
      <c r="G2064" s="1">
        <v>-151.66</v>
      </c>
      <c r="H2064" t="s">
        <v>2462</v>
      </c>
      <c r="J2064" s="18" t="s">
        <v>4327</v>
      </c>
    </row>
    <row r="2065" spans="3:10" x14ac:dyDescent="0.25">
      <c r="C2065" s="17" t="str">
        <f t="shared" si="33"/>
        <v>28.801011.-8972.7895..CLEAR SCHEDULE.</v>
      </c>
      <c r="E2065">
        <v>28</v>
      </c>
      <c r="F2065">
        <v>801011</v>
      </c>
      <c r="G2065" s="2">
        <v>-89.72</v>
      </c>
      <c r="H2065" t="s">
        <v>2463</v>
      </c>
      <c r="J2065" s="18" t="s">
        <v>4327</v>
      </c>
    </row>
    <row r="2066" spans="3:10" x14ac:dyDescent="0.25">
      <c r="C2066" s="17" t="str">
        <f t="shared" si="33"/>
        <v>28.801011.-10530.7897..CLEAR SCHEDULE.</v>
      </c>
      <c r="E2066">
        <v>28</v>
      </c>
      <c r="F2066">
        <v>801011</v>
      </c>
      <c r="G2066" s="1">
        <v>-105.3</v>
      </c>
      <c r="H2066" t="s">
        <v>2464</v>
      </c>
      <c r="J2066" s="18" t="s">
        <v>4327</v>
      </c>
    </row>
    <row r="2067" spans="3:10" x14ac:dyDescent="0.25">
      <c r="C2067" s="17" t="str">
        <f t="shared" si="33"/>
        <v>28.801011.-52015.7898..CLEAR SCHEDULE.</v>
      </c>
      <c r="E2067">
        <v>28</v>
      </c>
      <c r="F2067">
        <v>801011</v>
      </c>
      <c r="G2067" s="2">
        <v>-520.15</v>
      </c>
      <c r="H2067" t="s">
        <v>2465</v>
      </c>
      <c r="J2067" s="18" t="s">
        <v>4327</v>
      </c>
    </row>
    <row r="2068" spans="3:10" x14ac:dyDescent="0.25">
      <c r="C2068" s="17" t="str">
        <f t="shared" si="33"/>
        <v>28.801011.-15945.7899..CLEAR SCHEDULE.</v>
      </c>
      <c r="E2068">
        <v>28</v>
      </c>
      <c r="F2068">
        <v>801011</v>
      </c>
      <c r="G2068" s="1">
        <v>-159.44999999999999</v>
      </c>
      <c r="H2068" t="s">
        <v>2466</v>
      </c>
      <c r="J2068" s="18" t="s">
        <v>4327</v>
      </c>
    </row>
    <row r="2069" spans="3:10" x14ac:dyDescent="0.25">
      <c r="C2069" s="17" t="str">
        <f t="shared" si="33"/>
        <v>28.801011.-15574.7901..CLEAR SCHEDULE.</v>
      </c>
      <c r="E2069">
        <v>28</v>
      </c>
      <c r="F2069">
        <v>801011</v>
      </c>
      <c r="G2069" s="2">
        <v>-155.74</v>
      </c>
      <c r="H2069" t="s">
        <v>2467</v>
      </c>
      <c r="J2069" s="18" t="s">
        <v>4327</v>
      </c>
    </row>
    <row r="2070" spans="3:10" x14ac:dyDescent="0.25">
      <c r="C2070" s="17" t="str">
        <f t="shared" si="33"/>
        <v>28.801011.-14387.7907..CLEAR SCHEDULE.</v>
      </c>
      <c r="E2070">
        <v>28</v>
      </c>
      <c r="F2070">
        <v>801011</v>
      </c>
      <c r="G2070" s="1">
        <v>-143.87</v>
      </c>
      <c r="H2070" t="s">
        <v>2468</v>
      </c>
      <c r="J2070" s="18" t="s">
        <v>4327</v>
      </c>
    </row>
    <row r="2071" spans="3:10" x14ac:dyDescent="0.25">
      <c r="C2071" s="17" t="str">
        <f t="shared" si="33"/>
        <v>28.801011.-134352.7909..CLEAR SCHEDULE.</v>
      </c>
      <c r="E2071">
        <v>28</v>
      </c>
      <c r="F2071">
        <v>801011</v>
      </c>
      <c r="G2071" s="2">
        <v>-1343.52</v>
      </c>
      <c r="H2071" t="s">
        <v>2469</v>
      </c>
      <c r="J2071" s="18" t="s">
        <v>4327</v>
      </c>
    </row>
    <row r="2072" spans="3:10" x14ac:dyDescent="0.25">
      <c r="C2072" s="17" t="str">
        <f t="shared" si="33"/>
        <v>28.801011.-5415.7913..CLEAR SCHEDULE.</v>
      </c>
      <c r="E2072">
        <v>28</v>
      </c>
      <c r="F2072">
        <v>801011</v>
      </c>
      <c r="G2072" s="1">
        <v>-54.15</v>
      </c>
      <c r="H2072" t="s">
        <v>2470</v>
      </c>
      <c r="J2072" s="18" t="s">
        <v>4327</v>
      </c>
    </row>
    <row r="2073" spans="3:10" x14ac:dyDescent="0.25">
      <c r="C2073" s="17" t="str">
        <f t="shared" si="33"/>
        <v>28.801011.-346327.7914..CLEAR SCHEDULE.</v>
      </c>
      <c r="E2073">
        <v>28</v>
      </c>
      <c r="F2073">
        <v>801011</v>
      </c>
      <c r="G2073" s="2">
        <v>-3463.27</v>
      </c>
      <c r="H2073" t="s">
        <v>2471</v>
      </c>
      <c r="J2073" s="18" t="s">
        <v>4327</v>
      </c>
    </row>
    <row r="2074" spans="3:10" x14ac:dyDescent="0.25">
      <c r="C2074" s="17" t="str">
        <f t="shared" si="33"/>
        <v>28.801011.-8972.7915..CLEAR SCHEDULE.</v>
      </c>
      <c r="E2074">
        <v>28</v>
      </c>
      <c r="F2074">
        <v>801011</v>
      </c>
      <c r="G2074" s="1">
        <v>-89.72</v>
      </c>
      <c r="H2074" t="s">
        <v>2472</v>
      </c>
      <c r="J2074" s="18" t="s">
        <v>4327</v>
      </c>
    </row>
    <row r="2075" spans="3:10" x14ac:dyDescent="0.25">
      <c r="C2075" s="17" t="str">
        <f t="shared" si="33"/>
        <v>28.801011.-15945.7916..CLEAR SCHEDULE.</v>
      </c>
      <c r="E2075">
        <v>28</v>
      </c>
      <c r="F2075">
        <v>801011</v>
      </c>
      <c r="G2075" s="2">
        <v>-159.44999999999999</v>
      </c>
      <c r="H2075" t="s">
        <v>2473</v>
      </c>
      <c r="J2075" s="18" t="s">
        <v>4327</v>
      </c>
    </row>
    <row r="2076" spans="3:10" x14ac:dyDescent="0.25">
      <c r="C2076" s="17" t="str">
        <f t="shared" si="33"/>
        <v>28.801011.-15945.7917..CLEAR SCHEDULE.</v>
      </c>
      <c r="E2076">
        <v>28</v>
      </c>
      <c r="F2076">
        <v>801011</v>
      </c>
      <c r="G2076" s="1">
        <v>-159.44999999999999</v>
      </c>
      <c r="H2076" t="s">
        <v>2474</v>
      </c>
      <c r="J2076" s="18" t="s">
        <v>4327</v>
      </c>
    </row>
    <row r="2077" spans="3:10" x14ac:dyDescent="0.25">
      <c r="C2077" s="17" t="str">
        <f t="shared" si="33"/>
        <v>28.801011.-6769.7919..CLEAR SCHEDULE.</v>
      </c>
      <c r="E2077">
        <v>28</v>
      </c>
      <c r="F2077">
        <v>801011</v>
      </c>
      <c r="G2077" s="2">
        <v>-67.69</v>
      </c>
      <c r="H2077" t="s">
        <v>2475</v>
      </c>
      <c r="J2077" s="18" t="s">
        <v>4327</v>
      </c>
    </row>
    <row r="2078" spans="3:10" x14ac:dyDescent="0.25">
      <c r="C2078" s="17" t="str">
        <f t="shared" si="33"/>
        <v>28.801011.-6202.7920..CLEAR SCHEDULE.</v>
      </c>
      <c r="E2078">
        <v>28</v>
      </c>
      <c r="F2078">
        <v>801011</v>
      </c>
      <c r="G2078" s="1">
        <v>-62.02</v>
      </c>
      <c r="H2078" t="s">
        <v>2476</v>
      </c>
      <c r="J2078" s="18" t="s">
        <v>4327</v>
      </c>
    </row>
    <row r="2079" spans="3:10" x14ac:dyDescent="0.25">
      <c r="C2079" s="17" t="str">
        <f t="shared" si="33"/>
        <v>28.801011.-55559.7921..CLEAR SCHEDULE.</v>
      </c>
      <c r="E2079">
        <v>28</v>
      </c>
      <c r="F2079">
        <v>801011</v>
      </c>
      <c r="G2079" s="2">
        <v>-555.59</v>
      </c>
      <c r="H2079" t="s">
        <v>2477</v>
      </c>
      <c r="J2079" s="18" t="s">
        <v>4327</v>
      </c>
    </row>
    <row r="2080" spans="3:10" x14ac:dyDescent="0.25">
      <c r="C2080" s="17" t="str">
        <f t="shared" si="33"/>
        <v>28.801011.-10530.7922..CLEAR SCHEDULE.</v>
      </c>
      <c r="E2080">
        <v>28</v>
      </c>
      <c r="F2080">
        <v>801011</v>
      </c>
      <c r="G2080" s="1">
        <v>-105.3</v>
      </c>
      <c r="H2080" t="s">
        <v>2478</v>
      </c>
      <c r="J2080" s="18" t="s">
        <v>4327</v>
      </c>
    </row>
    <row r="2081" spans="3:10" x14ac:dyDescent="0.25">
      <c r="C2081" s="17" t="str">
        <f t="shared" si="33"/>
        <v>28.801011.-15945.7924..CLEAR SCHEDULE.</v>
      </c>
      <c r="E2081">
        <v>28</v>
      </c>
      <c r="F2081">
        <v>801011</v>
      </c>
      <c r="G2081" s="2">
        <v>-159.44999999999999</v>
      </c>
      <c r="H2081" t="s">
        <v>2479</v>
      </c>
      <c r="J2081" s="18" t="s">
        <v>4327</v>
      </c>
    </row>
    <row r="2082" spans="3:10" x14ac:dyDescent="0.25">
      <c r="C2082" s="17" t="str">
        <f t="shared" si="33"/>
        <v>28.801011.-8972.7925..CLEAR SCHEDULE.</v>
      </c>
      <c r="E2082">
        <v>28</v>
      </c>
      <c r="F2082">
        <v>801011</v>
      </c>
      <c r="G2082" s="1">
        <v>-89.72</v>
      </c>
      <c r="H2082" t="s">
        <v>2480</v>
      </c>
      <c r="J2082" s="18" t="s">
        <v>4327</v>
      </c>
    </row>
    <row r="2083" spans="3:10" x14ac:dyDescent="0.25">
      <c r="C2083" s="17" t="str">
        <f t="shared" si="33"/>
        <v>28.801011.-113772.7926..CLEAR SCHEDULE.</v>
      </c>
      <c r="E2083">
        <v>28</v>
      </c>
      <c r="F2083">
        <v>801011</v>
      </c>
      <c r="G2083" s="2">
        <v>-1137.72</v>
      </c>
      <c r="H2083" t="s">
        <v>2481</v>
      </c>
      <c r="J2083" s="18" t="s">
        <v>4327</v>
      </c>
    </row>
    <row r="2084" spans="3:10" x14ac:dyDescent="0.25">
      <c r="C2084" s="17" t="str">
        <f t="shared" si="33"/>
        <v>28.801011.-15651.7927..CLEAR SCHEDULE.</v>
      </c>
      <c r="E2084">
        <v>28</v>
      </c>
      <c r="F2084">
        <v>801011</v>
      </c>
      <c r="G2084" s="1">
        <v>-156.51</v>
      </c>
      <c r="H2084" t="s">
        <v>2482</v>
      </c>
      <c r="J2084" s="18" t="s">
        <v>4327</v>
      </c>
    </row>
    <row r="2085" spans="3:10" x14ac:dyDescent="0.25">
      <c r="C2085" s="17" t="str">
        <f t="shared" si="33"/>
        <v>28.801011.-31361.7928..CLEAR SCHEDULE.</v>
      </c>
      <c r="E2085">
        <v>28</v>
      </c>
      <c r="F2085">
        <v>801011</v>
      </c>
      <c r="G2085" s="2">
        <v>-313.61</v>
      </c>
      <c r="H2085" t="s">
        <v>2483</v>
      </c>
      <c r="J2085" s="18" t="s">
        <v>4327</v>
      </c>
    </row>
    <row r="2086" spans="3:10" x14ac:dyDescent="0.25">
      <c r="C2086" s="17" t="str">
        <f t="shared" si="33"/>
        <v>28.801011.-141154.7930..CLEAR SCHEDULE.</v>
      </c>
      <c r="E2086">
        <v>28</v>
      </c>
      <c r="F2086">
        <v>801011</v>
      </c>
      <c r="G2086" s="1">
        <v>-1411.54</v>
      </c>
      <c r="H2086" t="s">
        <v>2484</v>
      </c>
      <c r="J2086" s="18" t="s">
        <v>4327</v>
      </c>
    </row>
    <row r="2087" spans="3:10" x14ac:dyDescent="0.25">
      <c r="C2087" s="17" t="str">
        <f t="shared" si="33"/>
        <v>28.801011.-6216.7931..CLEAR SCHEDULE.</v>
      </c>
      <c r="E2087">
        <v>28</v>
      </c>
      <c r="F2087">
        <v>801011</v>
      </c>
      <c r="G2087" s="2">
        <v>-62.16</v>
      </c>
      <c r="H2087" t="s">
        <v>2485</v>
      </c>
      <c r="J2087" s="18" t="s">
        <v>4327</v>
      </c>
    </row>
    <row r="2088" spans="3:10" x14ac:dyDescent="0.25">
      <c r="C2088" s="17" t="str">
        <f t="shared" si="33"/>
        <v>28.801011.-5415.7932..CLEAR SCHEDULE.</v>
      </c>
      <c r="E2088">
        <v>28</v>
      </c>
      <c r="F2088">
        <v>801011</v>
      </c>
      <c r="G2088" s="1">
        <v>-54.15</v>
      </c>
      <c r="H2088" t="s">
        <v>2486</v>
      </c>
      <c r="J2088" s="18" t="s">
        <v>4327</v>
      </c>
    </row>
    <row r="2089" spans="3:10" x14ac:dyDescent="0.25">
      <c r="C2089" s="17" t="str">
        <f t="shared" si="33"/>
        <v>28.801011.-14387.7934..CLEAR SCHEDULE.</v>
      </c>
      <c r="E2089">
        <v>28</v>
      </c>
      <c r="F2089">
        <v>801011</v>
      </c>
      <c r="G2089" s="2">
        <v>-143.87</v>
      </c>
      <c r="H2089" t="s">
        <v>2487</v>
      </c>
      <c r="J2089" s="18" t="s">
        <v>4327</v>
      </c>
    </row>
    <row r="2090" spans="3:10" x14ac:dyDescent="0.25">
      <c r="C2090" s="17" t="str">
        <f t="shared" si="33"/>
        <v>28.801011.-11979.7937..CLEAR SCHEDULE.</v>
      </c>
      <c r="E2090">
        <v>28</v>
      </c>
      <c r="F2090">
        <v>801011</v>
      </c>
      <c r="G2090" s="1">
        <v>-119.79</v>
      </c>
      <c r="H2090" t="s">
        <v>2488</v>
      </c>
      <c r="J2090" s="18" t="s">
        <v>4327</v>
      </c>
    </row>
    <row r="2091" spans="3:10" x14ac:dyDescent="0.25">
      <c r="C2091" s="17" t="str">
        <f t="shared" si="33"/>
        <v>28.801011.-90227.7938..CLEAR SCHEDULE.</v>
      </c>
      <c r="E2091">
        <v>28</v>
      </c>
      <c r="F2091">
        <v>801011</v>
      </c>
      <c r="G2091" s="2">
        <v>-902.27</v>
      </c>
      <c r="H2091" t="s">
        <v>2489</v>
      </c>
      <c r="J2091" s="18" t="s">
        <v>4327</v>
      </c>
    </row>
    <row r="2092" spans="3:10" x14ac:dyDescent="0.25">
      <c r="C2092" s="17" t="str">
        <f t="shared" si="33"/>
        <v>28.801011.-131375.7939..CLEAR SCHEDULE.</v>
      </c>
      <c r="E2092">
        <v>28</v>
      </c>
      <c r="F2092">
        <v>801011</v>
      </c>
      <c r="G2092" s="1">
        <v>-1313.75</v>
      </c>
      <c r="H2092" t="s">
        <v>2490</v>
      </c>
      <c r="J2092" s="18" t="s">
        <v>4327</v>
      </c>
    </row>
    <row r="2093" spans="3:10" x14ac:dyDescent="0.25">
      <c r="C2093" s="17" t="str">
        <f t="shared" si="33"/>
        <v>28.801011.-284323.7940..CLEAR SCHEDULE.</v>
      </c>
      <c r="E2093">
        <v>28</v>
      </c>
      <c r="F2093">
        <v>801011</v>
      </c>
      <c r="G2093" s="2">
        <v>-2843.23</v>
      </c>
      <c r="H2093" t="s">
        <v>2491</v>
      </c>
      <c r="J2093" s="18" t="s">
        <v>4327</v>
      </c>
    </row>
    <row r="2094" spans="3:10" x14ac:dyDescent="0.25">
      <c r="C2094" s="17" t="str">
        <f t="shared" si="33"/>
        <v>28.801011.-5415.7942..CLEAR SCHEDULE.</v>
      </c>
      <c r="E2094">
        <v>28</v>
      </c>
      <c r="F2094">
        <v>801011</v>
      </c>
      <c r="G2094" s="1">
        <v>-54.15</v>
      </c>
      <c r="H2094" t="s">
        <v>2492</v>
      </c>
      <c r="J2094" s="18" t="s">
        <v>4327</v>
      </c>
    </row>
    <row r="2095" spans="3:10" x14ac:dyDescent="0.25">
      <c r="C2095" s="17" t="str">
        <f t="shared" si="33"/>
        <v>28.801011.-57017.7943..CLEAR SCHEDULE.</v>
      </c>
      <c r="E2095">
        <v>28</v>
      </c>
      <c r="F2095">
        <v>801011</v>
      </c>
      <c r="G2095" s="2">
        <v>-570.16999999999996</v>
      </c>
      <c r="H2095" t="s">
        <v>2493</v>
      </c>
      <c r="J2095" s="18" t="s">
        <v>4327</v>
      </c>
    </row>
    <row r="2096" spans="3:10" x14ac:dyDescent="0.25">
      <c r="C2096" s="17" t="str">
        <f t="shared" si="33"/>
        <v>28.801011.-14441.7944..CLEAR SCHEDULE.</v>
      </c>
      <c r="E2096">
        <v>28</v>
      </c>
      <c r="F2096">
        <v>801011</v>
      </c>
      <c r="G2096" s="1">
        <v>-144.41</v>
      </c>
      <c r="H2096" t="s">
        <v>2494</v>
      </c>
      <c r="J2096" s="18" t="s">
        <v>4327</v>
      </c>
    </row>
    <row r="2097" spans="3:10" x14ac:dyDescent="0.25">
      <c r="C2097" s="17" t="str">
        <f t="shared" si="33"/>
        <v>28.801011.-111237.7947..CLEAR SCHEDULE.</v>
      </c>
      <c r="E2097">
        <v>28</v>
      </c>
      <c r="F2097">
        <v>801011</v>
      </c>
      <c r="G2097" s="2">
        <v>-1112.3699999999999</v>
      </c>
      <c r="H2097" t="s">
        <v>2495</v>
      </c>
      <c r="J2097" s="18" t="s">
        <v>4327</v>
      </c>
    </row>
    <row r="2098" spans="3:10" x14ac:dyDescent="0.25">
      <c r="C2098" s="17" t="str">
        <f t="shared" si="33"/>
        <v>28.801011.-13389.7953..CLEAR SCHEDULE.</v>
      </c>
      <c r="E2098">
        <v>28</v>
      </c>
      <c r="F2098">
        <v>801011</v>
      </c>
      <c r="G2098" s="1">
        <v>-133.88999999999999</v>
      </c>
      <c r="H2098" t="s">
        <v>2496</v>
      </c>
      <c r="J2098" s="18" t="s">
        <v>4327</v>
      </c>
    </row>
    <row r="2099" spans="3:10" x14ac:dyDescent="0.25">
      <c r="C2099" s="17" t="str">
        <f t="shared" si="33"/>
        <v>28.801011.-14387.7955..CLEAR SCHEDULE.</v>
      </c>
      <c r="E2099">
        <v>28</v>
      </c>
      <c r="F2099">
        <v>801011</v>
      </c>
      <c r="G2099" s="2">
        <v>-143.87</v>
      </c>
      <c r="H2099" t="s">
        <v>2497</v>
      </c>
      <c r="J2099" s="18" t="s">
        <v>4327</v>
      </c>
    </row>
    <row r="2100" spans="3:10" x14ac:dyDescent="0.25">
      <c r="C2100" s="17" t="str">
        <f t="shared" si="33"/>
        <v>28.801011.-20420.7963..CLEAR SCHEDULE.</v>
      </c>
      <c r="E2100">
        <v>28</v>
      </c>
      <c r="F2100">
        <v>801011</v>
      </c>
      <c r="G2100" s="1">
        <v>-204.2</v>
      </c>
      <c r="H2100" t="s">
        <v>2498</v>
      </c>
      <c r="J2100" s="18" t="s">
        <v>4327</v>
      </c>
    </row>
    <row r="2101" spans="3:10" x14ac:dyDescent="0.25">
      <c r="C2101" s="17" t="str">
        <f t="shared" si="33"/>
        <v>28.801011.-9928.7966..CLEAR SCHEDULE.</v>
      </c>
      <c r="E2101">
        <v>28</v>
      </c>
      <c r="F2101">
        <v>801011</v>
      </c>
      <c r="G2101" s="2">
        <v>-99.28</v>
      </c>
      <c r="H2101" t="s">
        <v>2499</v>
      </c>
      <c r="J2101" s="18" t="s">
        <v>4327</v>
      </c>
    </row>
    <row r="2102" spans="3:10" x14ac:dyDescent="0.25">
      <c r="C2102" s="17" t="str">
        <f t="shared" si="33"/>
        <v>28.801011.-23311.7967..CLEAR SCHEDULE.</v>
      </c>
      <c r="E2102">
        <v>28</v>
      </c>
      <c r="F2102">
        <v>801011</v>
      </c>
      <c r="G2102" s="1">
        <v>-233.11</v>
      </c>
      <c r="H2102" t="s">
        <v>2500</v>
      </c>
      <c r="J2102" s="18" t="s">
        <v>4327</v>
      </c>
    </row>
    <row r="2103" spans="3:10" x14ac:dyDescent="0.25">
      <c r="C2103" s="17" t="str">
        <f t="shared" si="33"/>
        <v>28.801011.-8972.7970..CLEAR SCHEDULE.</v>
      </c>
      <c r="E2103">
        <v>28</v>
      </c>
      <c r="F2103">
        <v>801011</v>
      </c>
      <c r="G2103" s="2">
        <v>-89.72</v>
      </c>
      <c r="H2103" t="s">
        <v>2501</v>
      </c>
      <c r="J2103" s="18" t="s">
        <v>4327</v>
      </c>
    </row>
    <row r="2104" spans="3:10" x14ac:dyDescent="0.25">
      <c r="C2104" s="17" t="str">
        <f t="shared" si="33"/>
        <v>28.801011.-14387.7971..CLEAR SCHEDULE.</v>
      </c>
      <c r="E2104">
        <v>28</v>
      </c>
      <c r="F2104">
        <v>801011</v>
      </c>
      <c r="G2104" s="1">
        <v>-143.87</v>
      </c>
      <c r="H2104" t="s">
        <v>2502</v>
      </c>
      <c r="J2104" s="18" t="s">
        <v>4327</v>
      </c>
    </row>
    <row r="2105" spans="3:10" x14ac:dyDescent="0.25">
      <c r="C2105" s="17" t="str">
        <f t="shared" si="33"/>
        <v>28.801011.-5415.7973..CLEAR SCHEDULE.</v>
      </c>
      <c r="E2105">
        <v>28</v>
      </c>
      <c r="F2105">
        <v>801011</v>
      </c>
      <c r="G2105" s="2">
        <v>-54.15</v>
      </c>
      <c r="H2105" t="s">
        <v>2503</v>
      </c>
      <c r="J2105" s="18" t="s">
        <v>4327</v>
      </c>
    </row>
    <row r="2106" spans="3:10" x14ac:dyDescent="0.25">
      <c r="C2106" s="17" t="str">
        <f t="shared" si="33"/>
        <v>28.801011.-61063.7974..CLEAR SCHEDULE.</v>
      </c>
      <c r="E2106">
        <v>28</v>
      </c>
      <c r="F2106">
        <v>801011</v>
      </c>
      <c r="G2106" s="1">
        <v>-610.63</v>
      </c>
      <c r="H2106" t="s">
        <v>2504</v>
      </c>
      <c r="J2106" s="18" t="s">
        <v>4327</v>
      </c>
    </row>
    <row r="2107" spans="3:10" x14ac:dyDescent="0.25">
      <c r="C2107" s="17" t="str">
        <f t="shared" si="33"/>
        <v>28.801011.-5415.7980..CLEAR SCHEDULE.</v>
      </c>
      <c r="E2107">
        <v>28</v>
      </c>
      <c r="F2107">
        <v>801011</v>
      </c>
      <c r="G2107" s="2">
        <v>-54.15</v>
      </c>
      <c r="H2107" t="s">
        <v>2505</v>
      </c>
      <c r="J2107" s="18" t="s">
        <v>4327</v>
      </c>
    </row>
    <row r="2108" spans="3:10" x14ac:dyDescent="0.25">
      <c r="C2108" s="17" t="str">
        <f t="shared" si="33"/>
        <v>28.801011.-71553.7984..CLEAR SCHEDULE.</v>
      </c>
      <c r="E2108">
        <v>28</v>
      </c>
      <c r="F2108">
        <v>801011</v>
      </c>
      <c r="G2108" s="1">
        <v>-715.53</v>
      </c>
      <c r="H2108" t="s">
        <v>2506</v>
      </c>
      <c r="J2108" s="18" t="s">
        <v>4327</v>
      </c>
    </row>
    <row r="2109" spans="3:10" x14ac:dyDescent="0.25">
      <c r="C2109" s="17" t="str">
        <f t="shared" si="33"/>
        <v>28.801011.-21314.7986..CLEAR SCHEDULE.</v>
      </c>
      <c r="E2109">
        <v>28</v>
      </c>
      <c r="F2109">
        <v>801011</v>
      </c>
      <c r="G2109" s="2">
        <v>-213.14</v>
      </c>
      <c r="H2109" t="s">
        <v>2507</v>
      </c>
      <c r="J2109" s="18" t="s">
        <v>4327</v>
      </c>
    </row>
    <row r="2110" spans="3:10" x14ac:dyDescent="0.25">
      <c r="C2110" s="17" t="str">
        <f t="shared" si="33"/>
        <v>28.801011.-74188.7989..CLEAR SCHEDULE.</v>
      </c>
      <c r="E2110">
        <v>28</v>
      </c>
      <c r="F2110">
        <v>801011</v>
      </c>
      <c r="G2110" s="1">
        <v>-741.88</v>
      </c>
      <c r="H2110" t="s">
        <v>2508</v>
      </c>
      <c r="J2110" s="18" t="s">
        <v>4327</v>
      </c>
    </row>
    <row r="2111" spans="3:10" x14ac:dyDescent="0.25">
      <c r="C2111" s="17" t="str">
        <f t="shared" si="33"/>
        <v>28.801011.-52708.7990..CLEAR SCHEDULE.</v>
      </c>
      <c r="E2111">
        <v>28</v>
      </c>
      <c r="F2111">
        <v>801011</v>
      </c>
      <c r="G2111" s="2">
        <v>-527.08000000000004</v>
      </c>
      <c r="H2111" t="s">
        <v>2509</v>
      </c>
      <c r="J2111" s="18" t="s">
        <v>4327</v>
      </c>
    </row>
    <row r="2112" spans="3:10" x14ac:dyDescent="0.25">
      <c r="C2112" s="17" t="str">
        <f t="shared" si="33"/>
        <v>28.801011.-15166.7993..CLEAR SCHEDULE.</v>
      </c>
      <c r="E2112">
        <v>28</v>
      </c>
      <c r="F2112">
        <v>801011</v>
      </c>
      <c r="G2112" s="1">
        <v>-151.66</v>
      </c>
      <c r="H2112" t="s">
        <v>2510</v>
      </c>
      <c r="J2112" s="18" t="s">
        <v>4327</v>
      </c>
    </row>
    <row r="2113" spans="3:10" x14ac:dyDescent="0.25">
      <c r="C2113" s="17" t="str">
        <f t="shared" si="33"/>
        <v>28.801011.-8972.7994..CLEAR SCHEDULE.</v>
      </c>
      <c r="E2113">
        <v>28</v>
      </c>
      <c r="F2113">
        <v>801011</v>
      </c>
      <c r="G2113" s="2">
        <v>-89.72</v>
      </c>
      <c r="H2113" t="s">
        <v>2511</v>
      </c>
      <c r="J2113" s="18" t="s">
        <v>4327</v>
      </c>
    </row>
    <row r="2114" spans="3:10" x14ac:dyDescent="0.25">
      <c r="C2114" s="17" t="str">
        <f t="shared" si="33"/>
        <v>28.801011.-19767.7995..CLEAR SCHEDULE.</v>
      </c>
      <c r="E2114">
        <v>28</v>
      </c>
      <c r="F2114">
        <v>801011</v>
      </c>
      <c r="G2114" s="1">
        <v>-197.67</v>
      </c>
      <c r="H2114" t="s">
        <v>2512</v>
      </c>
      <c r="J2114" s="18" t="s">
        <v>4327</v>
      </c>
    </row>
    <row r="2115" spans="3:10" x14ac:dyDescent="0.25">
      <c r="C2115" s="17" t="str">
        <f t="shared" si="33"/>
        <v>28.801011.-15166.7997..CLEAR SCHEDULE.</v>
      </c>
      <c r="E2115">
        <v>28</v>
      </c>
      <c r="F2115">
        <v>801011</v>
      </c>
      <c r="G2115" s="2">
        <v>-151.66</v>
      </c>
      <c r="H2115" t="s">
        <v>2513</v>
      </c>
      <c r="J2115" s="18" t="s">
        <v>4327</v>
      </c>
    </row>
    <row r="2116" spans="3:10" x14ac:dyDescent="0.25">
      <c r="C2116" s="17" t="str">
        <f t="shared" si="33"/>
        <v>28.801011.-14387.8001..CLEAR SCHEDULE.</v>
      </c>
      <c r="E2116">
        <v>28</v>
      </c>
      <c r="F2116">
        <v>801011</v>
      </c>
      <c r="G2116" s="1">
        <v>-143.87</v>
      </c>
      <c r="H2116" t="s">
        <v>2514</v>
      </c>
      <c r="J2116" s="18" t="s">
        <v>4327</v>
      </c>
    </row>
    <row r="2117" spans="3:10" x14ac:dyDescent="0.25">
      <c r="C2117" s="17" t="str">
        <f t="shared" si="33"/>
        <v>28.801011.-14585.8005..CLEAR SCHEDULE.</v>
      </c>
      <c r="E2117">
        <v>28</v>
      </c>
      <c r="F2117">
        <v>801011</v>
      </c>
      <c r="G2117" s="2">
        <v>-145.85</v>
      </c>
      <c r="H2117" t="s">
        <v>2515</v>
      </c>
      <c r="J2117" s="18" t="s">
        <v>4327</v>
      </c>
    </row>
    <row r="2118" spans="3:10" x14ac:dyDescent="0.25">
      <c r="C2118" s="17" t="str">
        <f t="shared" si="33"/>
        <v>28.801011.-13668.8006..CLEAR SCHEDULE.</v>
      </c>
      <c r="E2118">
        <v>28</v>
      </c>
      <c r="F2118">
        <v>801011</v>
      </c>
      <c r="G2118" s="1">
        <v>-136.68</v>
      </c>
      <c r="H2118" t="s">
        <v>2516</v>
      </c>
      <c r="J2118" s="18" t="s">
        <v>4327</v>
      </c>
    </row>
    <row r="2119" spans="3:10" x14ac:dyDescent="0.25">
      <c r="C2119" s="17" t="str">
        <f t="shared" si="33"/>
        <v>28.801011.-16143.8009..CLEAR SCHEDULE.</v>
      </c>
      <c r="E2119">
        <v>28</v>
      </c>
      <c r="F2119">
        <v>801011</v>
      </c>
      <c r="G2119" s="2">
        <v>-161.43</v>
      </c>
      <c r="H2119" t="s">
        <v>2517</v>
      </c>
      <c r="J2119" s="18" t="s">
        <v>4327</v>
      </c>
    </row>
    <row r="2120" spans="3:10" x14ac:dyDescent="0.25">
      <c r="C2120" s="17" t="str">
        <f t="shared" si="33"/>
        <v>28.801011.-10551.8011..CLEAR SCHEDULE.</v>
      </c>
      <c r="E2120">
        <v>28</v>
      </c>
      <c r="F2120">
        <v>801011</v>
      </c>
      <c r="G2120" s="1">
        <v>-105.51</v>
      </c>
      <c r="H2120" t="s">
        <v>2518</v>
      </c>
      <c r="J2120" s="18" t="s">
        <v>4327</v>
      </c>
    </row>
    <row r="2121" spans="3:10" x14ac:dyDescent="0.25">
      <c r="C2121" s="17" t="str">
        <f t="shared" si="33"/>
        <v>28.801011.-9751.8012..CLEAR SCHEDULE.</v>
      </c>
      <c r="E2121">
        <v>28</v>
      </c>
      <c r="F2121">
        <v>801011</v>
      </c>
      <c r="G2121" s="2">
        <v>-97.51</v>
      </c>
      <c r="H2121" t="s">
        <v>2519</v>
      </c>
      <c r="J2121" s="18" t="s">
        <v>4327</v>
      </c>
    </row>
    <row r="2122" spans="3:10" x14ac:dyDescent="0.25">
      <c r="C2122" s="17" t="str">
        <f t="shared" si="33"/>
        <v>28.801011.-15945.8014..CLEAR SCHEDULE.</v>
      </c>
      <c r="E2122">
        <v>28</v>
      </c>
      <c r="F2122">
        <v>801011</v>
      </c>
      <c r="G2122" s="1">
        <v>-159.44999999999999</v>
      </c>
      <c r="H2122" t="s">
        <v>2520</v>
      </c>
      <c r="J2122" s="18" t="s">
        <v>4327</v>
      </c>
    </row>
    <row r="2123" spans="3:10" x14ac:dyDescent="0.25">
      <c r="C2123" s="17" t="str">
        <f t="shared" ref="C2123:C2186" si="34">IF(G2123=0,"",(E2123&amp;"."&amp;F2123&amp;"."&amp;G2123*100&amp;"."&amp;H2123&amp;"."&amp;I2123&amp;"."&amp;J2123&amp;"."&amp;K2123))</f>
        <v>28.801011.-15945.8016..CLEAR SCHEDULE.</v>
      </c>
      <c r="E2123">
        <v>28</v>
      </c>
      <c r="F2123">
        <v>801011</v>
      </c>
      <c r="G2123" s="2">
        <v>-159.44999999999999</v>
      </c>
      <c r="H2123" t="s">
        <v>2521</v>
      </c>
      <c r="J2123" s="18" t="s">
        <v>4327</v>
      </c>
    </row>
    <row r="2124" spans="3:10" x14ac:dyDescent="0.25">
      <c r="C2124" s="17" t="str">
        <f t="shared" si="34"/>
        <v>28.801011.-14387.8019..CLEAR SCHEDULE.</v>
      </c>
      <c r="E2124">
        <v>28</v>
      </c>
      <c r="F2124">
        <v>801011</v>
      </c>
      <c r="G2124" s="1">
        <v>-143.87</v>
      </c>
      <c r="H2124" t="s">
        <v>2522</v>
      </c>
      <c r="J2124" s="18" t="s">
        <v>4327</v>
      </c>
    </row>
    <row r="2125" spans="3:10" x14ac:dyDescent="0.25">
      <c r="C2125" s="17" t="str">
        <f t="shared" si="34"/>
        <v>28.801011.-40117.8022..CLEAR SCHEDULE.</v>
      </c>
      <c r="E2125">
        <v>28</v>
      </c>
      <c r="F2125">
        <v>801011</v>
      </c>
      <c r="G2125" s="2">
        <v>-401.17</v>
      </c>
      <c r="H2125" t="s">
        <v>2523</v>
      </c>
      <c r="J2125" s="18" t="s">
        <v>4327</v>
      </c>
    </row>
    <row r="2126" spans="3:10" x14ac:dyDescent="0.25">
      <c r="C2126" s="17" t="str">
        <f t="shared" si="34"/>
        <v>28.801011.-28781.8025..CLEAR SCHEDULE.</v>
      </c>
      <c r="E2126">
        <v>28</v>
      </c>
      <c r="F2126">
        <v>801011</v>
      </c>
      <c r="G2126" s="1">
        <v>-287.81</v>
      </c>
      <c r="H2126" t="s">
        <v>2524</v>
      </c>
      <c r="J2126" s="18" t="s">
        <v>4327</v>
      </c>
    </row>
    <row r="2127" spans="3:10" x14ac:dyDescent="0.25">
      <c r="C2127" s="17" t="str">
        <f t="shared" si="34"/>
        <v>28.801011.-307212.8027..CLEAR SCHEDULE.</v>
      </c>
      <c r="E2127">
        <v>28</v>
      </c>
      <c r="F2127">
        <v>801011</v>
      </c>
      <c r="G2127" s="2">
        <v>-3072.12</v>
      </c>
      <c r="H2127" t="s">
        <v>2525</v>
      </c>
      <c r="J2127" s="18" t="s">
        <v>4327</v>
      </c>
    </row>
    <row r="2128" spans="3:10" x14ac:dyDescent="0.25">
      <c r="C2128" s="17" t="str">
        <f t="shared" si="34"/>
        <v>28.801011.-52520.8029..CLEAR SCHEDULE.</v>
      </c>
      <c r="E2128">
        <v>28</v>
      </c>
      <c r="F2128">
        <v>801011</v>
      </c>
      <c r="G2128" s="1">
        <v>-525.20000000000005</v>
      </c>
      <c r="H2128" t="s">
        <v>2526</v>
      </c>
      <c r="J2128" s="18" t="s">
        <v>4327</v>
      </c>
    </row>
    <row r="2129" spans="3:10" x14ac:dyDescent="0.25">
      <c r="C2129" s="17" t="str">
        <f t="shared" si="34"/>
        <v>28.801011.-8972.8031..CLEAR SCHEDULE.</v>
      </c>
      <c r="E2129">
        <v>28</v>
      </c>
      <c r="F2129">
        <v>801011</v>
      </c>
      <c r="G2129" s="2">
        <v>-89.72</v>
      </c>
      <c r="H2129" t="s">
        <v>2527</v>
      </c>
      <c r="J2129" s="18" t="s">
        <v>4327</v>
      </c>
    </row>
    <row r="2130" spans="3:10" x14ac:dyDescent="0.25">
      <c r="C2130" s="17" t="str">
        <f t="shared" si="34"/>
        <v>28.801011.-55888.8033..CLEAR SCHEDULE.</v>
      </c>
      <c r="E2130">
        <v>28</v>
      </c>
      <c r="F2130">
        <v>801011</v>
      </c>
      <c r="G2130" s="1">
        <v>-558.88</v>
      </c>
      <c r="H2130" t="s">
        <v>2528</v>
      </c>
      <c r="J2130" s="18" t="s">
        <v>4327</v>
      </c>
    </row>
    <row r="2131" spans="3:10" x14ac:dyDescent="0.25">
      <c r="C2131" s="17" t="str">
        <f t="shared" si="34"/>
        <v>28.801011.-119235.8037..CLEAR SCHEDULE.</v>
      </c>
      <c r="E2131">
        <v>28</v>
      </c>
      <c r="F2131">
        <v>801011</v>
      </c>
      <c r="G2131" s="2">
        <v>-1192.3499999999999</v>
      </c>
      <c r="H2131" t="s">
        <v>2529</v>
      </c>
      <c r="J2131" s="18" t="s">
        <v>4327</v>
      </c>
    </row>
    <row r="2132" spans="3:10" x14ac:dyDescent="0.25">
      <c r="C2132" s="17" t="str">
        <f t="shared" si="34"/>
        <v>28.801011.-4912.8038..CLEAR SCHEDULE.</v>
      </c>
      <c r="E2132">
        <v>28</v>
      </c>
      <c r="F2132">
        <v>801011</v>
      </c>
      <c r="G2132" s="1">
        <v>-49.12</v>
      </c>
      <c r="H2132" t="s">
        <v>2530</v>
      </c>
      <c r="J2132" s="18" t="s">
        <v>4327</v>
      </c>
    </row>
    <row r="2133" spans="3:10" x14ac:dyDescent="0.25">
      <c r="C2133" s="17" t="str">
        <f t="shared" si="34"/>
        <v>28.801011.-14387.8041..CLEAR SCHEDULE.</v>
      </c>
      <c r="E2133">
        <v>28</v>
      </c>
      <c r="F2133">
        <v>801011</v>
      </c>
      <c r="G2133" s="2">
        <v>-143.87</v>
      </c>
      <c r="H2133" t="s">
        <v>2531</v>
      </c>
      <c r="J2133" s="18" t="s">
        <v>4327</v>
      </c>
    </row>
    <row r="2134" spans="3:10" x14ac:dyDescent="0.25">
      <c r="C2134" s="17" t="str">
        <f t="shared" si="34"/>
        <v>28.801011.-14806.8042..CLEAR SCHEDULE.</v>
      </c>
      <c r="E2134">
        <v>28</v>
      </c>
      <c r="F2134">
        <v>801011</v>
      </c>
      <c r="G2134" s="1">
        <v>-148.06</v>
      </c>
      <c r="H2134" t="s">
        <v>2532</v>
      </c>
      <c r="J2134" s="18" t="s">
        <v>4327</v>
      </c>
    </row>
    <row r="2135" spans="3:10" x14ac:dyDescent="0.25">
      <c r="C2135" s="17" t="str">
        <f t="shared" si="34"/>
        <v>28.801011.-61063.8046..CLEAR SCHEDULE.</v>
      </c>
      <c r="E2135">
        <v>28</v>
      </c>
      <c r="F2135">
        <v>801011</v>
      </c>
      <c r="G2135" s="2">
        <v>-610.63</v>
      </c>
      <c r="H2135" t="s">
        <v>2533</v>
      </c>
      <c r="J2135" s="18" t="s">
        <v>4327</v>
      </c>
    </row>
    <row r="2136" spans="3:10" x14ac:dyDescent="0.25">
      <c r="C2136" s="17" t="str">
        <f t="shared" si="34"/>
        <v>28.801011.-35000.8047..CLEAR SCHEDULE.</v>
      </c>
      <c r="E2136">
        <v>28</v>
      </c>
      <c r="F2136">
        <v>801011</v>
      </c>
      <c r="G2136" s="1">
        <v>-350</v>
      </c>
      <c r="H2136" t="s">
        <v>2534</v>
      </c>
      <c r="J2136" s="18" t="s">
        <v>4327</v>
      </c>
    </row>
    <row r="2137" spans="3:10" x14ac:dyDescent="0.25">
      <c r="C2137" s="17" t="str">
        <f t="shared" si="34"/>
        <v>28.801011.-100076.8051..CLEAR SCHEDULE.</v>
      </c>
      <c r="E2137">
        <v>28</v>
      </c>
      <c r="F2137">
        <v>801011</v>
      </c>
      <c r="G2137" s="2">
        <v>-1000.76</v>
      </c>
      <c r="H2137" t="s">
        <v>2535</v>
      </c>
      <c r="J2137" s="18" t="s">
        <v>4327</v>
      </c>
    </row>
    <row r="2138" spans="3:10" x14ac:dyDescent="0.25">
      <c r="C2138" s="17" t="str">
        <f t="shared" si="34"/>
        <v>28.801011.-8972.8058..CLEAR SCHEDULE.</v>
      </c>
      <c r="E2138">
        <v>28</v>
      </c>
      <c r="F2138">
        <v>801011</v>
      </c>
      <c r="G2138" s="1">
        <v>-89.72</v>
      </c>
      <c r="H2138" t="s">
        <v>2536</v>
      </c>
      <c r="J2138" s="18" t="s">
        <v>4327</v>
      </c>
    </row>
    <row r="2139" spans="3:10" x14ac:dyDescent="0.25">
      <c r="C2139" s="17" t="str">
        <f t="shared" si="34"/>
        <v>28.801011.-6769.8059..CLEAR SCHEDULE.</v>
      </c>
      <c r="E2139">
        <v>28</v>
      </c>
      <c r="F2139">
        <v>801011</v>
      </c>
      <c r="G2139" s="2">
        <v>-67.69</v>
      </c>
      <c r="H2139" t="s">
        <v>2537</v>
      </c>
      <c r="J2139" s="18" t="s">
        <v>4327</v>
      </c>
    </row>
    <row r="2140" spans="3:10" x14ac:dyDescent="0.25">
      <c r="C2140" s="17" t="str">
        <f t="shared" si="34"/>
        <v>28.801011.-14387.8060..CLEAR SCHEDULE.</v>
      </c>
      <c r="E2140">
        <v>28</v>
      </c>
      <c r="F2140">
        <v>801011</v>
      </c>
      <c r="G2140" s="1">
        <v>-143.87</v>
      </c>
      <c r="H2140" t="s">
        <v>2538</v>
      </c>
      <c r="J2140" s="18" t="s">
        <v>4327</v>
      </c>
    </row>
    <row r="2141" spans="3:10" x14ac:dyDescent="0.25">
      <c r="C2141" s="17" t="str">
        <f t="shared" si="34"/>
        <v>28.801011.-65996.8061..CLEAR SCHEDULE.</v>
      </c>
      <c r="E2141">
        <v>28</v>
      </c>
      <c r="F2141">
        <v>801011</v>
      </c>
      <c r="G2141" s="2">
        <v>-659.96</v>
      </c>
      <c r="H2141" t="s">
        <v>2539</v>
      </c>
      <c r="J2141" s="18" t="s">
        <v>4327</v>
      </c>
    </row>
    <row r="2142" spans="3:10" x14ac:dyDescent="0.25">
      <c r="C2142" s="17" t="str">
        <f t="shared" si="34"/>
        <v>28.801011.-16724.8063..CLEAR SCHEDULE.</v>
      </c>
      <c r="E2142">
        <v>28</v>
      </c>
      <c r="F2142">
        <v>801011</v>
      </c>
      <c r="G2142" s="1">
        <v>-167.24</v>
      </c>
      <c r="H2142" t="s">
        <v>2540</v>
      </c>
      <c r="J2142" s="18" t="s">
        <v>4327</v>
      </c>
    </row>
    <row r="2143" spans="3:10" x14ac:dyDescent="0.25">
      <c r="C2143" s="17" t="str">
        <f t="shared" si="34"/>
        <v>28.801011.-20618.8065..CLEAR SCHEDULE.</v>
      </c>
      <c r="E2143">
        <v>28</v>
      </c>
      <c r="F2143">
        <v>801011</v>
      </c>
      <c r="G2143" s="2">
        <v>-206.18</v>
      </c>
      <c r="H2143" t="s">
        <v>2541</v>
      </c>
      <c r="J2143" s="18" t="s">
        <v>4327</v>
      </c>
    </row>
    <row r="2144" spans="3:10" x14ac:dyDescent="0.25">
      <c r="C2144" s="17" t="str">
        <f t="shared" si="34"/>
        <v>28.801011.-28105.8067..CLEAR SCHEDULE.</v>
      </c>
      <c r="E2144">
        <v>28</v>
      </c>
      <c r="F2144">
        <v>801011</v>
      </c>
      <c r="G2144" s="1">
        <v>-281.05</v>
      </c>
      <c r="H2144" t="s">
        <v>2542</v>
      </c>
      <c r="J2144" s="18" t="s">
        <v>4327</v>
      </c>
    </row>
    <row r="2145" spans="3:10" x14ac:dyDescent="0.25">
      <c r="C2145" s="17" t="str">
        <f t="shared" si="34"/>
        <v>28.801011.-52091.8068..CLEAR SCHEDULE.</v>
      </c>
      <c r="E2145">
        <v>28</v>
      </c>
      <c r="F2145">
        <v>801011</v>
      </c>
      <c r="G2145" s="2">
        <v>-520.91</v>
      </c>
      <c r="H2145" t="s">
        <v>2543</v>
      </c>
      <c r="J2145" s="18" t="s">
        <v>4327</v>
      </c>
    </row>
    <row r="2146" spans="3:10" x14ac:dyDescent="0.25">
      <c r="C2146" s="17" t="str">
        <f t="shared" si="34"/>
        <v>28.801011.-13280.8070..CLEAR SCHEDULE.</v>
      </c>
      <c r="E2146">
        <v>28</v>
      </c>
      <c r="F2146">
        <v>801011</v>
      </c>
      <c r="G2146" s="1">
        <v>-132.80000000000001</v>
      </c>
      <c r="H2146" t="s">
        <v>2544</v>
      </c>
      <c r="J2146" s="18" t="s">
        <v>4327</v>
      </c>
    </row>
    <row r="2147" spans="3:10" x14ac:dyDescent="0.25">
      <c r="C2147" s="17" t="str">
        <f t="shared" si="34"/>
        <v>28.801011.-8972.8073..CLEAR SCHEDULE.</v>
      </c>
      <c r="E2147">
        <v>28</v>
      </c>
      <c r="F2147">
        <v>801011</v>
      </c>
      <c r="G2147" s="2">
        <v>-89.72</v>
      </c>
      <c r="H2147" t="s">
        <v>2545</v>
      </c>
      <c r="J2147" s="18" t="s">
        <v>4327</v>
      </c>
    </row>
    <row r="2148" spans="3:10" x14ac:dyDescent="0.25">
      <c r="C2148" s="17" t="str">
        <f t="shared" si="34"/>
        <v>28.801011.-10534.8074..CLEAR SCHEDULE.</v>
      </c>
      <c r="E2148">
        <v>28</v>
      </c>
      <c r="F2148">
        <v>801011</v>
      </c>
      <c r="G2148" s="1">
        <v>-105.34</v>
      </c>
      <c r="H2148" t="s">
        <v>2546</v>
      </c>
      <c r="J2148" s="18" t="s">
        <v>4327</v>
      </c>
    </row>
    <row r="2149" spans="3:10" x14ac:dyDescent="0.25">
      <c r="C2149" s="17" t="str">
        <f t="shared" si="34"/>
        <v>28.801011.-138498.8076..CLEAR SCHEDULE.</v>
      </c>
      <c r="E2149">
        <v>28</v>
      </c>
      <c r="F2149">
        <v>801011</v>
      </c>
      <c r="G2149" s="2">
        <v>-1384.98</v>
      </c>
      <c r="H2149" t="s">
        <v>2547</v>
      </c>
      <c r="J2149" s="18" t="s">
        <v>4327</v>
      </c>
    </row>
    <row r="2150" spans="3:10" x14ac:dyDescent="0.25">
      <c r="C2150" s="17" t="str">
        <f t="shared" si="34"/>
        <v>28.801011.-106199.8079..CLEAR SCHEDULE.</v>
      </c>
      <c r="E2150">
        <v>28</v>
      </c>
      <c r="F2150">
        <v>801011</v>
      </c>
      <c r="G2150" s="1">
        <v>-1061.99</v>
      </c>
      <c r="H2150" t="s">
        <v>2548</v>
      </c>
      <c r="J2150" s="18" t="s">
        <v>4327</v>
      </c>
    </row>
    <row r="2151" spans="3:10" x14ac:dyDescent="0.25">
      <c r="C2151" s="17" t="str">
        <f t="shared" si="34"/>
        <v>28.801011.-62069.8080..CLEAR SCHEDULE.</v>
      </c>
      <c r="E2151">
        <v>28</v>
      </c>
      <c r="F2151">
        <v>801011</v>
      </c>
      <c r="G2151" s="2">
        <v>-620.69000000000005</v>
      </c>
      <c r="H2151" t="s">
        <v>2549</v>
      </c>
      <c r="J2151" s="18" t="s">
        <v>4327</v>
      </c>
    </row>
    <row r="2152" spans="3:10" x14ac:dyDescent="0.25">
      <c r="C2152" s="17" t="str">
        <f t="shared" si="34"/>
        <v>28.801011.-62622.8082..CLEAR SCHEDULE.</v>
      </c>
      <c r="E2152">
        <v>28</v>
      </c>
      <c r="F2152">
        <v>801011</v>
      </c>
      <c r="G2152" s="1">
        <v>-626.22</v>
      </c>
      <c r="H2152" t="s">
        <v>2550</v>
      </c>
      <c r="J2152" s="18" t="s">
        <v>4327</v>
      </c>
    </row>
    <row r="2153" spans="3:10" x14ac:dyDescent="0.25">
      <c r="C2153" s="17" t="str">
        <f t="shared" si="34"/>
        <v>28.801011.-12089.8083..CLEAR SCHEDULE.</v>
      </c>
      <c r="E2153">
        <v>28</v>
      </c>
      <c r="F2153">
        <v>801011</v>
      </c>
      <c r="G2153" s="2">
        <v>-120.89</v>
      </c>
      <c r="H2153" t="s">
        <v>2551</v>
      </c>
      <c r="J2153" s="18" t="s">
        <v>4327</v>
      </c>
    </row>
    <row r="2154" spans="3:10" x14ac:dyDescent="0.25">
      <c r="C2154" s="17" t="str">
        <f t="shared" si="34"/>
        <v>28.801011.-14387.8084..CLEAR SCHEDULE.</v>
      </c>
      <c r="E2154">
        <v>28</v>
      </c>
      <c r="F2154">
        <v>801011</v>
      </c>
      <c r="G2154" s="1">
        <v>-143.87</v>
      </c>
      <c r="H2154" t="s">
        <v>2552</v>
      </c>
      <c r="J2154" s="18" t="s">
        <v>4327</v>
      </c>
    </row>
    <row r="2155" spans="3:10" x14ac:dyDescent="0.25">
      <c r="C2155" s="17" t="str">
        <f t="shared" si="34"/>
        <v>28.801011.-51688.8085..CLEAR SCHEDULE.</v>
      </c>
      <c r="E2155">
        <v>28</v>
      </c>
      <c r="F2155">
        <v>801011</v>
      </c>
      <c r="G2155" s="2">
        <v>-516.88</v>
      </c>
      <c r="H2155" t="s">
        <v>2553</v>
      </c>
      <c r="J2155" s="18" t="s">
        <v>4327</v>
      </c>
    </row>
    <row r="2156" spans="3:10" x14ac:dyDescent="0.25">
      <c r="C2156" s="17" t="str">
        <f t="shared" si="34"/>
        <v>28.801011.-190452.8086..CLEAR SCHEDULE.</v>
      </c>
      <c r="E2156">
        <v>28</v>
      </c>
      <c r="F2156">
        <v>801011</v>
      </c>
      <c r="G2156" s="1">
        <v>-1904.52</v>
      </c>
      <c r="H2156" t="s">
        <v>2554</v>
      </c>
      <c r="J2156" s="18" t="s">
        <v>4327</v>
      </c>
    </row>
    <row r="2157" spans="3:10" x14ac:dyDescent="0.25">
      <c r="C2157" s="17" t="str">
        <f t="shared" si="34"/>
        <v>28.801011.-44809.8087..CLEAR SCHEDULE.</v>
      </c>
      <c r="E2157">
        <v>28</v>
      </c>
      <c r="F2157">
        <v>801011</v>
      </c>
      <c r="G2157" s="2">
        <v>-448.09</v>
      </c>
      <c r="H2157" t="s">
        <v>2555</v>
      </c>
      <c r="J2157" s="18" t="s">
        <v>4327</v>
      </c>
    </row>
    <row r="2158" spans="3:10" x14ac:dyDescent="0.25">
      <c r="C2158" s="17" t="str">
        <f t="shared" si="34"/>
        <v>28.801011.-92303.8088..CLEAR SCHEDULE.</v>
      </c>
      <c r="E2158">
        <v>28</v>
      </c>
      <c r="F2158">
        <v>801011</v>
      </c>
      <c r="G2158" s="1">
        <v>-923.03</v>
      </c>
      <c r="H2158" t="s">
        <v>2556</v>
      </c>
      <c r="J2158" s="18" t="s">
        <v>4327</v>
      </c>
    </row>
    <row r="2159" spans="3:10" x14ac:dyDescent="0.25">
      <c r="C2159" s="17" t="str">
        <f t="shared" si="34"/>
        <v>28.801011.-53487.8089..CLEAR SCHEDULE.</v>
      </c>
      <c r="E2159">
        <v>28</v>
      </c>
      <c r="F2159">
        <v>801011</v>
      </c>
      <c r="G2159" s="2">
        <v>-534.87</v>
      </c>
      <c r="H2159" t="s">
        <v>2557</v>
      </c>
      <c r="J2159" s="18" t="s">
        <v>4327</v>
      </c>
    </row>
    <row r="2160" spans="3:10" x14ac:dyDescent="0.25">
      <c r="C2160" s="17" t="str">
        <f t="shared" si="34"/>
        <v>28.801011.-10279.8090..CLEAR SCHEDULE.</v>
      </c>
      <c r="E2160">
        <v>28</v>
      </c>
      <c r="F2160">
        <v>801011</v>
      </c>
      <c r="G2160" s="1">
        <v>-102.79</v>
      </c>
      <c r="H2160" t="s">
        <v>2558</v>
      </c>
      <c r="J2160" s="18" t="s">
        <v>4327</v>
      </c>
    </row>
    <row r="2161" spans="3:10" x14ac:dyDescent="0.25">
      <c r="C2161" s="17" t="str">
        <f t="shared" si="34"/>
        <v>28.801011.-14387.8096..CLEAR SCHEDULE.</v>
      </c>
      <c r="E2161">
        <v>28</v>
      </c>
      <c r="F2161">
        <v>801011</v>
      </c>
      <c r="G2161" s="2">
        <v>-143.87</v>
      </c>
      <c r="H2161" t="s">
        <v>2559</v>
      </c>
      <c r="J2161" s="18" t="s">
        <v>4327</v>
      </c>
    </row>
    <row r="2162" spans="3:10" x14ac:dyDescent="0.25">
      <c r="C2162" s="17" t="str">
        <f t="shared" si="34"/>
        <v>28.801011.-640186.8098..CLEAR SCHEDULE.</v>
      </c>
      <c r="E2162">
        <v>28</v>
      </c>
      <c r="F2162">
        <v>801011</v>
      </c>
      <c r="G2162" s="1">
        <v>-6401.86</v>
      </c>
      <c r="H2162" t="s">
        <v>2560</v>
      </c>
      <c r="J2162" s="18" t="s">
        <v>4327</v>
      </c>
    </row>
    <row r="2163" spans="3:10" x14ac:dyDescent="0.25">
      <c r="C2163" s="17" t="str">
        <f t="shared" si="34"/>
        <v>28.801011.-25157.8102..CLEAR SCHEDULE.</v>
      </c>
      <c r="E2163">
        <v>28</v>
      </c>
      <c r="F2163">
        <v>801011</v>
      </c>
      <c r="G2163" s="2">
        <v>-251.57</v>
      </c>
      <c r="H2163" t="s">
        <v>2561</v>
      </c>
      <c r="J2163" s="18" t="s">
        <v>4327</v>
      </c>
    </row>
    <row r="2164" spans="3:10" x14ac:dyDescent="0.25">
      <c r="C2164" s="17" t="str">
        <f t="shared" si="34"/>
        <v>28.801011.-90865.8107..CLEAR SCHEDULE.</v>
      </c>
      <c r="E2164">
        <v>28</v>
      </c>
      <c r="F2164">
        <v>801011</v>
      </c>
      <c r="G2164" s="1">
        <v>-908.65</v>
      </c>
      <c r="H2164" t="s">
        <v>2562</v>
      </c>
      <c r="J2164" s="18" t="s">
        <v>4327</v>
      </c>
    </row>
    <row r="2165" spans="3:10" x14ac:dyDescent="0.25">
      <c r="C2165" s="17" t="str">
        <f t="shared" si="34"/>
        <v>28.801011.-8972.8108..CLEAR SCHEDULE.</v>
      </c>
      <c r="E2165">
        <v>28</v>
      </c>
      <c r="F2165">
        <v>801011</v>
      </c>
      <c r="G2165" s="2">
        <v>-89.72</v>
      </c>
      <c r="H2165" t="s">
        <v>2563</v>
      </c>
      <c r="J2165" s="18" t="s">
        <v>4327</v>
      </c>
    </row>
    <row r="2166" spans="3:10" x14ac:dyDescent="0.25">
      <c r="C2166" s="17" t="str">
        <f t="shared" si="34"/>
        <v>28.801011.-15945.8109..CLEAR SCHEDULE.</v>
      </c>
      <c r="E2166">
        <v>28</v>
      </c>
      <c r="F2166">
        <v>801011</v>
      </c>
      <c r="G2166" s="1">
        <v>-159.44999999999999</v>
      </c>
      <c r="H2166" t="s">
        <v>2564</v>
      </c>
      <c r="J2166" s="18" t="s">
        <v>4327</v>
      </c>
    </row>
    <row r="2167" spans="3:10" x14ac:dyDescent="0.25">
      <c r="C2167" s="17" t="str">
        <f t="shared" si="34"/>
        <v>28.801011.-14387.8110..CLEAR SCHEDULE.</v>
      </c>
      <c r="E2167">
        <v>28</v>
      </c>
      <c r="F2167">
        <v>801011</v>
      </c>
      <c r="G2167" s="2">
        <v>-143.87</v>
      </c>
      <c r="H2167" t="s">
        <v>2565</v>
      </c>
      <c r="J2167" s="18" t="s">
        <v>4327</v>
      </c>
    </row>
    <row r="2168" spans="3:10" x14ac:dyDescent="0.25">
      <c r="C2168" s="17" t="str">
        <f t="shared" si="34"/>
        <v>28.801011.-19742.8111..CLEAR SCHEDULE.</v>
      </c>
      <c r="E2168">
        <v>28</v>
      </c>
      <c r="F2168">
        <v>801011</v>
      </c>
      <c r="G2168" s="1">
        <v>-197.42</v>
      </c>
      <c r="H2168" t="s">
        <v>2566</v>
      </c>
      <c r="J2168" s="18" t="s">
        <v>4327</v>
      </c>
    </row>
    <row r="2169" spans="3:10" x14ac:dyDescent="0.25">
      <c r="C2169" s="17" t="str">
        <f t="shared" si="34"/>
        <v>28.801011.-23592.8114..CLEAR SCHEDULE.</v>
      </c>
      <c r="E2169">
        <v>28</v>
      </c>
      <c r="F2169">
        <v>801011</v>
      </c>
      <c r="G2169" s="2">
        <v>-235.92</v>
      </c>
      <c r="H2169" t="s">
        <v>2567</v>
      </c>
      <c r="J2169" s="18" t="s">
        <v>4327</v>
      </c>
    </row>
    <row r="2170" spans="3:10" x14ac:dyDescent="0.25">
      <c r="C2170" s="17" t="str">
        <f t="shared" si="34"/>
        <v>28.801011.-14387.8121..CLEAR SCHEDULE.</v>
      </c>
      <c r="E2170">
        <v>28</v>
      </c>
      <c r="F2170">
        <v>801011</v>
      </c>
      <c r="G2170" s="1">
        <v>-143.87</v>
      </c>
      <c r="H2170" t="s">
        <v>2568</v>
      </c>
      <c r="J2170" s="18" t="s">
        <v>4327</v>
      </c>
    </row>
    <row r="2171" spans="3:10" x14ac:dyDescent="0.25">
      <c r="C2171" s="17" t="str">
        <f t="shared" si="34"/>
        <v>28.801011.-16729.8122..CLEAR SCHEDULE.</v>
      </c>
      <c r="E2171">
        <v>28</v>
      </c>
      <c r="F2171">
        <v>801011</v>
      </c>
      <c r="G2171" s="2">
        <v>-167.29</v>
      </c>
      <c r="H2171" t="s">
        <v>2569</v>
      </c>
      <c r="J2171" s="18" t="s">
        <v>4327</v>
      </c>
    </row>
    <row r="2172" spans="3:10" x14ac:dyDescent="0.25">
      <c r="C2172" s="17" t="str">
        <f t="shared" si="34"/>
        <v>28.801011.-81018.8123..CLEAR SCHEDULE.</v>
      </c>
      <c r="E2172">
        <v>28</v>
      </c>
      <c r="F2172">
        <v>801011</v>
      </c>
      <c r="G2172" s="1">
        <v>-810.18</v>
      </c>
      <c r="H2172" t="s">
        <v>2570</v>
      </c>
      <c r="J2172" s="18" t="s">
        <v>4327</v>
      </c>
    </row>
    <row r="2173" spans="3:10" x14ac:dyDescent="0.25">
      <c r="C2173" s="17" t="str">
        <f t="shared" si="34"/>
        <v>28.801011.-57680.8125..CLEAR SCHEDULE.</v>
      </c>
      <c r="E2173">
        <v>28</v>
      </c>
      <c r="F2173">
        <v>801011</v>
      </c>
      <c r="G2173" s="2">
        <v>-576.79999999999995</v>
      </c>
      <c r="H2173" t="s">
        <v>2571</v>
      </c>
      <c r="J2173" s="18" t="s">
        <v>4327</v>
      </c>
    </row>
    <row r="2174" spans="3:10" x14ac:dyDescent="0.25">
      <c r="C2174" s="17" t="str">
        <f t="shared" si="34"/>
        <v>28.801011.-14387.8126..CLEAR SCHEDULE.</v>
      </c>
      <c r="E2174">
        <v>28</v>
      </c>
      <c r="F2174">
        <v>801011</v>
      </c>
      <c r="G2174" s="1">
        <v>-143.87</v>
      </c>
      <c r="H2174" t="s">
        <v>2572</v>
      </c>
      <c r="J2174" s="18" t="s">
        <v>4327</v>
      </c>
    </row>
    <row r="2175" spans="3:10" x14ac:dyDescent="0.25">
      <c r="C2175" s="17" t="str">
        <f t="shared" si="34"/>
        <v>28.801011.-15166.8127..CLEAR SCHEDULE.</v>
      </c>
      <c r="E2175">
        <v>28</v>
      </c>
      <c r="F2175">
        <v>801011</v>
      </c>
      <c r="G2175" s="2">
        <v>-151.66</v>
      </c>
      <c r="H2175" t="s">
        <v>2573</v>
      </c>
      <c r="J2175" s="18" t="s">
        <v>4327</v>
      </c>
    </row>
    <row r="2176" spans="3:10" x14ac:dyDescent="0.25">
      <c r="C2176" s="17" t="str">
        <f t="shared" si="34"/>
        <v>28.801011.-32324.8128..CLEAR SCHEDULE.</v>
      </c>
      <c r="E2176">
        <v>28</v>
      </c>
      <c r="F2176">
        <v>801011</v>
      </c>
      <c r="G2176" s="1">
        <v>-323.24</v>
      </c>
      <c r="H2176" t="s">
        <v>2574</v>
      </c>
      <c r="J2176" s="18" t="s">
        <v>4327</v>
      </c>
    </row>
    <row r="2177" spans="3:10" x14ac:dyDescent="0.25">
      <c r="C2177" s="17" t="str">
        <f t="shared" si="34"/>
        <v>28.801011.-24755.8132..CLEAR SCHEDULE.</v>
      </c>
      <c r="E2177">
        <v>28</v>
      </c>
      <c r="F2177">
        <v>801011</v>
      </c>
      <c r="G2177" s="2">
        <v>-247.55</v>
      </c>
      <c r="H2177" t="s">
        <v>2575</v>
      </c>
      <c r="J2177" s="18" t="s">
        <v>4327</v>
      </c>
    </row>
    <row r="2178" spans="3:10" x14ac:dyDescent="0.25">
      <c r="C2178" s="17" t="str">
        <f t="shared" si="34"/>
        <v>28.801011.-14387.8135..CLEAR SCHEDULE.</v>
      </c>
      <c r="E2178">
        <v>28</v>
      </c>
      <c r="F2178">
        <v>801011</v>
      </c>
      <c r="G2178" s="1">
        <v>-143.87</v>
      </c>
      <c r="H2178" t="s">
        <v>2576</v>
      </c>
      <c r="J2178" s="18" t="s">
        <v>4327</v>
      </c>
    </row>
    <row r="2179" spans="3:10" x14ac:dyDescent="0.25">
      <c r="C2179" s="17" t="str">
        <f t="shared" si="34"/>
        <v>28.801011.-54643.8138..CLEAR SCHEDULE.</v>
      </c>
      <c r="E2179">
        <v>28</v>
      </c>
      <c r="F2179">
        <v>801011</v>
      </c>
      <c r="G2179" s="2">
        <v>-546.42999999999995</v>
      </c>
      <c r="H2179" t="s">
        <v>2577</v>
      </c>
      <c r="J2179" s="18" t="s">
        <v>4327</v>
      </c>
    </row>
    <row r="2180" spans="3:10" x14ac:dyDescent="0.25">
      <c r="C2180" s="17" t="str">
        <f t="shared" si="34"/>
        <v>28.801011.-9751.8140..CLEAR SCHEDULE.</v>
      </c>
      <c r="E2180">
        <v>28</v>
      </c>
      <c r="F2180">
        <v>801011</v>
      </c>
      <c r="G2180" s="1">
        <v>-97.51</v>
      </c>
      <c r="H2180" t="s">
        <v>2578</v>
      </c>
      <c r="J2180" s="18" t="s">
        <v>4327</v>
      </c>
    </row>
    <row r="2181" spans="3:10" x14ac:dyDescent="0.25">
      <c r="C2181" s="17" t="str">
        <f t="shared" si="34"/>
        <v>28.801011.-128731.8141..CLEAR SCHEDULE.</v>
      </c>
      <c r="E2181">
        <v>28</v>
      </c>
      <c r="F2181">
        <v>801011</v>
      </c>
      <c r="G2181" s="2">
        <v>-1287.31</v>
      </c>
      <c r="H2181" t="s">
        <v>2579</v>
      </c>
      <c r="J2181" s="18" t="s">
        <v>4327</v>
      </c>
    </row>
    <row r="2182" spans="3:10" x14ac:dyDescent="0.25">
      <c r="C2182" s="17" t="str">
        <f t="shared" si="34"/>
        <v>28.801011.-14387.8142..CLEAR SCHEDULE.</v>
      </c>
      <c r="E2182">
        <v>28</v>
      </c>
      <c r="F2182">
        <v>801011</v>
      </c>
      <c r="G2182" s="1">
        <v>-143.87</v>
      </c>
      <c r="H2182" t="s">
        <v>2580</v>
      </c>
      <c r="J2182" s="18" t="s">
        <v>4327</v>
      </c>
    </row>
    <row r="2183" spans="3:10" x14ac:dyDescent="0.25">
      <c r="C2183" s="17" t="str">
        <f t="shared" si="34"/>
        <v>28.801011.-69816.8143..CLEAR SCHEDULE.</v>
      </c>
      <c r="E2183">
        <v>28</v>
      </c>
      <c r="F2183">
        <v>801011</v>
      </c>
      <c r="G2183" s="2">
        <v>-698.16</v>
      </c>
      <c r="H2183" t="s">
        <v>2581</v>
      </c>
      <c r="J2183" s="18" t="s">
        <v>4327</v>
      </c>
    </row>
    <row r="2184" spans="3:10" x14ac:dyDescent="0.25">
      <c r="C2184" s="17" t="str">
        <f t="shared" si="34"/>
        <v>28.801011.-14133.8144..CLEAR SCHEDULE.</v>
      </c>
      <c r="E2184">
        <v>28</v>
      </c>
      <c r="F2184">
        <v>801011</v>
      </c>
      <c r="G2184" s="1">
        <v>-141.33000000000001</v>
      </c>
      <c r="H2184" t="s">
        <v>2582</v>
      </c>
      <c r="J2184" s="18" t="s">
        <v>4327</v>
      </c>
    </row>
    <row r="2185" spans="3:10" x14ac:dyDescent="0.25">
      <c r="C2185" s="17" t="str">
        <f t="shared" si="34"/>
        <v>28.801011.-92105.8145..CLEAR SCHEDULE.</v>
      </c>
      <c r="E2185">
        <v>28</v>
      </c>
      <c r="F2185">
        <v>801011</v>
      </c>
      <c r="G2185" s="2">
        <v>-921.05</v>
      </c>
      <c r="H2185" t="s">
        <v>2583</v>
      </c>
      <c r="J2185" s="18" t="s">
        <v>4327</v>
      </c>
    </row>
    <row r="2186" spans="3:10" x14ac:dyDescent="0.25">
      <c r="C2186" s="17" t="str">
        <f t="shared" si="34"/>
        <v>28.801011.-36466.8147..CLEAR SCHEDULE.</v>
      </c>
      <c r="E2186">
        <v>28</v>
      </c>
      <c r="F2186">
        <v>801011</v>
      </c>
      <c r="G2186" s="1">
        <v>-364.66</v>
      </c>
      <c r="H2186" t="s">
        <v>2584</v>
      </c>
      <c r="J2186" s="18" t="s">
        <v>4327</v>
      </c>
    </row>
    <row r="2187" spans="3:10" x14ac:dyDescent="0.25">
      <c r="C2187" s="17" t="str">
        <f t="shared" ref="C2187:C2250" si="35">IF(G2187=0,"",(E2187&amp;"."&amp;F2187&amp;"."&amp;G2187*100&amp;"."&amp;H2187&amp;"."&amp;I2187&amp;"."&amp;J2187&amp;"."&amp;K2187))</f>
        <v>28.801011.-61063.8150..CLEAR SCHEDULE.</v>
      </c>
      <c r="E2187">
        <v>28</v>
      </c>
      <c r="F2187">
        <v>801011</v>
      </c>
      <c r="G2187" s="2">
        <v>-610.63</v>
      </c>
      <c r="H2187" t="s">
        <v>2585</v>
      </c>
      <c r="J2187" s="18" t="s">
        <v>4327</v>
      </c>
    </row>
    <row r="2188" spans="3:10" x14ac:dyDescent="0.25">
      <c r="C2188" s="17" t="str">
        <f t="shared" si="35"/>
        <v>28.801011.-12927.8151..CLEAR SCHEDULE.</v>
      </c>
      <c r="E2188">
        <v>28</v>
      </c>
      <c r="F2188">
        <v>801011</v>
      </c>
      <c r="G2188" s="1">
        <v>-129.27000000000001</v>
      </c>
      <c r="H2188" t="s">
        <v>2586</v>
      </c>
      <c r="J2188" s="18" t="s">
        <v>4327</v>
      </c>
    </row>
    <row r="2189" spans="3:10" x14ac:dyDescent="0.25">
      <c r="C2189" s="17" t="str">
        <f t="shared" si="35"/>
        <v>28.801011.-16724.8152..CLEAR SCHEDULE.</v>
      </c>
      <c r="E2189">
        <v>28</v>
      </c>
      <c r="F2189">
        <v>801011</v>
      </c>
      <c r="G2189" s="2">
        <v>-167.24</v>
      </c>
      <c r="H2189" t="s">
        <v>2587</v>
      </c>
      <c r="J2189" s="18" t="s">
        <v>4327</v>
      </c>
    </row>
    <row r="2190" spans="3:10" x14ac:dyDescent="0.25">
      <c r="C2190" s="17" t="str">
        <f t="shared" si="35"/>
        <v>28.801011.-14387.8158..CLEAR SCHEDULE.</v>
      </c>
      <c r="E2190">
        <v>28</v>
      </c>
      <c r="F2190">
        <v>801011</v>
      </c>
      <c r="G2190" s="1">
        <v>-143.87</v>
      </c>
      <c r="H2190" t="s">
        <v>2588</v>
      </c>
      <c r="J2190" s="18" t="s">
        <v>4327</v>
      </c>
    </row>
    <row r="2191" spans="3:10" x14ac:dyDescent="0.25">
      <c r="C2191" s="17" t="str">
        <f t="shared" si="35"/>
        <v>28.801011.-40852.8161..CLEAR SCHEDULE.</v>
      </c>
      <c r="E2191">
        <v>28</v>
      </c>
      <c r="F2191">
        <v>801011</v>
      </c>
      <c r="G2191" s="2">
        <v>-408.52</v>
      </c>
      <c r="H2191" t="s">
        <v>2589</v>
      </c>
      <c r="J2191" s="18" t="s">
        <v>4327</v>
      </c>
    </row>
    <row r="2192" spans="3:10" x14ac:dyDescent="0.25">
      <c r="C2192" s="17" t="str">
        <f t="shared" si="35"/>
        <v>28.801011.-6769.8167..CLEAR SCHEDULE.</v>
      </c>
      <c r="E2192">
        <v>28</v>
      </c>
      <c r="F2192">
        <v>801011</v>
      </c>
      <c r="G2192" s="1">
        <v>-67.69</v>
      </c>
      <c r="H2192" t="s">
        <v>2590</v>
      </c>
      <c r="J2192" s="18" t="s">
        <v>4327</v>
      </c>
    </row>
    <row r="2193" spans="3:10" x14ac:dyDescent="0.25">
      <c r="C2193" s="17" t="str">
        <f t="shared" si="35"/>
        <v>28.801011.-15166.8171..CLEAR SCHEDULE.</v>
      </c>
      <c r="E2193">
        <v>28</v>
      </c>
      <c r="F2193">
        <v>801011</v>
      </c>
      <c r="G2193" s="2">
        <v>-151.66</v>
      </c>
      <c r="H2193" t="s">
        <v>2591</v>
      </c>
      <c r="J2193" s="18" t="s">
        <v>4327</v>
      </c>
    </row>
    <row r="2194" spans="3:10" x14ac:dyDescent="0.25">
      <c r="C2194" s="17" t="str">
        <f t="shared" si="35"/>
        <v>28.801011.-14408.8172..CLEAR SCHEDULE.</v>
      </c>
      <c r="E2194">
        <v>28</v>
      </c>
      <c r="F2194">
        <v>801011</v>
      </c>
      <c r="G2194" s="1">
        <v>-144.08000000000001</v>
      </c>
      <c r="H2194" t="s">
        <v>2592</v>
      </c>
      <c r="J2194" s="18" t="s">
        <v>4327</v>
      </c>
    </row>
    <row r="2195" spans="3:10" x14ac:dyDescent="0.25">
      <c r="C2195" s="17" t="str">
        <f t="shared" si="35"/>
        <v>28.801011.-30000.8174..CLEAR SCHEDULE.</v>
      </c>
      <c r="E2195">
        <v>28</v>
      </c>
      <c r="F2195">
        <v>801011</v>
      </c>
      <c r="G2195" s="2">
        <v>-300</v>
      </c>
      <c r="H2195" t="s">
        <v>2593</v>
      </c>
      <c r="J2195" s="18" t="s">
        <v>4327</v>
      </c>
    </row>
    <row r="2196" spans="3:10" x14ac:dyDescent="0.25">
      <c r="C2196" s="17" t="str">
        <f t="shared" si="35"/>
        <v>28.801011.-15066.8175..CLEAR SCHEDULE.</v>
      </c>
      <c r="E2196">
        <v>28</v>
      </c>
      <c r="F2196">
        <v>801011</v>
      </c>
      <c r="G2196" s="1">
        <v>-150.66</v>
      </c>
      <c r="H2196" t="s">
        <v>2594</v>
      </c>
      <c r="J2196" s="18" t="s">
        <v>4327</v>
      </c>
    </row>
    <row r="2197" spans="3:10" x14ac:dyDescent="0.25">
      <c r="C2197" s="17" t="str">
        <f t="shared" si="35"/>
        <v>28.801011.-8972.8176..CLEAR SCHEDULE.</v>
      </c>
      <c r="E2197">
        <v>28</v>
      </c>
      <c r="F2197">
        <v>801011</v>
      </c>
      <c r="G2197" s="2">
        <v>-89.72</v>
      </c>
      <c r="H2197" t="s">
        <v>2595</v>
      </c>
      <c r="J2197" s="18" t="s">
        <v>4327</v>
      </c>
    </row>
    <row r="2198" spans="3:10" x14ac:dyDescent="0.25">
      <c r="C2198" s="17" t="str">
        <f t="shared" si="35"/>
        <v>28.801011.-23773.8177..CLEAR SCHEDULE.</v>
      </c>
      <c r="E2198">
        <v>28</v>
      </c>
      <c r="F2198">
        <v>801011</v>
      </c>
      <c r="G2198" s="1">
        <v>-237.73</v>
      </c>
      <c r="H2198" t="s">
        <v>2596</v>
      </c>
      <c r="J2198" s="18" t="s">
        <v>4327</v>
      </c>
    </row>
    <row r="2199" spans="3:10" x14ac:dyDescent="0.25">
      <c r="C2199" s="17" t="str">
        <f t="shared" si="35"/>
        <v>28.801011.-42357.8178..CLEAR SCHEDULE.</v>
      </c>
      <c r="E2199">
        <v>28</v>
      </c>
      <c r="F2199">
        <v>801011</v>
      </c>
      <c r="G2199" s="2">
        <v>-423.57</v>
      </c>
      <c r="H2199" t="s">
        <v>2597</v>
      </c>
      <c r="J2199" s="18" t="s">
        <v>4327</v>
      </c>
    </row>
    <row r="2200" spans="3:10" x14ac:dyDescent="0.25">
      <c r="C2200" s="17" t="str">
        <f t="shared" si="35"/>
        <v>28.801011.-23704.8180..CLEAR SCHEDULE.</v>
      </c>
      <c r="E2200">
        <v>28</v>
      </c>
      <c r="F2200">
        <v>801011</v>
      </c>
      <c r="G2200" s="1">
        <v>-237.04</v>
      </c>
      <c r="H2200" t="s">
        <v>2598</v>
      </c>
      <c r="J2200" s="18" t="s">
        <v>4327</v>
      </c>
    </row>
    <row r="2201" spans="3:10" x14ac:dyDescent="0.25">
      <c r="C2201" s="17" t="str">
        <f t="shared" si="35"/>
        <v>28.801011.-25329.8181..CLEAR SCHEDULE.</v>
      </c>
      <c r="E2201">
        <v>28</v>
      </c>
      <c r="F2201">
        <v>801011</v>
      </c>
      <c r="G2201" s="2">
        <v>-253.29</v>
      </c>
      <c r="H2201" t="s">
        <v>2599</v>
      </c>
      <c r="J2201" s="18" t="s">
        <v>4327</v>
      </c>
    </row>
    <row r="2202" spans="3:10" x14ac:dyDescent="0.25">
      <c r="C2202" s="17" t="str">
        <f t="shared" si="35"/>
        <v>28.801011.-82184.8182..CLEAR SCHEDULE.</v>
      </c>
      <c r="E2202">
        <v>28</v>
      </c>
      <c r="F2202">
        <v>801011</v>
      </c>
      <c r="G2202" s="1">
        <v>-821.84</v>
      </c>
      <c r="H2202" t="s">
        <v>2600</v>
      </c>
      <c r="J2202" s="18" t="s">
        <v>4327</v>
      </c>
    </row>
    <row r="2203" spans="3:10" x14ac:dyDescent="0.25">
      <c r="C2203" s="17" t="str">
        <f t="shared" si="35"/>
        <v>28.801011.-10530.8184..CLEAR SCHEDULE.</v>
      </c>
      <c r="E2203">
        <v>28</v>
      </c>
      <c r="F2203">
        <v>801011</v>
      </c>
      <c r="G2203" s="2">
        <v>-105.3</v>
      </c>
      <c r="H2203" t="s">
        <v>2601</v>
      </c>
      <c r="J2203" s="18" t="s">
        <v>4327</v>
      </c>
    </row>
    <row r="2204" spans="3:10" x14ac:dyDescent="0.25">
      <c r="C2204" s="17" t="str">
        <f t="shared" si="35"/>
        <v>28.801011.-6917.8186..CLEAR SCHEDULE.</v>
      </c>
      <c r="E2204">
        <v>28</v>
      </c>
      <c r="F2204">
        <v>801011</v>
      </c>
      <c r="G2204" s="1">
        <v>-69.17</v>
      </c>
      <c r="H2204" t="s">
        <v>2602</v>
      </c>
      <c r="J2204" s="18" t="s">
        <v>4327</v>
      </c>
    </row>
    <row r="2205" spans="3:10" x14ac:dyDescent="0.25">
      <c r="C2205" s="17" t="str">
        <f t="shared" si="35"/>
        <v>28.801011.-23366.8187..CLEAR SCHEDULE.</v>
      </c>
      <c r="E2205">
        <v>28</v>
      </c>
      <c r="F2205">
        <v>801011</v>
      </c>
      <c r="G2205" s="2">
        <v>-233.66</v>
      </c>
      <c r="H2205" t="s">
        <v>2603</v>
      </c>
      <c r="J2205" s="18" t="s">
        <v>4327</v>
      </c>
    </row>
    <row r="2206" spans="3:10" x14ac:dyDescent="0.25">
      <c r="C2206" s="17" t="str">
        <f t="shared" si="35"/>
        <v>28.801011.-16724.8188..CLEAR SCHEDULE.</v>
      </c>
      <c r="E2206">
        <v>28</v>
      </c>
      <c r="F2206">
        <v>801011</v>
      </c>
      <c r="G2206" s="1">
        <v>-167.24</v>
      </c>
      <c r="H2206" t="s">
        <v>2604</v>
      </c>
      <c r="J2206" s="18" t="s">
        <v>4327</v>
      </c>
    </row>
    <row r="2207" spans="3:10" x14ac:dyDescent="0.25">
      <c r="C2207" s="17" t="str">
        <f t="shared" si="35"/>
        <v>28.801011.-10004.8189..CLEAR SCHEDULE.</v>
      </c>
      <c r="E2207">
        <v>28</v>
      </c>
      <c r="F2207">
        <v>801011</v>
      </c>
      <c r="G2207" s="2">
        <v>-100.04</v>
      </c>
      <c r="H2207" t="s">
        <v>2605</v>
      </c>
      <c r="J2207" s="18" t="s">
        <v>4327</v>
      </c>
    </row>
    <row r="2208" spans="3:10" x14ac:dyDescent="0.25">
      <c r="C2208" s="17" t="str">
        <f t="shared" si="35"/>
        <v>28.801011.-23704.8190..CLEAR SCHEDULE.</v>
      </c>
      <c r="E2208">
        <v>28</v>
      </c>
      <c r="F2208">
        <v>801011</v>
      </c>
      <c r="G2208" s="1">
        <v>-237.04</v>
      </c>
      <c r="H2208" t="s">
        <v>2606</v>
      </c>
      <c r="J2208" s="18" t="s">
        <v>4327</v>
      </c>
    </row>
    <row r="2209" spans="3:10" x14ac:dyDescent="0.25">
      <c r="C2209" s="17" t="str">
        <f t="shared" si="35"/>
        <v>28.801011.-36431.8191..CLEAR SCHEDULE.</v>
      </c>
      <c r="E2209">
        <v>28</v>
      </c>
      <c r="F2209">
        <v>801011</v>
      </c>
      <c r="G2209" s="2">
        <v>-364.31</v>
      </c>
      <c r="H2209" t="s">
        <v>2607</v>
      </c>
      <c r="J2209" s="18" t="s">
        <v>4327</v>
      </c>
    </row>
    <row r="2210" spans="3:10" x14ac:dyDescent="0.25">
      <c r="C2210" s="17" t="str">
        <f t="shared" si="35"/>
        <v>28.801011.-14387.8192..CLEAR SCHEDULE.</v>
      </c>
      <c r="E2210">
        <v>28</v>
      </c>
      <c r="F2210">
        <v>801011</v>
      </c>
      <c r="G2210" s="1">
        <v>-143.87</v>
      </c>
      <c r="H2210" t="s">
        <v>2608</v>
      </c>
      <c r="J2210" s="18" t="s">
        <v>4327</v>
      </c>
    </row>
    <row r="2211" spans="3:10" x14ac:dyDescent="0.25">
      <c r="C2211" s="17" t="str">
        <f t="shared" si="35"/>
        <v>28.801011.-132625.8195..CLEAR SCHEDULE.</v>
      </c>
      <c r="E2211">
        <v>28</v>
      </c>
      <c r="F2211">
        <v>801011</v>
      </c>
      <c r="G2211" s="2">
        <v>-1326.25</v>
      </c>
      <c r="H2211" t="s">
        <v>2609</v>
      </c>
      <c r="J2211" s="18" t="s">
        <v>4327</v>
      </c>
    </row>
    <row r="2212" spans="3:10" x14ac:dyDescent="0.25">
      <c r="C2212" s="17" t="str">
        <f t="shared" si="35"/>
        <v>28.801011.-16724.8196..CLEAR SCHEDULE.</v>
      </c>
      <c r="E2212">
        <v>28</v>
      </c>
      <c r="F2212">
        <v>801011</v>
      </c>
      <c r="G2212" s="1">
        <v>-167.24</v>
      </c>
      <c r="H2212" t="s">
        <v>2610</v>
      </c>
      <c r="J2212" s="18" t="s">
        <v>4327</v>
      </c>
    </row>
    <row r="2213" spans="3:10" x14ac:dyDescent="0.25">
      <c r="C2213" s="17" t="str">
        <f t="shared" si="35"/>
        <v>28.801011.-14387.8197..CLEAR SCHEDULE.</v>
      </c>
      <c r="E2213">
        <v>28</v>
      </c>
      <c r="F2213">
        <v>801011</v>
      </c>
      <c r="G2213" s="2">
        <v>-143.87</v>
      </c>
      <c r="H2213" t="s">
        <v>2611</v>
      </c>
      <c r="J2213" s="18" t="s">
        <v>4327</v>
      </c>
    </row>
    <row r="2214" spans="3:10" x14ac:dyDescent="0.25">
      <c r="C2214" s="17" t="str">
        <f t="shared" si="35"/>
        <v>28.801011.-15945.8199..CLEAR SCHEDULE.</v>
      </c>
      <c r="E2214">
        <v>28</v>
      </c>
      <c r="F2214">
        <v>801011</v>
      </c>
      <c r="G2214" s="1">
        <v>-159.44999999999999</v>
      </c>
      <c r="H2214" t="s">
        <v>2612</v>
      </c>
      <c r="J2214" s="18" t="s">
        <v>4327</v>
      </c>
    </row>
    <row r="2215" spans="3:10" x14ac:dyDescent="0.25">
      <c r="C2215" s="17" t="str">
        <f t="shared" si="35"/>
        <v>28.801011.-24833.8200..CLEAR SCHEDULE.</v>
      </c>
      <c r="E2215">
        <v>28</v>
      </c>
      <c r="F2215">
        <v>801011</v>
      </c>
      <c r="G2215" s="2">
        <v>-248.33</v>
      </c>
      <c r="H2215" t="s">
        <v>2613</v>
      </c>
      <c r="J2215" s="18" t="s">
        <v>4327</v>
      </c>
    </row>
    <row r="2216" spans="3:10" x14ac:dyDescent="0.25">
      <c r="C2216" s="17" t="str">
        <f t="shared" si="35"/>
        <v>28.801011.-53533.8201..CLEAR SCHEDULE.</v>
      </c>
      <c r="E2216">
        <v>28</v>
      </c>
      <c r="F2216">
        <v>801011</v>
      </c>
      <c r="G2216" s="1">
        <v>-535.33000000000004</v>
      </c>
      <c r="H2216" t="s">
        <v>2614</v>
      </c>
      <c r="J2216" s="18" t="s">
        <v>4327</v>
      </c>
    </row>
    <row r="2217" spans="3:10" x14ac:dyDescent="0.25">
      <c r="C2217" s="17" t="str">
        <f t="shared" si="35"/>
        <v>28.801011.-50312.8205..CLEAR SCHEDULE.</v>
      </c>
      <c r="E2217">
        <v>28</v>
      </c>
      <c r="F2217">
        <v>801011</v>
      </c>
      <c r="G2217" s="2">
        <v>-503.12</v>
      </c>
      <c r="H2217" t="s">
        <v>2615</v>
      </c>
      <c r="J2217" s="18" t="s">
        <v>4327</v>
      </c>
    </row>
    <row r="2218" spans="3:10" x14ac:dyDescent="0.25">
      <c r="C2218" s="17" t="str">
        <f t="shared" si="35"/>
        <v>28.801011.-16998.8206..CLEAR SCHEDULE.</v>
      </c>
      <c r="E2218">
        <v>28</v>
      </c>
      <c r="F2218">
        <v>801011</v>
      </c>
      <c r="G2218" s="1">
        <v>-169.98</v>
      </c>
      <c r="H2218" t="s">
        <v>2616</v>
      </c>
      <c r="J2218" s="18" t="s">
        <v>4327</v>
      </c>
    </row>
    <row r="2219" spans="3:10" x14ac:dyDescent="0.25">
      <c r="C2219" s="17" t="str">
        <f t="shared" si="35"/>
        <v>28.801011.-20917.8207..CLEAR SCHEDULE.</v>
      </c>
      <c r="E2219">
        <v>28</v>
      </c>
      <c r="F2219">
        <v>801011</v>
      </c>
      <c r="G2219" s="2">
        <v>-209.17</v>
      </c>
      <c r="H2219" t="s">
        <v>2617</v>
      </c>
      <c r="J2219" s="18" t="s">
        <v>4327</v>
      </c>
    </row>
    <row r="2220" spans="3:10" x14ac:dyDescent="0.25">
      <c r="C2220" s="17" t="str">
        <f t="shared" si="35"/>
        <v>28.801011.-28726.8209..CLEAR SCHEDULE.</v>
      </c>
      <c r="E2220">
        <v>28</v>
      </c>
      <c r="F2220">
        <v>801011</v>
      </c>
      <c r="G2220" s="1">
        <v>-287.26</v>
      </c>
      <c r="H2220" t="s">
        <v>2618</v>
      </c>
      <c r="J2220" s="18" t="s">
        <v>4327</v>
      </c>
    </row>
    <row r="2221" spans="3:10" x14ac:dyDescent="0.25">
      <c r="C2221" s="17" t="str">
        <f t="shared" si="35"/>
        <v>28.801011.-5415.8213..CLEAR SCHEDULE.</v>
      </c>
      <c r="E2221">
        <v>28</v>
      </c>
      <c r="F2221">
        <v>801011</v>
      </c>
      <c r="G2221" s="2">
        <v>-54.15</v>
      </c>
      <c r="H2221" t="s">
        <v>2619</v>
      </c>
      <c r="J2221" s="18" t="s">
        <v>4327</v>
      </c>
    </row>
    <row r="2222" spans="3:10" x14ac:dyDescent="0.25">
      <c r="C2222" s="17" t="str">
        <f t="shared" si="35"/>
        <v>28.801011.-15166.8214..CLEAR SCHEDULE.</v>
      </c>
      <c r="E2222">
        <v>28</v>
      </c>
      <c r="F2222">
        <v>801011</v>
      </c>
      <c r="G2222" s="1">
        <v>-151.66</v>
      </c>
      <c r="H2222" t="s">
        <v>2620</v>
      </c>
      <c r="J2222" s="18" t="s">
        <v>4327</v>
      </c>
    </row>
    <row r="2223" spans="3:10" x14ac:dyDescent="0.25">
      <c r="C2223" s="17" t="str">
        <f t="shared" si="35"/>
        <v>28.801011.-26769.8215..CLEAR SCHEDULE.</v>
      </c>
      <c r="E2223">
        <v>28</v>
      </c>
      <c r="F2223">
        <v>801011</v>
      </c>
      <c r="G2223" s="2">
        <v>-267.69</v>
      </c>
      <c r="H2223" t="s">
        <v>2621</v>
      </c>
      <c r="J2223" s="18" t="s">
        <v>4327</v>
      </c>
    </row>
    <row r="2224" spans="3:10" x14ac:dyDescent="0.25">
      <c r="C2224" s="17" t="str">
        <f t="shared" si="35"/>
        <v>28.801011.-9751.8218..CLEAR SCHEDULE.</v>
      </c>
      <c r="E2224">
        <v>28</v>
      </c>
      <c r="F2224">
        <v>801011</v>
      </c>
      <c r="G2224" s="1">
        <v>-97.51</v>
      </c>
      <c r="H2224" t="s">
        <v>2622</v>
      </c>
      <c r="J2224" s="18" t="s">
        <v>4327</v>
      </c>
    </row>
    <row r="2225" spans="3:10" x14ac:dyDescent="0.25">
      <c r="C2225" s="17" t="str">
        <f t="shared" si="35"/>
        <v>28.801011.-15166.8219..CLEAR SCHEDULE.</v>
      </c>
      <c r="E2225">
        <v>28</v>
      </c>
      <c r="F2225">
        <v>801011</v>
      </c>
      <c r="G2225" s="2">
        <v>-151.66</v>
      </c>
      <c r="H2225" t="s">
        <v>2623</v>
      </c>
      <c r="J2225" s="18" t="s">
        <v>4327</v>
      </c>
    </row>
    <row r="2226" spans="3:10" x14ac:dyDescent="0.25">
      <c r="C2226" s="17" t="str">
        <f t="shared" si="35"/>
        <v>28.801011.-8972.8220..CLEAR SCHEDULE.</v>
      </c>
      <c r="E2226">
        <v>28</v>
      </c>
      <c r="F2226">
        <v>801011</v>
      </c>
      <c r="G2226" s="1">
        <v>-89.72</v>
      </c>
      <c r="H2226" t="s">
        <v>2624</v>
      </c>
      <c r="J2226" s="18" t="s">
        <v>4327</v>
      </c>
    </row>
    <row r="2227" spans="3:10" x14ac:dyDescent="0.25">
      <c r="C2227" s="17" t="str">
        <f t="shared" si="35"/>
        <v>28.801011.-10530.8222..CLEAR SCHEDULE.</v>
      </c>
      <c r="E2227">
        <v>28</v>
      </c>
      <c r="F2227">
        <v>801011</v>
      </c>
      <c r="G2227" s="2">
        <v>-105.3</v>
      </c>
      <c r="H2227" t="s">
        <v>2625</v>
      </c>
      <c r="J2227" s="18" t="s">
        <v>4327</v>
      </c>
    </row>
    <row r="2228" spans="3:10" x14ac:dyDescent="0.25">
      <c r="C2228" s="17" t="str">
        <f t="shared" si="35"/>
        <v>28.801011.-8400.8223..CLEAR SCHEDULE.</v>
      </c>
      <c r="E2228">
        <v>28</v>
      </c>
      <c r="F2228">
        <v>801011</v>
      </c>
      <c r="G2228" s="1">
        <v>-84</v>
      </c>
      <c r="H2228" t="s">
        <v>2626</v>
      </c>
      <c r="J2228" s="18" t="s">
        <v>4327</v>
      </c>
    </row>
    <row r="2229" spans="3:10" x14ac:dyDescent="0.25">
      <c r="C2229" s="17" t="str">
        <f t="shared" si="35"/>
        <v>28.801011.-55738.8224..CLEAR SCHEDULE.</v>
      </c>
      <c r="E2229">
        <v>28</v>
      </c>
      <c r="F2229">
        <v>801011</v>
      </c>
      <c r="G2229" s="2">
        <v>-557.38</v>
      </c>
      <c r="H2229" t="s">
        <v>2627</v>
      </c>
      <c r="J2229" s="18" t="s">
        <v>4327</v>
      </c>
    </row>
    <row r="2230" spans="3:10" x14ac:dyDescent="0.25">
      <c r="C2230" s="17" t="str">
        <f t="shared" si="35"/>
        <v>28.801011.-78193.8226..CLEAR SCHEDULE.</v>
      </c>
      <c r="E2230">
        <v>28</v>
      </c>
      <c r="F2230">
        <v>801011</v>
      </c>
      <c r="G2230" s="1">
        <v>-781.93</v>
      </c>
      <c r="H2230" t="s">
        <v>2628</v>
      </c>
      <c r="J2230" s="18" t="s">
        <v>4327</v>
      </c>
    </row>
    <row r="2231" spans="3:10" x14ac:dyDescent="0.25">
      <c r="C2231" s="17" t="str">
        <f t="shared" si="35"/>
        <v>28.801011.-64999.8227..CLEAR SCHEDULE.</v>
      </c>
      <c r="E2231">
        <v>28</v>
      </c>
      <c r="F2231">
        <v>801011</v>
      </c>
      <c r="G2231" s="2">
        <v>-649.99</v>
      </c>
      <c r="H2231" t="s">
        <v>2629</v>
      </c>
      <c r="J2231" s="18" t="s">
        <v>4327</v>
      </c>
    </row>
    <row r="2232" spans="3:10" x14ac:dyDescent="0.25">
      <c r="C2232" s="17" t="str">
        <f t="shared" si="35"/>
        <v>28.801011.-15166.8228..CLEAR SCHEDULE.</v>
      </c>
      <c r="E2232">
        <v>28</v>
      </c>
      <c r="F2232">
        <v>801011</v>
      </c>
      <c r="G2232" s="1">
        <v>-151.66</v>
      </c>
      <c r="H2232" t="s">
        <v>2630</v>
      </c>
      <c r="J2232" s="18" t="s">
        <v>4327</v>
      </c>
    </row>
    <row r="2233" spans="3:10" x14ac:dyDescent="0.25">
      <c r="C2233" s="17" t="str">
        <f t="shared" si="35"/>
        <v>28.801011.-33528.8229..CLEAR SCHEDULE.</v>
      </c>
      <c r="E2233">
        <v>28</v>
      </c>
      <c r="F2233">
        <v>801011</v>
      </c>
      <c r="G2233" s="2">
        <v>-335.28</v>
      </c>
      <c r="H2233" t="s">
        <v>2631</v>
      </c>
      <c r="J2233" s="18" t="s">
        <v>4327</v>
      </c>
    </row>
    <row r="2234" spans="3:10" x14ac:dyDescent="0.25">
      <c r="C2234" s="17" t="str">
        <f t="shared" si="35"/>
        <v>28.801011.-200371.8232..CLEAR SCHEDULE.</v>
      </c>
      <c r="E2234">
        <v>28</v>
      </c>
      <c r="F2234">
        <v>801011</v>
      </c>
      <c r="G2234" s="1">
        <v>-2003.71</v>
      </c>
      <c r="H2234" t="s">
        <v>2632</v>
      </c>
      <c r="J2234" s="18" t="s">
        <v>4327</v>
      </c>
    </row>
    <row r="2235" spans="3:10" x14ac:dyDescent="0.25">
      <c r="C2235" s="17" t="str">
        <f t="shared" si="35"/>
        <v>28.801011.-15167.8234..CLEAR SCHEDULE.</v>
      </c>
      <c r="E2235">
        <v>28</v>
      </c>
      <c r="F2235">
        <v>801011</v>
      </c>
      <c r="G2235" s="2">
        <v>-151.66999999999999</v>
      </c>
      <c r="H2235" t="s">
        <v>2633</v>
      </c>
      <c r="J2235" s="18" t="s">
        <v>4327</v>
      </c>
    </row>
    <row r="2236" spans="3:10" x14ac:dyDescent="0.25">
      <c r="C2236" s="17" t="str">
        <f t="shared" si="35"/>
        <v>28.801011.-153409.8236..CLEAR SCHEDULE.</v>
      </c>
      <c r="E2236">
        <v>28</v>
      </c>
      <c r="F2236">
        <v>801011</v>
      </c>
      <c r="G2236" s="1">
        <v>-1534.09</v>
      </c>
      <c r="H2236" t="s">
        <v>2634</v>
      </c>
      <c r="J2236" s="18" t="s">
        <v>4327</v>
      </c>
    </row>
    <row r="2237" spans="3:10" x14ac:dyDescent="0.25">
      <c r="C2237" s="17" t="str">
        <f t="shared" si="35"/>
        <v>28.801011.-8972.8237..CLEAR SCHEDULE.</v>
      </c>
      <c r="E2237">
        <v>28</v>
      </c>
      <c r="F2237">
        <v>801011</v>
      </c>
      <c r="G2237" s="2">
        <v>-89.72</v>
      </c>
      <c r="H2237" t="s">
        <v>2635</v>
      </c>
      <c r="J2237" s="18" t="s">
        <v>4327</v>
      </c>
    </row>
    <row r="2238" spans="3:10" x14ac:dyDescent="0.25">
      <c r="C2238" s="17" t="str">
        <f t="shared" si="35"/>
        <v>28.801011.-295299.8238..CLEAR SCHEDULE.</v>
      </c>
      <c r="E2238">
        <v>28</v>
      </c>
      <c r="F2238">
        <v>801011</v>
      </c>
      <c r="G2238" s="1">
        <v>-2952.99</v>
      </c>
      <c r="H2238" t="s">
        <v>2636</v>
      </c>
      <c r="J2238" s="18" t="s">
        <v>4327</v>
      </c>
    </row>
    <row r="2239" spans="3:10" x14ac:dyDescent="0.25">
      <c r="C2239" s="17" t="str">
        <f t="shared" si="35"/>
        <v>28.801011.-14387.8240..CLEAR SCHEDULE.</v>
      </c>
      <c r="E2239">
        <v>28</v>
      </c>
      <c r="F2239">
        <v>801011</v>
      </c>
      <c r="G2239" s="2">
        <v>-143.87</v>
      </c>
      <c r="H2239" t="s">
        <v>2637</v>
      </c>
      <c r="J2239" s="18" t="s">
        <v>4327</v>
      </c>
    </row>
    <row r="2240" spans="3:10" x14ac:dyDescent="0.25">
      <c r="C2240" s="17" t="str">
        <f t="shared" si="35"/>
        <v>28.801011.-20185.8242..CLEAR SCHEDULE.</v>
      </c>
      <c r="E2240">
        <v>28</v>
      </c>
      <c r="F2240">
        <v>801011</v>
      </c>
      <c r="G2240" s="1">
        <v>-201.85</v>
      </c>
      <c r="H2240" t="s">
        <v>2638</v>
      </c>
      <c r="J2240" s="18" t="s">
        <v>4327</v>
      </c>
    </row>
    <row r="2241" spans="3:10" x14ac:dyDescent="0.25">
      <c r="C2241" s="17" t="str">
        <f t="shared" si="35"/>
        <v>28.801011.-128700.8243..CLEAR SCHEDULE.</v>
      </c>
      <c r="E2241">
        <v>28</v>
      </c>
      <c r="F2241">
        <v>801011</v>
      </c>
      <c r="G2241" s="2">
        <v>-1287</v>
      </c>
      <c r="H2241" t="s">
        <v>2639</v>
      </c>
      <c r="J2241" s="18" t="s">
        <v>4327</v>
      </c>
    </row>
    <row r="2242" spans="3:10" x14ac:dyDescent="0.25">
      <c r="C2242" s="17" t="str">
        <f t="shared" si="35"/>
        <v>28.801011.-8972.8244..CLEAR SCHEDULE.</v>
      </c>
      <c r="E2242">
        <v>28</v>
      </c>
      <c r="F2242">
        <v>801011</v>
      </c>
      <c r="G2242" s="1">
        <v>-89.72</v>
      </c>
      <c r="H2242" t="s">
        <v>2640</v>
      </c>
      <c r="J2242" s="18" t="s">
        <v>4327</v>
      </c>
    </row>
    <row r="2243" spans="3:10" x14ac:dyDescent="0.25">
      <c r="C2243" s="17" t="str">
        <f t="shared" si="35"/>
        <v>28.801011.-37697.8249..CLEAR SCHEDULE.</v>
      </c>
      <c r="E2243">
        <v>28</v>
      </c>
      <c r="F2243">
        <v>801011</v>
      </c>
      <c r="G2243" s="2">
        <v>-376.97</v>
      </c>
      <c r="H2243" t="s">
        <v>2641</v>
      </c>
      <c r="J2243" s="18" t="s">
        <v>4327</v>
      </c>
    </row>
    <row r="2244" spans="3:10" x14ac:dyDescent="0.25">
      <c r="C2244" s="17" t="str">
        <f t="shared" si="35"/>
        <v>28.801011.-15945.8250..CLEAR SCHEDULE.</v>
      </c>
      <c r="E2244">
        <v>28</v>
      </c>
      <c r="F2244">
        <v>801011</v>
      </c>
      <c r="G2244" s="1">
        <v>-159.44999999999999</v>
      </c>
      <c r="H2244" t="s">
        <v>2642</v>
      </c>
      <c r="J2244" s="18" t="s">
        <v>4327</v>
      </c>
    </row>
    <row r="2245" spans="3:10" x14ac:dyDescent="0.25">
      <c r="C2245" s="17" t="str">
        <f t="shared" si="35"/>
        <v>28.801011.-43453.8251..CLEAR SCHEDULE.</v>
      </c>
      <c r="E2245">
        <v>28</v>
      </c>
      <c r="F2245">
        <v>801011</v>
      </c>
      <c r="G2245" s="2">
        <v>-434.53</v>
      </c>
      <c r="H2245" t="s">
        <v>2643</v>
      </c>
      <c r="J2245" s="18" t="s">
        <v>4327</v>
      </c>
    </row>
    <row r="2246" spans="3:10" x14ac:dyDescent="0.25">
      <c r="C2246" s="17" t="str">
        <f t="shared" si="35"/>
        <v>28.801011.-10530.8252..CLEAR SCHEDULE.</v>
      </c>
      <c r="E2246">
        <v>28</v>
      </c>
      <c r="F2246">
        <v>801011</v>
      </c>
      <c r="G2246" s="1">
        <v>-105.3</v>
      </c>
      <c r="H2246" t="s">
        <v>2644</v>
      </c>
      <c r="J2246" s="18" t="s">
        <v>4327</v>
      </c>
    </row>
    <row r="2247" spans="3:10" x14ac:dyDescent="0.25">
      <c r="C2247" s="17" t="str">
        <f t="shared" si="35"/>
        <v>28.801011.-112696.8256..CLEAR SCHEDULE.</v>
      </c>
      <c r="E2247">
        <v>28</v>
      </c>
      <c r="F2247">
        <v>801011</v>
      </c>
      <c r="G2247" s="2">
        <v>-1126.96</v>
      </c>
      <c r="H2247" t="s">
        <v>2645</v>
      </c>
      <c r="J2247" s="18" t="s">
        <v>4327</v>
      </c>
    </row>
    <row r="2248" spans="3:10" x14ac:dyDescent="0.25">
      <c r="C2248" s="17" t="str">
        <f t="shared" si="35"/>
        <v>28.801011.-19742.8257..CLEAR SCHEDULE.</v>
      </c>
      <c r="E2248">
        <v>28</v>
      </c>
      <c r="F2248">
        <v>801011</v>
      </c>
      <c r="G2248" s="1">
        <v>-197.42</v>
      </c>
      <c r="H2248" t="s">
        <v>2646</v>
      </c>
      <c r="J2248" s="18" t="s">
        <v>4327</v>
      </c>
    </row>
    <row r="2249" spans="3:10" x14ac:dyDescent="0.25">
      <c r="C2249" s="17" t="str">
        <f t="shared" si="35"/>
        <v>28.801011.-67780.8258..CLEAR SCHEDULE.</v>
      </c>
      <c r="E2249">
        <v>28</v>
      </c>
      <c r="F2249">
        <v>801011</v>
      </c>
      <c r="G2249" s="2">
        <v>-677.8</v>
      </c>
      <c r="H2249" t="s">
        <v>2647</v>
      </c>
      <c r="J2249" s="18" t="s">
        <v>4327</v>
      </c>
    </row>
    <row r="2250" spans="3:10" x14ac:dyDescent="0.25">
      <c r="C2250" s="17" t="str">
        <f t="shared" si="35"/>
        <v>28.801011.-103886.8266..CLEAR SCHEDULE.</v>
      </c>
      <c r="E2250">
        <v>28</v>
      </c>
      <c r="F2250">
        <v>801011</v>
      </c>
      <c r="G2250" s="1">
        <v>-1038.8599999999999</v>
      </c>
      <c r="H2250" t="s">
        <v>2648</v>
      </c>
      <c r="J2250" s="18" t="s">
        <v>4327</v>
      </c>
    </row>
    <row r="2251" spans="3:10" x14ac:dyDescent="0.25">
      <c r="C2251" s="17" t="str">
        <f t="shared" ref="C2251:C2314" si="36">IF(G2251=0,"",(E2251&amp;"."&amp;F2251&amp;"."&amp;G2251*100&amp;"."&amp;H2251&amp;"."&amp;I2251&amp;"."&amp;J2251&amp;"."&amp;K2251))</f>
        <v>28.801011.-9751.8268..CLEAR SCHEDULE.</v>
      </c>
      <c r="E2251">
        <v>28</v>
      </c>
      <c r="F2251">
        <v>801011</v>
      </c>
      <c r="G2251" s="2">
        <v>-97.51</v>
      </c>
      <c r="H2251" t="s">
        <v>2649</v>
      </c>
      <c r="J2251" s="18" t="s">
        <v>4327</v>
      </c>
    </row>
    <row r="2252" spans="3:10" x14ac:dyDescent="0.25">
      <c r="C2252" s="17" t="str">
        <f t="shared" si="36"/>
        <v>28.801011.-8972.8273..CLEAR SCHEDULE.</v>
      </c>
      <c r="E2252">
        <v>28</v>
      </c>
      <c r="F2252">
        <v>801011</v>
      </c>
      <c r="G2252" s="1">
        <v>-89.72</v>
      </c>
      <c r="H2252" t="s">
        <v>2650</v>
      </c>
      <c r="J2252" s="18" t="s">
        <v>4327</v>
      </c>
    </row>
    <row r="2253" spans="3:10" x14ac:dyDescent="0.25">
      <c r="C2253" s="17" t="str">
        <f t="shared" si="36"/>
        <v>28.801011.-7844.8274..CLEAR SCHEDULE.</v>
      </c>
      <c r="E2253">
        <v>28</v>
      </c>
      <c r="F2253">
        <v>801011</v>
      </c>
      <c r="G2253" s="2">
        <v>-78.44</v>
      </c>
      <c r="H2253" t="s">
        <v>2651</v>
      </c>
      <c r="J2253" s="18" t="s">
        <v>4327</v>
      </c>
    </row>
    <row r="2254" spans="3:10" x14ac:dyDescent="0.25">
      <c r="C2254" s="17" t="str">
        <f t="shared" si="36"/>
        <v>28.801011.-8972.8276..CLEAR SCHEDULE.</v>
      </c>
      <c r="E2254">
        <v>28</v>
      </c>
      <c r="F2254">
        <v>801011</v>
      </c>
      <c r="G2254" s="1">
        <v>-89.72</v>
      </c>
      <c r="H2254" t="s">
        <v>2652</v>
      </c>
      <c r="J2254" s="18" t="s">
        <v>4327</v>
      </c>
    </row>
    <row r="2255" spans="3:10" x14ac:dyDescent="0.25">
      <c r="C2255" s="17" t="str">
        <f t="shared" si="36"/>
        <v>28.801011.-10530.8278..CLEAR SCHEDULE.</v>
      </c>
      <c r="E2255">
        <v>28</v>
      </c>
      <c r="F2255">
        <v>801011</v>
      </c>
      <c r="G2255" s="2">
        <v>-105.3</v>
      </c>
      <c r="H2255" t="s">
        <v>2653</v>
      </c>
      <c r="J2255" s="18" t="s">
        <v>4327</v>
      </c>
    </row>
    <row r="2256" spans="3:10" x14ac:dyDescent="0.25">
      <c r="C2256" s="17" t="str">
        <f t="shared" si="36"/>
        <v>28.801011.-8972.8279..CLEAR SCHEDULE.</v>
      </c>
      <c r="E2256">
        <v>28</v>
      </c>
      <c r="F2256">
        <v>801011</v>
      </c>
      <c r="G2256" s="1">
        <v>-89.72</v>
      </c>
      <c r="H2256" t="s">
        <v>2654</v>
      </c>
      <c r="J2256" s="18" t="s">
        <v>4327</v>
      </c>
    </row>
    <row r="2257" spans="3:10" x14ac:dyDescent="0.25">
      <c r="C2257" s="17" t="str">
        <f t="shared" si="36"/>
        <v>28.801011.-89031.8280..CLEAR SCHEDULE.</v>
      </c>
      <c r="E2257">
        <v>28</v>
      </c>
      <c r="F2257">
        <v>801011</v>
      </c>
      <c r="G2257" s="2">
        <v>-890.31</v>
      </c>
      <c r="H2257" t="s">
        <v>2655</v>
      </c>
      <c r="J2257" s="18" t="s">
        <v>4327</v>
      </c>
    </row>
    <row r="2258" spans="3:10" x14ac:dyDescent="0.25">
      <c r="C2258" s="17" t="str">
        <f t="shared" si="36"/>
        <v>28.801011.-42361.8282..CLEAR SCHEDULE.</v>
      </c>
      <c r="E2258">
        <v>28</v>
      </c>
      <c r="F2258">
        <v>801011</v>
      </c>
      <c r="G2258" s="1">
        <v>-423.61</v>
      </c>
      <c r="H2258" t="s">
        <v>2656</v>
      </c>
      <c r="J2258" s="18" t="s">
        <v>4327</v>
      </c>
    </row>
    <row r="2259" spans="3:10" x14ac:dyDescent="0.25">
      <c r="C2259" s="17" t="str">
        <f t="shared" si="36"/>
        <v>28.801011.-35881.8286..CLEAR SCHEDULE.</v>
      </c>
      <c r="E2259">
        <v>28</v>
      </c>
      <c r="F2259">
        <v>801011</v>
      </c>
      <c r="G2259" s="2">
        <v>-358.81</v>
      </c>
      <c r="H2259" t="s">
        <v>2657</v>
      </c>
      <c r="J2259" s="18" t="s">
        <v>4327</v>
      </c>
    </row>
    <row r="2260" spans="3:10" x14ac:dyDescent="0.25">
      <c r="C2260" s="17" t="str">
        <f t="shared" si="36"/>
        <v>28.801011.-154558.8287..CLEAR SCHEDULE.</v>
      </c>
      <c r="E2260">
        <v>28</v>
      </c>
      <c r="F2260">
        <v>801011</v>
      </c>
      <c r="G2260" s="1">
        <v>-1545.58</v>
      </c>
      <c r="H2260" t="s">
        <v>2658</v>
      </c>
      <c r="J2260" s="18" t="s">
        <v>4327</v>
      </c>
    </row>
    <row r="2261" spans="3:10" x14ac:dyDescent="0.25">
      <c r="C2261" s="17" t="str">
        <f t="shared" si="36"/>
        <v>28.801011.-70908.8288..CLEAR SCHEDULE.</v>
      </c>
      <c r="E2261">
        <v>28</v>
      </c>
      <c r="F2261">
        <v>801011</v>
      </c>
      <c r="G2261" s="2">
        <v>-709.08</v>
      </c>
      <c r="H2261" t="s">
        <v>2659</v>
      </c>
      <c r="J2261" s="18" t="s">
        <v>4327</v>
      </c>
    </row>
    <row r="2262" spans="3:10" x14ac:dyDescent="0.25">
      <c r="C2262" s="17" t="str">
        <f t="shared" si="36"/>
        <v>28.801011.-19742.8290..CLEAR SCHEDULE.</v>
      </c>
      <c r="E2262">
        <v>28</v>
      </c>
      <c r="F2262">
        <v>801011</v>
      </c>
      <c r="G2262" s="1">
        <v>-197.42</v>
      </c>
      <c r="H2262" t="s">
        <v>2660</v>
      </c>
      <c r="J2262" s="18" t="s">
        <v>4327</v>
      </c>
    </row>
    <row r="2263" spans="3:10" x14ac:dyDescent="0.25">
      <c r="C2263" s="17" t="str">
        <f t="shared" si="36"/>
        <v>28.801011.-12174.8292..CLEAR SCHEDULE.</v>
      </c>
      <c r="E2263">
        <v>28</v>
      </c>
      <c r="F2263">
        <v>801011</v>
      </c>
      <c r="G2263" s="2">
        <v>-121.74</v>
      </c>
      <c r="H2263" t="s">
        <v>2661</v>
      </c>
      <c r="J2263" s="18" t="s">
        <v>4327</v>
      </c>
    </row>
    <row r="2264" spans="3:10" x14ac:dyDescent="0.25">
      <c r="C2264" s="17" t="str">
        <f t="shared" si="36"/>
        <v>28.801011.-9482.8293..CLEAR SCHEDULE.</v>
      </c>
      <c r="E2264">
        <v>28</v>
      </c>
      <c r="F2264">
        <v>801011</v>
      </c>
      <c r="G2264" s="1">
        <v>-94.82</v>
      </c>
      <c r="H2264" t="s">
        <v>2662</v>
      </c>
      <c r="J2264" s="18" t="s">
        <v>4327</v>
      </c>
    </row>
    <row r="2265" spans="3:10" x14ac:dyDescent="0.25">
      <c r="C2265" s="17" t="str">
        <f t="shared" si="36"/>
        <v>28.801011.-41658.8296..CLEAR SCHEDULE.</v>
      </c>
      <c r="E2265">
        <v>28</v>
      </c>
      <c r="F2265">
        <v>801011</v>
      </c>
      <c r="G2265" s="2">
        <v>-416.58</v>
      </c>
      <c r="H2265" t="s">
        <v>2663</v>
      </c>
      <c r="J2265" s="18" t="s">
        <v>4327</v>
      </c>
    </row>
    <row r="2266" spans="3:10" x14ac:dyDescent="0.25">
      <c r="C2266" s="17" t="str">
        <f t="shared" si="36"/>
        <v>28.801011.-5415.8298..CLEAR SCHEDULE.</v>
      </c>
      <c r="E2266">
        <v>28</v>
      </c>
      <c r="F2266">
        <v>801011</v>
      </c>
      <c r="G2266" s="1">
        <v>-54.15</v>
      </c>
      <c r="H2266" t="s">
        <v>2664</v>
      </c>
      <c r="J2266" s="18" t="s">
        <v>4327</v>
      </c>
    </row>
    <row r="2267" spans="3:10" x14ac:dyDescent="0.25">
      <c r="C2267" s="17" t="str">
        <f t="shared" si="36"/>
        <v>28.801011.-122378.8299..CLEAR SCHEDULE.</v>
      </c>
      <c r="E2267">
        <v>28</v>
      </c>
      <c r="F2267">
        <v>801011</v>
      </c>
      <c r="G2267" s="2">
        <v>-1223.78</v>
      </c>
      <c r="H2267" t="s">
        <v>2665</v>
      </c>
      <c r="J2267" s="18" t="s">
        <v>4327</v>
      </c>
    </row>
    <row r="2268" spans="3:10" x14ac:dyDescent="0.25">
      <c r="C2268" s="17" t="str">
        <f t="shared" si="36"/>
        <v>28.801011.-174734.8300..CLEAR SCHEDULE.</v>
      </c>
      <c r="E2268">
        <v>28</v>
      </c>
      <c r="F2268">
        <v>801011</v>
      </c>
      <c r="G2268" s="1">
        <v>-1747.34</v>
      </c>
      <c r="H2268" t="s">
        <v>2666</v>
      </c>
      <c r="J2268" s="18" t="s">
        <v>4327</v>
      </c>
    </row>
    <row r="2269" spans="3:10" x14ac:dyDescent="0.25">
      <c r="C2269" s="17" t="str">
        <f t="shared" si="36"/>
        <v>28.801011.-25561.8303..CLEAR SCHEDULE.</v>
      </c>
      <c r="E2269">
        <v>28</v>
      </c>
      <c r="F2269">
        <v>801011</v>
      </c>
      <c r="G2269" s="2">
        <v>-255.61</v>
      </c>
      <c r="H2269" t="s">
        <v>2667</v>
      </c>
      <c r="J2269" s="18" t="s">
        <v>4327</v>
      </c>
    </row>
    <row r="2270" spans="3:10" x14ac:dyDescent="0.25">
      <c r="C2270" s="17" t="str">
        <f t="shared" si="36"/>
        <v>28.801011.-10000.8304..CLEAR SCHEDULE.</v>
      </c>
      <c r="E2270">
        <v>28</v>
      </c>
      <c r="F2270">
        <v>801011</v>
      </c>
      <c r="G2270" s="1">
        <v>-100</v>
      </c>
      <c r="H2270" t="s">
        <v>2668</v>
      </c>
      <c r="J2270" s="18" t="s">
        <v>4327</v>
      </c>
    </row>
    <row r="2271" spans="3:10" x14ac:dyDescent="0.25">
      <c r="C2271" s="17" t="str">
        <f t="shared" si="36"/>
        <v>28.801011.-10530.8305..CLEAR SCHEDULE.</v>
      </c>
      <c r="E2271">
        <v>28</v>
      </c>
      <c r="F2271">
        <v>801011</v>
      </c>
      <c r="G2271" s="2">
        <v>-105.3</v>
      </c>
      <c r="H2271" t="s">
        <v>2669</v>
      </c>
      <c r="J2271" s="18" t="s">
        <v>4327</v>
      </c>
    </row>
    <row r="2272" spans="3:10" x14ac:dyDescent="0.25">
      <c r="C2272" s="17" t="str">
        <f t="shared" si="36"/>
        <v>28.801011.-150652.8306..CLEAR SCHEDULE.</v>
      </c>
      <c r="E2272">
        <v>28</v>
      </c>
      <c r="F2272">
        <v>801011</v>
      </c>
      <c r="G2272" s="1">
        <v>-1506.52</v>
      </c>
      <c r="H2272" t="s">
        <v>2670</v>
      </c>
      <c r="J2272" s="18" t="s">
        <v>4327</v>
      </c>
    </row>
    <row r="2273" spans="3:10" x14ac:dyDescent="0.25">
      <c r="C2273" s="17" t="str">
        <f t="shared" si="36"/>
        <v>28.801011.-170849.8307..CLEAR SCHEDULE.</v>
      </c>
      <c r="E2273">
        <v>28</v>
      </c>
      <c r="F2273">
        <v>801011</v>
      </c>
      <c r="G2273" s="2">
        <v>-1708.49</v>
      </c>
      <c r="H2273" t="s">
        <v>2671</v>
      </c>
      <c r="J2273" s="18" t="s">
        <v>4327</v>
      </c>
    </row>
    <row r="2274" spans="3:10" x14ac:dyDescent="0.25">
      <c r="C2274" s="17" t="str">
        <f t="shared" si="36"/>
        <v>28.801011.-16724.8309..CLEAR SCHEDULE.</v>
      </c>
      <c r="E2274">
        <v>28</v>
      </c>
      <c r="F2274">
        <v>801011</v>
      </c>
      <c r="G2274" s="1">
        <v>-167.24</v>
      </c>
      <c r="H2274" t="s">
        <v>2672</v>
      </c>
      <c r="J2274" s="18" t="s">
        <v>4327</v>
      </c>
    </row>
    <row r="2275" spans="3:10" x14ac:dyDescent="0.25">
      <c r="C2275" s="17" t="str">
        <f t="shared" si="36"/>
        <v>28.801011.-108359.8316..CLEAR SCHEDULE.</v>
      </c>
      <c r="E2275">
        <v>28</v>
      </c>
      <c r="F2275">
        <v>801011</v>
      </c>
      <c r="G2275" s="2">
        <v>-1083.5899999999999</v>
      </c>
      <c r="H2275" t="s">
        <v>2673</v>
      </c>
      <c r="J2275" s="18" t="s">
        <v>4327</v>
      </c>
    </row>
    <row r="2276" spans="3:10" x14ac:dyDescent="0.25">
      <c r="C2276" s="17" t="str">
        <f t="shared" si="36"/>
        <v>28.801011.-8972.8317..CLEAR SCHEDULE.</v>
      </c>
      <c r="E2276">
        <v>28</v>
      </c>
      <c r="F2276">
        <v>801011</v>
      </c>
      <c r="G2276" s="1">
        <v>-89.72</v>
      </c>
      <c r="H2276" t="s">
        <v>2674</v>
      </c>
      <c r="J2276" s="18" t="s">
        <v>4327</v>
      </c>
    </row>
    <row r="2277" spans="3:10" x14ac:dyDescent="0.25">
      <c r="C2277" s="17" t="str">
        <f t="shared" si="36"/>
        <v>28.801011.-15945.8319..CLEAR SCHEDULE.</v>
      </c>
      <c r="E2277">
        <v>28</v>
      </c>
      <c r="F2277">
        <v>801011</v>
      </c>
      <c r="G2277" s="2">
        <v>-159.44999999999999</v>
      </c>
      <c r="H2277" t="s">
        <v>2675</v>
      </c>
      <c r="J2277" s="18" t="s">
        <v>4327</v>
      </c>
    </row>
    <row r="2278" spans="3:10" x14ac:dyDescent="0.25">
      <c r="C2278" s="17" t="str">
        <f t="shared" si="36"/>
        <v>28.801011.-90663.8320..CLEAR SCHEDULE.</v>
      </c>
      <c r="E2278">
        <v>28</v>
      </c>
      <c r="F2278">
        <v>801011</v>
      </c>
      <c r="G2278" s="1">
        <v>-906.63</v>
      </c>
      <c r="H2278" t="s">
        <v>2676</v>
      </c>
      <c r="J2278" s="18" t="s">
        <v>4327</v>
      </c>
    </row>
    <row r="2279" spans="3:10" x14ac:dyDescent="0.25">
      <c r="C2279" s="17" t="str">
        <f t="shared" si="36"/>
        <v>28.801011.-11309.8323..CLEAR SCHEDULE.</v>
      </c>
      <c r="E2279">
        <v>28</v>
      </c>
      <c r="F2279">
        <v>801011</v>
      </c>
      <c r="G2279" s="2">
        <v>-113.09</v>
      </c>
      <c r="H2279" t="s">
        <v>2677</v>
      </c>
      <c r="J2279" s="18" t="s">
        <v>4327</v>
      </c>
    </row>
    <row r="2280" spans="3:10" x14ac:dyDescent="0.25">
      <c r="C2280" s="17" t="str">
        <f t="shared" si="36"/>
        <v>28.801011.-5415.8325..CLEAR SCHEDULE.</v>
      </c>
      <c r="E2280">
        <v>28</v>
      </c>
      <c r="F2280">
        <v>801011</v>
      </c>
      <c r="G2280" s="1">
        <v>-54.15</v>
      </c>
      <c r="H2280" t="s">
        <v>2678</v>
      </c>
      <c r="J2280" s="18" t="s">
        <v>4327</v>
      </c>
    </row>
    <row r="2281" spans="3:10" x14ac:dyDescent="0.25">
      <c r="C2281" s="17" t="str">
        <f t="shared" si="36"/>
        <v>28.801011.-17565.8326..CLEAR SCHEDULE.</v>
      </c>
      <c r="E2281">
        <v>28</v>
      </c>
      <c r="F2281">
        <v>801011</v>
      </c>
      <c r="G2281" s="2">
        <v>-175.65</v>
      </c>
      <c r="H2281" t="s">
        <v>2679</v>
      </c>
      <c r="J2281" s="18" t="s">
        <v>4327</v>
      </c>
    </row>
    <row r="2282" spans="3:10" x14ac:dyDescent="0.25">
      <c r="C2282" s="17" t="str">
        <f t="shared" si="36"/>
        <v>28.801011.-15945.8327..CLEAR SCHEDULE.</v>
      </c>
      <c r="E2282">
        <v>28</v>
      </c>
      <c r="F2282">
        <v>801011</v>
      </c>
      <c r="G2282" s="1">
        <v>-159.44999999999999</v>
      </c>
      <c r="H2282" t="s">
        <v>2680</v>
      </c>
      <c r="J2282" s="18" t="s">
        <v>4327</v>
      </c>
    </row>
    <row r="2283" spans="3:10" x14ac:dyDescent="0.25">
      <c r="C2283" s="17" t="str">
        <f t="shared" si="36"/>
        <v>28.801011.-14387.8328..CLEAR SCHEDULE.</v>
      </c>
      <c r="E2283">
        <v>28</v>
      </c>
      <c r="F2283">
        <v>801011</v>
      </c>
      <c r="G2283" s="2">
        <v>-143.87</v>
      </c>
      <c r="H2283" t="s">
        <v>2681</v>
      </c>
      <c r="J2283" s="18" t="s">
        <v>4327</v>
      </c>
    </row>
    <row r="2284" spans="3:10" x14ac:dyDescent="0.25">
      <c r="C2284" s="17" t="str">
        <f t="shared" si="36"/>
        <v>28.801011.-9972.8330..CLEAR SCHEDULE.</v>
      </c>
      <c r="E2284">
        <v>28</v>
      </c>
      <c r="F2284">
        <v>801011</v>
      </c>
      <c r="G2284" s="1">
        <v>-99.72</v>
      </c>
      <c r="H2284" t="s">
        <v>2682</v>
      </c>
      <c r="J2284" s="18" t="s">
        <v>4327</v>
      </c>
    </row>
    <row r="2285" spans="3:10" x14ac:dyDescent="0.25">
      <c r="C2285" s="17" t="str">
        <f t="shared" si="36"/>
        <v>28.801011.-39484.8341..CLEAR SCHEDULE.</v>
      </c>
      <c r="E2285">
        <v>28</v>
      </c>
      <c r="F2285">
        <v>801011</v>
      </c>
      <c r="G2285" s="2">
        <v>-394.84</v>
      </c>
      <c r="H2285" t="s">
        <v>2683</v>
      </c>
      <c r="J2285" s="18" t="s">
        <v>4327</v>
      </c>
    </row>
    <row r="2286" spans="3:10" x14ac:dyDescent="0.25">
      <c r="C2286" s="17" t="str">
        <f t="shared" si="36"/>
        <v>28.801011.-46909.8342..CLEAR SCHEDULE.</v>
      </c>
      <c r="E2286">
        <v>28</v>
      </c>
      <c r="F2286">
        <v>801011</v>
      </c>
      <c r="G2286" s="1">
        <v>-469.09</v>
      </c>
      <c r="H2286" t="s">
        <v>2684</v>
      </c>
      <c r="J2286" s="18" t="s">
        <v>4327</v>
      </c>
    </row>
    <row r="2287" spans="3:10" x14ac:dyDescent="0.25">
      <c r="C2287" s="17" t="str">
        <f t="shared" si="36"/>
        <v>28.801011.-15075.8343..CLEAR SCHEDULE.</v>
      </c>
      <c r="E2287">
        <v>28</v>
      </c>
      <c r="F2287">
        <v>801011</v>
      </c>
      <c r="G2287" s="2">
        <v>-150.75</v>
      </c>
      <c r="H2287" t="s">
        <v>2685</v>
      </c>
      <c r="J2287" s="18" t="s">
        <v>4327</v>
      </c>
    </row>
    <row r="2288" spans="3:10" x14ac:dyDescent="0.25">
      <c r="C2288" s="17" t="str">
        <f t="shared" si="36"/>
        <v>28.801011.-14428.8344..CLEAR SCHEDULE.</v>
      </c>
      <c r="E2288">
        <v>28</v>
      </c>
      <c r="F2288">
        <v>801011</v>
      </c>
      <c r="G2288" s="1">
        <v>-144.28</v>
      </c>
      <c r="H2288" t="s">
        <v>2686</v>
      </c>
      <c r="J2288" s="18" t="s">
        <v>4327</v>
      </c>
    </row>
    <row r="2289" spans="3:10" x14ac:dyDescent="0.25">
      <c r="C2289" s="17" t="str">
        <f t="shared" si="36"/>
        <v>28.801011.-74818.8347..CLEAR SCHEDULE.</v>
      </c>
      <c r="E2289">
        <v>28</v>
      </c>
      <c r="F2289">
        <v>801011</v>
      </c>
      <c r="G2289" s="2">
        <v>-748.18</v>
      </c>
      <c r="H2289" t="s">
        <v>2687</v>
      </c>
      <c r="J2289" s="18" t="s">
        <v>4327</v>
      </c>
    </row>
    <row r="2290" spans="3:10" x14ac:dyDescent="0.25">
      <c r="C2290" s="17" t="str">
        <f t="shared" si="36"/>
        <v>28.801011.-19742.8348..CLEAR SCHEDULE.</v>
      </c>
      <c r="E2290">
        <v>28</v>
      </c>
      <c r="F2290">
        <v>801011</v>
      </c>
      <c r="G2290" s="1">
        <v>-197.42</v>
      </c>
      <c r="H2290" t="s">
        <v>2688</v>
      </c>
      <c r="J2290" s="18" t="s">
        <v>4327</v>
      </c>
    </row>
    <row r="2291" spans="3:10" x14ac:dyDescent="0.25">
      <c r="C2291" s="17" t="str">
        <f t="shared" si="36"/>
        <v>28.801011.-17155.8351..CLEAR SCHEDULE.</v>
      </c>
      <c r="E2291">
        <v>28</v>
      </c>
      <c r="F2291">
        <v>801011</v>
      </c>
      <c r="G2291" s="2">
        <v>-171.55</v>
      </c>
      <c r="H2291" t="s">
        <v>2689</v>
      </c>
      <c r="J2291" s="18" t="s">
        <v>4327</v>
      </c>
    </row>
    <row r="2292" spans="3:10" x14ac:dyDescent="0.25">
      <c r="C2292" s="17" t="str">
        <f t="shared" si="36"/>
        <v>28.801011.-736628.8352..CLEAR SCHEDULE.</v>
      </c>
      <c r="E2292">
        <v>28</v>
      </c>
      <c r="F2292">
        <v>801011</v>
      </c>
      <c r="G2292" s="1">
        <v>-7366.28</v>
      </c>
      <c r="H2292" t="s">
        <v>2690</v>
      </c>
      <c r="J2292" s="18" t="s">
        <v>4327</v>
      </c>
    </row>
    <row r="2293" spans="3:10" x14ac:dyDescent="0.25">
      <c r="C2293" s="17" t="str">
        <f t="shared" si="36"/>
        <v>28.801011.-18014.8354..CLEAR SCHEDULE.</v>
      </c>
      <c r="E2293">
        <v>28</v>
      </c>
      <c r="F2293">
        <v>801011</v>
      </c>
      <c r="G2293" s="2">
        <v>-180.14</v>
      </c>
      <c r="H2293" t="s">
        <v>2691</v>
      </c>
      <c r="J2293" s="18" t="s">
        <v>4327</v>
      </c>
    </row>
    <row r="2294" spans="3:10" x14ac:dyDescent="0.25">
      <c r="C2294" s="17" t="str">
        <f t="shared" si="36"/>
        <v>28.801011.-81774.8355..CLEAR SCHEDULE.</v>
      </c>
      <c r="E2294">
        <v>28</v>
      </c>
      <c r="F2294">
        <v>801011</v>
      </c>
      <c r="G2294" s="1">
        <v>-817.74</v>
      </c>
      <c r="H2294" t="s">
        <v>2692</v>
      </c>
      <c r="J2294" s="18" t="s">
        <v>4327</v>
      </c>
    </row>
    <row r="2295" spans="3:10" x14ac:dyDescent="0.25">
      <c r="C2295" s="17" t="str">
        <f t="shared" si="36"/>
        <v>28.801011.-15166.8356..CLEAR SCHEDULE.</v>
      </c>
      <c r="E2295">
        <v>28</v>
      </c>
      <c r="F2295">
        <v>801011</v>
      </c>
      <c r="G2295" s="2">
        <v>-151.66</v>
      </c>
      <c r="H2295" t="s">
        <v>2693</v>
      </c>
      <c r="J2295" s="18" t="s">
        <v>4327</v>
      </c>
    </row>
    <row r="2296" spans="3:10" x14ac:dyDescent="0.25">
      <c r="C2296" s="17" t="str">
        <f t="shared" si="36"/>
        <v>28.801011.-46855.8357..CLEAR SCHEDULE.</v>
      </c>
      <c r="E2296">
        <v>28</v>
      </c>
      <c r="F2296">
        <v>801011</v>
      </c>
      <c r="G2296" s="1">
        <v>-468.55</v>
      </c>
      <c r="H2296" t="s">
        <v>2694</v>
      </c>
      <c r="J2296" s="18" t="s">
        <v>4327</v>
      </c>
    </row>
    <row r="2297" spans="3:10" x14ac:dyDescent="0.25">
      <c r="C2297" s="17" t="str">
        <f t="shared" si="36"/>
        <v>28.801011.-9751.8358..CLEAR SCHEDULE.</v>
      </c>
      <c r="E2297">
        <v>28</v>
      </c>
      <c r="F2297">
        <v>801011</v>
      </c>
      <c r="G2297" s="2">
        <v>-97.51</v>
      </c>
      <c r="H2297" t="s">
        <v>2695</v>
      </c>
      <c r="J2297" s="18" t="s">
        <v>4327</v>
      </c>
    </row>
    <row r="2298" spans="3:10" x14ac:dyDescent="0.25">
      <c r="C2298" s="17" t="str">
        <f t="shared" si="36"/>
        <v>28.801011.-27433.8359..CLEAR SCHEDULE.</v>
      </c>
      <c r="E2298">
        <v>28</v>
      </c>
      <c r="F2298">
        <v>801011</v>
      </c>
      <c r="G2298" s="1">
        <v>-274.33</v>
      </c>
      <c r="H2298" t="s">
        <v>2696</v>
      </c>
      <c r="J2298" s="18" t="s">
        <v>4327</v>
      </c>
    </row>
    <row r="2299" spans="3:10" x14ac:dyDescent="0.25">
      <c r="C2299" s="17" t="str">
        <f t="shared" si="36"/>
        <v>28.801011.-13572.8363..CLEAR SCHEDULE.</v>
      </c>
      <c r="E2299">
        <v>28</v>
      </c>
      <c r="F2299">
        <v>801011</v>
      </c>
      <c r="G2299" s="2">
        <v>-135.72</v>
      </c>
      <c r="H2299" t="s">
        <v>2697</v>
      </c>
      <c r="J2299" s="18" t="s">
        <v>4327</v>
      </c>
    </row>
    <row r="2300" spans="3:10" x14ac:dyDescent="0.25">
      <c r="C2300" s="17" t="str">
        <f t="shared" si="36"/>
        <v>28.801011.-9599.8364..CLEAR SCHEDULE.</v>
      </c>
      <c r="E2300">
        <v>28</v>
      </c>
      <c r="F2300">
        <v>801011</v>
      </c>
      <c r="G2300" s="1">
        <v>-95.99</v>
      </c>
      <c r="H2300" t="s">
        <v>2698</v>
      </c>
      <c r="J2300" s="18" t="s">
        <v>4327</v>
      </c>
    </row>
    <row r="2301" spans="3:10" x14ac:dyDescent="0.25">
      <c r="C2301" s="17" t="str">
        <f t="shared" si="36"/>
        <v>28.801011.-14387.8365..CLEAR SCHEDULE.</v>
      </c>
      <c r="E2301">
        <v>28</v>
      </c>
      <c r="F2301">
        <v>801011</v>
      </c>
      <c r="G2301" s="2">
        <v>-143.87</v>
      </c>
      <c r="H2301" t="s">
        <v>2699</v>
      </c>
      <c r="J2301" s="18" t="s">
        <v>4327</v>
      </c>
    </row>
    <row r="2302" spans="3:10" x14ac:dyDescent="0.25">
      <c r="C2302" s="17" t="str">
        <f t="shared" si="36"/>
        <v>28.801011.-14387.8366..CLEAR SCHEDULE.</v>
      </c>
      <c r="E2302">
        <v>28</v>
      </c>
      <c r="F2302">
        <v>801011</v>
      </c>
      <c r="G2302" s="1">
        <v>-143.87</v>
      </c>
      <c r="H2302" t="s">
        <v>2700</v>
      </c>
      <c r="J2302" s="18" t="s">
        <v>4327</v>
      </c>
    </row>
    <row r="2303" spans="3:10" x14ac:dyDescent="0.25">
      <c r="C2303" s="17" t="str">
        <f t="shared" si="36"/>
        <v>28.801011.-15945.8367..CLEAR SCHEDULE.</v>
      </c>
      <c r="E2303">
        <v>28</v>
      </c>
      <c r="F2303">
        <v>801011</v>
      </c>
      <c r="G2303" s="2">
        <v>-159.44999999999999</v>
      </c>
      <c r="H2303" t="s">
        <v>2701</v>
      </c>
      <c r="J2303" s="18" t="s">
        <v>4327</v>
      </c>
    </row>
    <row r="2304" spans="3:10" x14ac:dyDescent="0.25">
      <c r="C2304" s="17" t="str">
        <f t="shared" si="36"/>
        <v>28.801011.-9871.8368..CLEAR SCHEDULE.</v>
      </c>
      <c r="E2304">
        <v>28</v>
      </c>
      <c r="F2304">
        <v>801011</v>
      </c>
      <c r="G2304" s="1">
        <v>-98.71</v>
      </c>
      <c r="H2304" t="s">
        <v>2702</v>
      </c>
      <c r="J2304" s="18" t="s">
        <v>4327</v>
      </c>
    </row>
    <row r="2305" spans="3:10" x14ac:dyDescent="0.25">
      <c r="C2305" s="17" t="str">
        <f t="shared" si="36"/>
        <v>28.801011.-58056.8369..CLEAR SCHEDULE.</v>
      </c>
      <c r="E2305">
        <v>28</v>
      </c>
      <c r="F2305">
        <v>801011</v>
      </c>
      <c r="G2305" s="2">
        <v>-580.55999999999995</v>
      </c>
      <c r="H2305" t="s">
        <v>2703</v>
      </c>
      <c r="J2305" s="18" t="s">
        <v>4327</v>
      </c>
    </row>
    <row r="2306" spans="3:10" x14ac:dyDescent="0.25">
      <c r="C2306" s="17" t="str">
        <f t="shared" si="36"/>
        <v>28.801011.-57510.8370..CLEAR SCHEDULE.</v>
      </c>
      <c r="E2306">
        <v>28</v>
      </c>
      <c r="F2306">
        <v>801011</v>
      </c>
      <c r="G2306" s="1">
        <v>-575.1</v>
      </c>
      <c r="H2306" t="s">
        <v>2704</v>
      </c>
      <c r="J2306" s="18" t="s">
        <v>4327</v>
      </c>
    </row>
    <row r="2307" spans="3:10" x14ac:dyDescent="0.25">
      <c r="C2307" s="17" t="str">
        <f t="shared" si="36"/>
        <v>28.801011.-63157.8372..CLEAR SCHEDULE.</v>
      </c>
      <c r="E2307">
        <v>28</v>
      </c>
      <c r="F2307">
        <v>801011</v>
      </c>
      <c r="G2307" s="2">
        <v>-631.57000000000005</v>
      </c>
      <c r="H2307" t="s">
        <v>2705</v>
      </c>
      <c r="J2307" s="18" t="s">
        <v>4327</v>
      </c>
    </row>
    <row r="2308" spans="3:10" x14ac:dyDescent="0.25">
      <c r="C2308" s="17" t="str">
        <f t="shared" si="36"/>
        <v>28.801011.-14062.8373..CLEAR SCHEDULE.</v>
      </c>
      <c r="E2308">
        <v>28</v>
      </c>
      <c r="F2308">
        <v>801011</v>
      </c>
      <c r="G2308" s="1">
        <v>-140.62</v>
      </c>
      <c r="H2308" t="s">
        <v>2706</v>
      </c>
      <c r="J2308" s="18" t="s">
        <v>4327</v>
      </c>
    </row>
    <row r="2309" spans="3:10" x14ac:dyDescent="0.25">
      <c r="C2309" s="17" t="str">
        <f t="shared" si="36"/>
        <v>28.801011.-17500.8375..CLEAR SCHEDULE.</v>
      </c>
      <c r="E2309">
        <v>28</v>
      </c>
      <c r="F2309">
        <v>801011</v>
      </c>
      <c r="G2309" s="2">
        <v>-175</v>
      </c>
      <c r="H2309" t="s">
        <v>2707</v>
      </c>
      <c r="J2309" s="18" t="s">
        <v>4327</v>
      </c>
    </row>
    <row r="2310" spans="3:10" x14ac:dyDescent="0.25">
      <c r="C2310" s="17" t="str">
        <f t="shared" si="36"/>
        <v>28.801011.-8653.8378..CLEAR SCHEDULE.</v>
      </c>
      <c r="E2310">
        <v>28</v>
      </c>
      <c r="F2310">
        <v>801011</v>
      </c>
      <c r="G2310" s="1">
        <v>-86.53</v>
      </c>
      <c r="H2310" t="s">
        <v>2708</v>
      </c>
      <c r="J2310" s="18" t="s">
        <v>4327</v>
      </c>
    </row>
    <row r="2311" spans="3:10" x14ac:dyDescent="0.25">
      <c r="C2311" s="17" t="str">
        <f t="shared" si="36"/>
        <v>28.801011.-14387.8379..CLEAR SCHEDULE.</v>
      </c>
      <c r="E2311">
        <v>28</v>
      </c>
      <c r="F2311">
        <v>801011</v>
      </c>
      <c r="G2311" s="2">
        <v>-143.87</v>
      </c>
      <c r="H2311" t="s">
        <v>2709</v>
      </c>
      <c r="J2311" s="18" t="s">
        <v>4327</v>
      </c>
    </row>
    <row r="2312" spans="3:10" x14ac:dyDescent="0.25">
      <c r="C2312" s="17" t="str">
        <f t="shared" si="36"/>
        <v>28.801011.-11309.8380..CLEAR SCHEDULE.</v>
      </c>
      <c r="E2312">
        <v>28</v>
      </c>
      <c r="F2312">
        <v>801011</v>
      </c>
      <c r="G2312" s="1">
        <v>-113.09</v>
      </c>
      <c r="H2312" t="s">
        <v>2710</v>
      </c>
      <c r="J2312" s="18" t="s">
        <v>4327</v>
      </c>
    </row>
    <row r="2313" spans="3:10" x14ac:dyDescent="0.25">
      <c r="C2313" s="17" t="str">
        <f t="shared" si="36"/>
        <v>28.801011.-71295.8382..CLEAR SCHEDULE.</v>
      </c>
      <c r="E2313">
        <v>28</v>
      </c>
      <c r="F2313">
        <v>801011</v>
      </c>
      <c r="G2313" s="2">
        <v>-712.95</v>
      </c>
      <c r="H2313" t="s">
        <v>2711</v>
      </c>
      <c r="J2313" s="18" t="s">
        <v>4327</v>
      </c>
    </row>
    <row r="2314" spans="3:10" x14ac:dyDescent="0.25">
      <c r="C2314" s="17" t="str">
        <f t="shared" si="36"/>
        <v>28.801011.-15945.8384..CLEAR SCHEDULE.</v>
      </c>
      <c r="E2314">
        <v>28</v>
      </c>
      <c r="F2314">
        <v>801011</v>
      </c>
      <c r="G2314" s="1">
        <v>-159.44999999999999</v>
      </c>
      <c r="H2314" t="s">
        <v>2712</v>
      </c>
      <c r="J2314" s="18" t="s">
        <v>4327</v>
      </c>
    </row>
    <row r="2315" spans="3:10" x14ac:dyDescent="0.25">
      <c r="C2315" s="17" t="str">
        <f t="shared" ref="C2315:C2378" si="37">IF(G2315=0,"",(E2315&amp;"."&amp;F2315&amp;"."&amp;G2315*100&amp;"."&amp;H2315&amp;"."&amp;I2315&amp;"."&amp;J2315&amp;"."&amp;K2315))</f>
        <v>28.801011.-32811.8385..CLEAR SCHEDULE.</v>
      </c>
      <c r="E2315">
        <v>28</v>
      </c>
      <c r="F2315">
        <v>801011</v>
      </c>
      <c r="G2315" s="2">
        <v>-328.11</v>
      </c>
      <c r="H2315" t="s">
        <v>2713</v>
      </c>
      <c r="J2315" s="18" t="s">
        <v>4327</v>
      </c>
    </row>
    <row r="2316" spans="3:10" x14ac:dyDescent="0.25">
      <c r="C2316" s="17" t="str">
        <f t="shared" si="37"/>
        <v>28.801011.-47212.8386..CLEAR SCHEDULE.</v>
      </c>
      <c r="E2316">
        <v>28</v>
      </c>
      <c r="F2316">
        <v>801011</v>
      </c>
      <c r="G2316" s="1">
        <v>-472.12</v>
      </c>
      <c r="H2316" t="s">
        <v>2714</v>
      </c>
      <c r="J2316" s="18" t="s">
        <v>4327</v>
      </c>
    </row>
    <row r="2317" spans="3:10" x14ac:dyDescent="0.25">
      <c r="C2317" s="17" t="str">
        <f t="shared" si="37"/>
        <v>28.801011.-13243.8387..CLEAR SCHEDULE.</v>
      </c>
      <c r="E2317">
        <v>28</v>
      </c>
      <c r="F2317">
        <v>801011</v>
      </c>
      <c r="G2317" s="2">
        <v>-132.43</v>
      </c>
      <c r="H2317" t="s">
        <v>2715</v>
      </c>
      <c r="J2317" s="18" t="s">
        <v>4327</v>
      </c>
    </row>
    <row r="2318" spans="3:10" x14ac:dyDescent="0.25">
      <c r="C2318" s="17" t="str">
        <f t="shared" si="37"/>
        <v>28.801011.-8972.8391..CLEAR SCHEDULE.</v>
      </c>
      <c r="E2318">
        <v>28</v>
      </c>
      <c r="F2318">
        <v>801011</v>
      </c>
      <c r="G2318" s="1">
        <v>-89.72</v>
      </c>
      <c r="H2318" t="s">
        <v>2716</v>
      </c>
      <c r="J2318" s="18" t="s">
        <v>4327</v>
      </c>
    </row>
    <row r="2319" spans="3:10" x14ac:dyDescent="0.25">
      <c r="C2319" s="17" t="str">
        <f t="shared" si="37"/>
        <v>28.801011.-59276.8392..CLEAR SCHEDULE.</v>
      </c>
      <c r="E2319">
        <v>28</v>
      </c>
      <c r="F2319">
        <v>801011</v>
      </c>
      <c r="G2319" s="2">
        <v>-592.76</v>
      </c>
      <c r="H2319" t="s">
        <v>2717</v>
      </c>
      <c r="J2319" s="18" t="s">
        <v>4327</v>
      </c>
    </row>
    <row r="2320" spans="3:10" x14ac:dyDescent="0.25">
      <c r="C2320" s="17" t="str">
        <f t="shared" si="37"/>
        <v>28.801011.-105840.8393..CLEAR SCHEDULE.</v>
      </c>
      <c r="E2320">
        <v>28</v>
      </c>
      <c r="F2320">
        <v>801011</v>
      </c>
      <c r="G2320" s="1">
        <v>-1058.4000000000001</v>
      </c>
      <c r="H2320" t="s">
        <v>2718</v>
      </c>
      <c r="J2320" s="18" t="s">
        <v>4327</v>
      </c>
    </row>
    <row r="2321" spans="3:10" x14ac:dyDescent="0.25">
      <c r="C2321" s="17" t="str">
        <f t="shared" si="37"/>
        <v>28.801011.-14387.8395..CLEAR SCHEDULE.</v>
      </c>
      <c r="E2321">
        <v>28</v>
      </c>
      <c r="F2321">
        <v>801011</v>
      </c>
      <c r="G2321" s="2">
        <v>-143.87</v>
      </c>
      <c r="H2321" t="s">
        <v>2719</v>
      </c>
      <c r="J2321" s="18" t="s">
        <v>4327</v>
      </c>
    </row>
    <row r="2322" spans="3:10" x14ac:dyDescent="0.25">
      <c r="C2322" s="17" t="str">
        <f t="shared" si="37"/>
        <v>28.801011.-8653.8396..CLEAR SCHEDULE.</v>
      </c>
      <c r="E2322">
        <v>28</v>
      </c>
      <c r="F2322">
        <v>801011</v>
      </c>
      <c r="G2322" s="1">
        <v>-86.53</v>
      </c>
      <c r="H2322" t="s">
        <v>2720</v>
      </c>
      <c r="J2322" s="18" t="s">
        <v>4327</v>
      </c>
    </row>
    <row r="2323" spans="3:10" x14ac:dyDescent="0.25">
      <c r="C2323" s="17" t="str">
        <f t="shared" si="37"/>
        <v>28.801011.-6136.8397..CLEAR SCHEDULE.</v>
      </c>
      <c r="E2323">
        <v>28</v>
      </c>
      <c r="F2323">
        <v>801011</v>
      </c>
      <c r="G2323" s="2">
        <v>-61.36</v>
      </c>
      <c r="H2323" t="s">
        <v>2721</v>
      </c>
      <c r="J2323" s="18" t="s">
        <v>4327</v>
      </c>
    </row>
    <row r="2324" spans="3:10" x14ac:dyDescent="0.25">
      <c r="C2324" s="17" t="str">
        <f t="shared" si="37"/>
        <v>28.801011.-19227.8400..CLEAR SCHEDULE.</v>
      </c>
      <c r="E2324">
        <v>28</v>
      </c>
      <c r="F2324">
        <v>801011</v>
      </c>
      <c r="G2324" s="1">
        <v>-192.27</v>
      </c>
      <c r="H2324" t="s">
        <v>2722</v>
      </c>
      <c r="J2324" s="18" t="s">
        <v>4327</v>
      </c>
    </row>
    <row r="2325" spans="3:10" x14ac:dyDescent="0.25">
      <c r="C2325" s="17" t="str">
        <f t="shared" si="37"/>
        <v>28.801011.-27865.8403..CLEAR SCHEDULE.</v>
      </c>
      <c r="E2325">
        <v>28</v>
      </c>
      <c r="F2325">
        <v>801011</v>
      </c>
      <c r="G2325" s="2">
        <v>-278.64999999999998</v>
      </c>
      <c r="H2325" t="s">
        <v>2723</v>
      </c>
      <c r="J2325" s="18" t="s">
        <v>4327</v>
      </c>
    </row>
    <row r="2326" spans="3:10" x14ac:dyDescent="0.25">
      <c r="C2326" s="17" t="str">
        <f t="shared" si="37"/>
        <v>28.801011.-77859.8407..CLEAR SCHEDULE.</v>
      </c>
      <c r="E2326">
        <v>28</v>
      </c>
      <c r="F2326">
        <v>801011</v>
      </c>
      <c r="G2326" s="1">
        <v>-778.59</v>
      </c>
      <c r="H2326" t="s">
        <v>2724</v>
      </c>
      <c r="J2326" s="18" t="s">
        <v>4327</v>
      </c>
    </row>
    <row r="2327" spans="3:10" x14ac:dyDescent="0.25">
      <c r="C2327" s="17" t="str">
        <f t="shared" si="37"/>
        <v>28.801011.-105671.8411..CLEAR SCHEDULE.</v>
      </c>
      <c r="E2327">
        <v>28</v>
      </c>
      <c r="F2327">
        <v>801011</v>
      </c>
      <c r="G2327" s="2">
        <v>-1056.71</v>
      </c>
      <c r="H2327" t="s">
        <v>2725</v>
      </c>
      <c r="J2327" s="18" t="s">
        <v>4327</v>
      </c>
    </row>
    <row r="2328" spans="3:10" x14ac:dyDescent="0.25">
      <c r="C2328" s="17" t="str">
        <f t="shared" si="37"/>
        <v>28.801011.-8972.8413..CLEAR SCHEDULE.</v>
      </c>
      <c r="E2328">
        <v>28</v>
      </c>
      <c r="F2328">
        <v>801011</v>
      </c>
      <c r="G2328" s="1">
        <v>-89.72</v>
      </c>
      <c r="H2328" t="s">
        <v>2726</v>
      </c>
      <c r="J2328" s="18" t="s">
        <v>4327</v>
      </c>
    </row>
    <row r="2329" spans="3:10" x14ac:dyDescent="0.25">
      <c r="C2329" s="17" t="str">
        <f t="shared" si="37"/>
        <v>28.801011.-11101.8415..CLEAR SCHEDULE.</v>
      </c>
      <c r="E2329">
        <v>28</v>
      </c>
      <c r="F2329">
        <v>801011</v>
      </c>
      <c r="G2329" s="2">
        <v>-111.01</v>
      </c>
      <c r="H2329" t="s">
        <v>2727</v>
      </c>
      <c r="J2329" s="18" t="s">
        <v>4327</v>
      </c>
    </row>
    <row r="2330" spans="3:10" x14ac:dyDescent="0.25">
      <c r="C2330" s="17" t="str">
        <f t="shared" si="37"/>
        <v>28.801011.-219349.8416..CLEAR SCHEDULE.</v>
      </c>
      <c r="E2330">
        <v>28</v>
      </c>
      <c r="F2330">
        <v>801011</v>
      </c>
      <c r="G2330" s="1">
        <v>-2193.4899999999998</v>
      </c>
      <c r="H2330" t="s">
        <v>2728</v>
      </c>
      <c r="J2330" s="18" t="s">
        <v>4327</v>
      </c>
    </row>
    <row r="2331" spans="3:10" x14ac:dyDescent="0.25">
      <c r="C2331" s="17" t="str">
        <f t="shared" si="37"/>
        <v>28.801011.-23311.8418..CLEAR SCHEDULE.</v>
      </c>
      <c r="E2331">
        <v>28</v>
      </c>
      <c r="F2331">
        <v>801011</v>
      </c>
      <c r="G2331" s="2">
        <v>-233.11</v>
      </c>
      <c r="H2331" t="s">
        <v>2729</v>
      </c>
      <c r="J2331" s="18" t="s">
        <v>4327</v>
      </c>
    </row>
    <row r="2332" spans="3:10" x14ac:dyDescent="0.25">
      <c r="C2332" s="17" t="str">
        <f t="shared" si="37"/>
        <v>28.801011.-9457.8419..CLEAR SCHEDULE.</v>
      </c>
      <c r="E2332">
        <v>28</v>
      </c>
      <c r="F2332">
        <v>801011</v>
      </c>
      <c r="G2332" s="1">
        <v>-94.57</v>
      </c>
      <c r="H2332" t="s">
        <v>2730</v>
      </c>
      <c r="J2332" s="18" t="s">
        <v>4327</v>
      </c>
    </row>
    <row r="2333" spans="3:10" x14ac:dyDescent="0.25">
      <c r="C2333" s="17" t="str">
        <f t="shared" si="37"/>
        <v>28.801011.-14309.8428..CLEAR SCHEDULE.</v>
      </c>
      <c r="E2333">
        <v>28</v>
      </c>
      <c r="F2333">
        <v>801011</v>
      </c>
      <c r="G2333" s="2">
        <v>-143.09</v>
      </c>
      <c r="H2333" t="s">
        <v>2731</v>
      </c>
      <c r="J2333" s="18" t="s">
        <v>4327</v>
      </c>
    </row>
    <row r="2334" spans="3:10" x14ac:dyDescent="0.25">
      <c r="C2334" s="17" t="str">
        <f t="shared" si="37"/>
        <v>28.801011.-14387.8429..CLEAR SCHEDULE.</v>
      </c>
      <c r="E2334">
        <v>28</v>
      </c>
      <c r="F2334">
        <v>801011</v>
      </c>
      <c r="G2334" s="1">
        <v>-143.87</v>
      </c>
      <c r="H2334" t="s">
        <v>2732</v>
      </c>
      <c r="J2334" s="18" t="s">
        <v>4327</v>
      </c>
    </row>
    <row r="2335" spans="3:10" x14ac:dyDescent="0.25">
      <c r="C2335" s="17" t="str">
        <f t="shared" si="37"/>
        <v>28.801011.-72562.8430..CLEAR SCHEDULE.</v>
      </c>
      <c r="E2335">
        <v>28</v>
      </c>
      <c r="F2335">
        <v>801011</v>
      </c>
      <c r="G2335" s="2">
        <v>-725.62</v>
      </c>
      <c r="H2335" t="s">
        <v>2733</v>
      </c>
      <c r="J2335" s="18" t="s">
        <v>4327</v>
      </c>
    </row>
    <row r="2336" spans="3:10" x14ac:dyDescent="0.25">
      <c r="C2336" s="17" t="str">
        <f t="shared" si="37"/>
        <v>28.801011.-2662.8431..CLEAR SCHEDULE.</v>
      </c>
      <c r="E2336">
        <v>28</v>
      </c>
      <c r="F2336">
        <v>801011</v>
      </c>
      <c r="G2336" s="1">
        <v>-26.62</v>
      </c>
      <c r="H2336" t="s">
        <v>2734</v>
      </c>
      <c r="J2336" s="18" t="s">
        <v>4327</v>
      </c>
    </row>
    <row r="2337" spans="3:10" x14ac:dyDescent="0.25">
      <c r="C2337" s="17" t="str">
        <f t="shared" si="37"/>
        <v>28.801011.-28309.8432..CLEAR SCHEDULE.</v>
      </c>
      <c r="E2337">
        <v>28</v>
      </c>
      <c r="F2337">
        <v>801011</v>
      </c>
      <c r="G2337" s="2">
        <v>-283.08999999999997</v>
      </c>
      <c r="H2337" t="s">
        <v>2735</v>
      </c>
      <c r="J2337" s="18" t="s">
        <v>4327</v>
      </c>
    </row>
    <row r="2338" spans="3:10" x14ac:dyDescent="0.25">
      <c r="C2338" s="17" t="str">
        <f t="shared" si="37"/>
        <v>28.801011.-100960.8434..CLEAR SCHEDULE.</v>
      </c>
      <c r="E2338">
        <v>28</v>
      </c>
      <c r="F2338">
        <v>801011</v>
      </c>
      <c r="G2338" s="1">
        <v>-1009.6</v>
      </c>
      <c r="H2338" t="s">
        <v>2736</v>
      </c>
      <c r="J2338" s="18" t="s">
        <v>4327</v>
      </c>
    </row>
    <row r="2339" spans="3:10" x14ac:dyDescent="0.25">
      <c r="C2339" s="17" t="str">
        <f t="shared" si="37"/>
        <v>28.801011.-57690.8435..CLEAR SCHEDULE.</v>
      </c>
      <c r="E2339">
        <v>28</v>
      </c>
      <c r="F2339">
        <v>801011</v>
      </c>
      <c r="G2339" s="2">
        <v>-576.9</v>
      </c>
      <c r="H2339" t="s">
        <v>2737</v>
      </c>
      <c r="J2339" s="18" t="s">
        <v>4327</v>
      </c>
    </row>
    <row r="2340" spans="3:10" x14ac:dyDescent="0.25">
      <c r="C2340" s="17" t="str">
        <f t="shared" si="37"/>
        <v>28.801011.-25148.8437..CLEAR SCHEDULE.</v>
      </c>
      <c r="E2340">
        <v>28</v>
      </c>
      <c r="F2340">
        <v>801011</v>
      </c>
      <c r="G2340" s="1">
        <v>-251.48</v>
      </c>
      <c r="H2340" t="s">
        <v>2738</v>
      </c>
      <c r="J2340" s="18" t="s">
        <v>4327</v>
      </c>
    </row>
    <row r="2341" spans="3:10" x14ac:dyDescent="0.25">
      <c r="C2341" s="17" t="str">
        <f t="shared" si="37"/>
        <v>28.801011.-42075.8438..CLEAR SCHEDULE.</v>
      </c>
      <c r="E2341">
        <v>28</v>
      </c>
      <c r="F2341">
        <v>801011</v>
      </c>
      <c r="G2341" s="2">
        <v>-420.75</v>
      </c>
      <c r="H2341" t="s">
        <v>2739</v>
      </c>
      <c r="J2341" s="18" t="s">
        <v>4327</v>
      </c>
    </row>
    <row r="2342" spans="3:10" x14ac:dyDescent="0.25">
      <c r="C2342" s="17" t="str">
        <f t="shared" si="37"/>
        <v>28.801011.-187098.8442..CLEAR SCHEDULE.</v>
      </c>
      <c r="E2342">
        <v>28</v>
      </c>
      <c r="F2342">
        <v>801011</v>
      </c>
      <c r="G2342" s="1">
        <v>-1870.98</v>
      </c>
      <c r="H2342" t="s">
        <v>2740</v>
      </c>
      <c r="J2342" s="18" t="s">
        <v>4327</v>
      </c>
    </row>
    <row r="2343" spans="3:10" x14ac:dyDescent="0.25">
      <c r="C2343" s="17" t="str">
        <f t="shared" si="37"/>
        <v>28.801011.-33441.8444..CLEAR SCHEDULE.</v>
      </c>
      <c r="E2343">
        <v>28</v>
      </c>
      <c r="F2343">
        <v>801011</v>
      </c>
      <c r="G2343" s="2">
        <v>-334.41</v>
      </c>
      <c r="H2343" t="s">
        <v>2741</v>
      </c>
      <c r="J2343" s="18" t="s">
        <v>4327</v>
      </c>
    </row>
    <row r="2344" spans="3:10" x14ac:dyDescent="0.25">
      <c r="C2344" s="17" t="str">
        <f t="shared" si="37"/>
        <v>28.801011.-47015.8445..CLEAR SCHEDULE.</v>
      </c>
      <c r="E2344">
        <v>28</v>
      </c>
      <c r="F2344">
        <v>801011</v>
      </c>
      <c r="G2344" s="1">
        <v>-470.15</v>
      </c>
      <c r="H2344" t="s">
        <v>2742</v>
      </c>
      <c r="J2344" s="18" t="s">
        <v>4327</v>
      </c>
    </row>
    <row r="2345" spans="3:10" x14ac:dyDescent="0.25">
      <c r="C2345" s="17" t="str">
        <f t="shared" si="37"/>
        <v>28.801011.-17500.8446..CLEAR SCHEDULE.</v>
      </c>
      <c r="E2345">
        <v>28</v>
      </c>
      <c r="F2345">
        <v>801011</v>
      </c>
      <c r="G2345" s="2">
        <v>-175</v>
      </c>
      <c r="H2345" t="s">
        <v>2743</v>
      </c>
      <c r="J2345" s="18" t="s">
        <v>4327</v>
      </c>
    </row>
    <row r="2346" spans="3:10" x14ac:dyDescent="0.25">
      <c r="C2346" s="17" t="str">
        <f t="shared" si="37"/>
        <v>28.801011.-13702.8450..CLEAR SCHEDULE.</v>
      </c>
      <c r="E2346">
        <v>28</v>
      </c>
      <c r="F2346">
        <v>801011</v>
      </c>
      <c r="G2346" s="1">
        <v>-137.02000000000001</v>
      </c>
      <c r="H2346" t="s">
        <v>2744</v>
      </c>
      <c r="J2346" s="18" t="s">
        <v>4327</v>
      </c>
    </row>
    <row r="2347" spans="3:10" x14ac:dyDescent="0.25">
      <c r="C2347" s="17" t="str">
        <f t="shared" si="37"/>
        <v>28.801011.-15945.8452..CLEAR SCHEDULE.</v>
      </c>
      <c r="E2347">
        <v>28</v>
      </c>
      <c r="F2347">
        <v>801011</v>
      </c>
      <c r="G2347" s="2">
        <v>-159.44999999999999</v>
      </c>
      <c r="H2347" t="s">
        <v>2745</v>
      </c>
      <c r="J2347" s="18" t="s">
        <v>4327</v>
      </c>
    </row>
    <row r="2348" spans="3:10" x14ac:dyDescent="0.25">
      <c r="C2348" s="17" t="str">
        <f t="shared" si="37"/>
        <v>28.801011.-103855.8454..CLEAR SCHEDULE.</v>
      </c>
      <c r="E2348">
        <v>28</v>
      </c>
      <c r="F2348">
        <v>801011</v>
      </c>
      <c r="G2348" s="1">
        <v>-1038.55</v>
      </c>
      <c r="H2348" t="s">
        <v>2746</v>
      </c>
      <c r="J2348" s="18" t="s">
        <v>4327</v>
      </c>
    </row>
    <row r="2349" spans="3:10" x14ac:dyDescent="0.25">
      <c r="C2349" s="17" t="str">
        <f t="shared" si="37"/>
        <v>28.801011.-10000.8455..CLEAR SCHEDULE.</v>
      </c>
      <c r="E2349">
        <v>28</v>
      </c>
      <c r="F2349">
        <v>801011</v>
      </c>
      <c r="G2349" s="2">
        <v>-100</v>
      </c>
      <c r="H2349" t="s">
        <v>2747</v>
      </c>
      <c r="J2349" s="18" t="s">
        <v>4327</v>
      </c>
    </row>
    <row r="2350" spans="3:10" x14ac:dyDescent="0.25">
      <c r="C2350" s="17" t="str">
        <f t="shared" si="37"/>
        <v>28.801011.-8972.8458..CLEAR SCHEDULE.</v>
      </c>
      <c r="E2350">
        <v>28</v>
      </c>
      <c r="F2350">
        <v>801011</v>
      </c>
      <c r="G2350" s="1">
        <v>-89.72</v>
      </c>
      <c r="H2350" t="s">
        <v>2748</v>
      </c>
      <c r="J2350" s="18" t="s">
        <v>4327</v>
      </c>
    </row>
    <row r="2351" spans="3:10" x14ac:dyDescent="0.25">
      <c r="C2351" s="17" t="str">
        <f t="shared" si="37"/>
        <v>28.801011.-15166.8459..CLEAR SCHEDULE.</v>
      </c>
      <c r="E2351">
        <v>28</v>
      </c>
      <c r="F2351">
        <v>801011</v>
      </c>
      <c r="G2351" s="2">
        <v>-151.66</v>
      </c>
      <c r="H2351" t="s">
        <v>2749</v>
      </c>
      <c r="J2351" s="18" t="s">
        <v>4327</v>
      </c>
    </row>
    <row r="2352" spans="3:10" x14ac:dyDescent="0.25">
      <c r="C2352" s="17" t="str">
        <f t="shared" si="37"/>
        <v>28.801011.-8523.8460..CLEAR SCHEDULE.</v>
      </c>
      <c r="E2352">
        <v>28</v>
      </c>
      <c r="F2352">
        <v>801011</v>
      </c>
      <c r="G2352" s="1">
        <v>-85.23</v>
      </c>
      <c r="H2352" t="s">
        <v>2750</v>
      </c>
      <c r="J2352" s="18" t="s">
        <v>4327</v>
      </c>
    </row>
    <row r="2353" spans="3:10" x14ac:dyDescent="0.25">
      <c r="C2353" s="17" t="str">
        <f t="shared" si="37"/>
        <v>28.801011.-15945.8461..CLEAR SCHEDULE.</v>
      </c>
      <c r="E2353">
        <v>28</v>
      </c>
      <c r="F2353">
        <v>801011</v>
      </c>
      <c r="G2353" s="2">
        <v>-159.44999999999999</v>
      </c>
      <c r="H2353" t="s">
        <v>2751</v>
      </c>
      <c r="J2353" s="18" t="s">
        <v>4327</v>
      </c>
    </row>
    <row r="2354" spans="3:10" x14ac:dyDescent="0.25">
      <c r="C2354" s="17" t="str">
        <f t="shared" si="37"/>
        <v>28.801011.-10530.8466..CLEAR SCHEDULE.</v>
      </c>
      <c r="E2354">
        <v>28</v>
      </c>
      <c r="F2354">
        <v>801011</v>
      </c>
      <c r="G2354" s="1">
        <v>-105.3</v>
      </c>
      <c r="H2354" t="s">
        <v>2752</v>
      </c>
      <c r="J2354" s="18" t="s">
        <v>4327</v>
      </c>
    </row>
    <row r="2355" spans="3:10" x14ac:dyDescent="0.25">
      <c r="C2355" s="17" t="str">
        <f t="shared" si="37"/>
        <v>28.801011.-10534.8469..CLEAR SCHEDULE.</v>
      </c>
      <c r="E2355">
        <v>28</v>
      </c>
      <c r="F2355">
        <v>801011</v>
      </c>
      <c r="G2355" s="2">
        <v>-105.34</v>
      </c>
      <c r="H2355" t="s">
        <v>2753</v>
      </c>
      <c r="J2355" s="18" t="s">
        <v>4327</v>
      </c>
    </row>
    <row r="2356" spans="3:10" x14ac:dyDescent="0.25">
      <c r="C2356" s="17" t="str">
        <f t="shared" si="37"/>
        <v>28.801011.-15945.8470..CLEAR SCHEDULE.</v>
      </c>
      <c r="E2356">
        <v>28</v>
      </c>
      <c r="F2356">
        <v>801011</v>
      </c>
      <c r="G2356" s="1">
        <v>-159.44999999999999</v>
      </c>
      <c r="H2356" t="s">
        <v>2754</v>
      </c>
      <c r="J2356" s="18" t="s">
        <v>4327</v>
      </c>
    </row>
    <row r="2357" spans="3:10" x14ac:dyDescent="0.25">
      <c r="C2357" s="17" t="str">
        <f t="shared" si="37"/>
        <v>28.801011.-10530.8471..CLEAR SCHEDULE.</v>
      </c>
      <c r="E2357">
        <v>28</v>
      </c>
      <c r="F2357">
        <v>801011</v>
      </c>
      <c r="G2357" s="2">
        <v>-105.3</v>
      </c>
      <c r="H2357" t="s">
        <v>2755</v>
      </c>
      <c r="J2357" s="18" t="s">
        <v>4327</v>
      </c>
    </row>
    <row r="2358" spans="3:10" x14ac:dyDescent="0.25">
      <c r="C2358" s="17" t="str">
        <f t="shared" si="37"/>
        <v>28.801011.-154922.8474..CLEAR SCHEDULE.</v>
      </c>
      <c r="E2358">
        <v>28</v>
      </c>
      <c r="F2358">
        <v>801011</v>
      </c>
      <c r="G2358" s="1">
        <v>-1549.22</v>
      </c>
      <c r="H2358" t="s">
        <v>2756</v>
      </c>
      <c r="J2358" s="18" t="s">
        <v>4327</v>
      </c>
    </row>
    <row r="2359" spans="3:10" x14ac:dyDescent="0.25">
      <c r="C2359" s="17" t="str">
        <f t="shared" si="37"/>
        <v>28.801011.-163432.8478..CLEAR SCHEDULE.</v>
      </c>
      <c r="E2359">
        <v>28</v>
      </c>
      <c r="F2359">
        <v>801011</v>
      </c>
      <c r="G2359" s="2">
        <v>-1634.32</v>
      </c>
      <c r="H2359" t="s">
        <v>2757</v>
      </c>
      <c r="J2359" s="18" t="s">
        <v>4327</v>
      </c>
    </row>
    <row r="2360" spans="3:10" x14ac:dyDescent="0.25">
      <c r="C2360" s="17" t="str">
        <f t="shared" si="37"/>
        <v>28.801011.-10122.8480..CLEAR SCHEDULE.</v>
      </c>
      <c r="E2360">
        <v>28</v>
      </c>
      <c r="F2360">
        <v>801011</v>
      </c>
      <c r="G2360" s="1">
        <v>-101.22</v>
      </c>
      <c r="H2360" t="s">
        <v>2758</v>
      </c>
      <c r="J2360" s="18" t="s">
        <v>4327</v>
      </c>
    </row>
    <row r="2361" spans="3:10" x14ac:dyDescent="0.25">
      <c r="C2361" s="17" t="str">
        <f t="shared" si="37"/>
        <v>28.801011.-13590.8481..CLEAR SCHEDULE.</v>
      </c>
      <c r="E2361">
        <v>28</v>
      </c>
      <c r="F2361">
        <v>801011</v>
      </c>
      <c r="G2361" s="2">
        <v>-135.9</v>
      </c>
      <c r="H2361" t="s">
        <v>2759</v>
      </c>
      <c r="J2361" s="18" t="s">
        <v>4327</v>
      </c>
    </row>
    <row r="2362" spans="3:10" x14ac:dyDescent="0.25">
      <c r="C2362" s="17" t="str">
        <f t="shared" si="37"/>
        <v>28.801011.-20080.8482..CLEAR SCHEDULE.</v>
      </c>
      <c r="E2362">
        <v>28</v>
      </c>
      <c r="F2362">
        <v>801011</v>
      </c>
      <c r="G2362" s="1">
        <v>-200.8</v>
      </c>
      <c r="H2362" t="s">
        <v>2760</v>
      </c>
      <c r="J2362" s="18" t="s">
        <v>4327</v>
      </c>
    </row>
    <row r="2363" spans="3:10" x14ac:dyDescent="0.25">
      <c r="C2363" s="17" t="str">
        <f t="shared" si="37"/>
        <v>28.801011.-13590.8484..CLEAR SCHEDULE.</v>
      </c>
      <c r="E2363">
        <v>28</v>
      </c>
      <c r="F2363">
        <v>801011</v>
      </c>
      <c r="G2363" s="2">
        <v>-135.9</v>
      </c>
      <c r="H2363" t="s">
        <v>2761</v>
      </c>
      <c r="J2363" s="18" t="s">
        <v>4327</v>
      </c>
    </row>
    <row r="2364" spans="3:10" x14ac:dyDescent="0.25">
      <c r="C2364" s="17" t="str">
        <f t="shared" si="37"/>
        <v>28.801011.-58263.8485..CLEAR SCHEDULE.</v>
      </c>
      <c r="E2364">
        <v>28</v>
      </c>
      <c r="F2364">
        <v>801011</v>
      </c>
      <c r="G2364" s="1">
        <v>-582.63</v>
      </c>
      <c r="H2364" t="s">
        <v>2762</v>
      </c>
      <c r="J2364" s="18" t="s">
        <v>4327</v>
      </c>
    </row>
    <row r="2365" spans="3:10" x14ac:dyDescent="0.25">
      <c r="C2365" s="17" t="str">
        <f t="shared" si="37"/>
        <v>28.801011.-114073.8486..CLEAR SCHEDULE.</v>
      </c>
      <c r="E2365">
        <v>28</v>
      </c>
      <c r="F2365">
        <v>801011</v>
      </c>
      <c r="G2365" s="2">
        <v>-1140.73</v>
      </c>
      <c r="H2365" t="s">
        <v>2763</v>
      </c>
      <c r="J2365" s="18" t="s">
        <v>4327</v>
      </c>
    </row>
    <row r="2366" spans="3:10" x14ac:dyDescent="0.25">
      <c r="C2366" s="17" t="str">
        <f t="shared" si="37"/>
        <v>28.801011.-17504.8487..CLEAR SCHEDULE.</v>
      </c>
      <c r="E2366">
        <v>28</v>
      </c>
      <c r="F2366">
        <v>801011</v>
      </c>
      <c r="G2366" s="1">
        <v>-175.04</v>
      </c>
      <c r="H2366" t="s">
        <v>2764</v>
      </c>
      <c r="J2366" s="18" t="s">
        <v>4327</v>
      </c>
    </row>
    <row r="2367" spans="3:10" x14ac:dyDescent="0.25">
      <c r="C2367" s="17" t="str">
        <f t="shared" si="37"/>
        <v>28.801011.-14387.8488..CLEAR SCHEDULE.</v>
      </c>
      <c r="E2367">
        <v>28</v>
      </c>
      <c r="F2367">
        <v>801011</v>
      </c>
      <c r="G2367" s="2">
        <v>-143.87</v>
      </c>
      <c r="H2367" t="s">
        <v>2765</v>
      </c>
      <c r="J2367" s="18" t="s">
        <v>4327</v>
      </c>
    </row>
    <row r="2368" spans="3:10" x14ac:dyDescent="0.25">
      <c r="C2368" s="17" t="str">
        <f t="shared" si="37"/>
        <v>28.801011.-10530.8489..CLEAR SCHEDULE.</v>
      </c>
      <c r="E2368">
        <v>28</v>
      </c>
      <c r="F2368">
        <v>801011</v>
      </c>
      <c r="G2368" s="1">
        <v>-105.3</v>
      </c>
      <c r="H2368" t="s">
        <v>2766</v>
      </c>
      <c r="J2368" s="18" t="s">
        <v>4327</v>
      </c>
    </row>
    <row r="2369" spans="3:10" x14ac:dyDescent="0.25">
      <c r="C2369" s="17" t="str">
        <f t="shared" si="37"/>
        <v>28.801011.-36666.8491..CLEAR SCHEDULE.</v>
      </c>
      <c r="E2369">
        <v>28</v>
      </c>
      <c r="F2369">
        <v>801011</v>
      </c>
      <c r="G2369" s="2">
        <v>-366.66</v>
      </c>
      <c r="H2369" t="s">
        <v>2767</v>
      </c>
      <c r="J2369" s="18" t="s">
        <v>4327</v>
      </c>
    </row>
    <row r="2370" spans="3:10" x14ac:dyDescent="0.25">
      <c r="C2370" s="17" t="str">
        <f t="shared" si="37"/>
        <v>28.801011.-22371.8492..CLEAR SCHEDULE.</v>
      </c>
      <c r="E2370">
        <v>28</v>
      </c>
      <c r="F2370">
        <v>801011</v>
      </c>
      <c r="G2370" s="1">
        <v>-223.71</v>
      </c>
      <c r="H2370" t="s">
        <v>2768</v>
      </c>
      <c r="J2370" s="18" t="s">
        <v>4327</v>
      </c>
    </row>
    <row r="2371" spans="3:10" x14ac:dyDescent="0.25">
      <c r="C2371" s="17" t="str">
        <f t="shared" si="37"/>
        <v>28.801011.-11901.8495..CLEAR SCHEDULE.</v>
      </c>
      <c r="E2371">
        <v>28</v>
      </c>
      <c r="F2371">
        <v>801011</v>
      </c>
      <c r="G2371" s="2">
        <v>-119.01</v>
      </c>
      <c r="H2371" t="s">
        <v>2769</v>
      </c>
      <c r="J2371" s="18" t="s">
        <v>4327</v>
      </c>
    </row>
    <row r="2372" spans="3:10" x14ac:dyDescent="0.25">
      <c r="C2372" s="17" t="str">
        <f t="shared" si="37"/>
        <v>28.801011.-15945.8496..CLEAR SCHEDULE.</v>
      </c>
      <c r="E2372">
        <v>28</v>
      </c>
      <c r="F2372">
        <v>801011</v>
      </c>
      <c r="G2372" s="1">
        <v>-159.44999999999999</v>
      </c>
      <c r="H2372" t="s">
        <v>2770</v>
      </c>
      <c r="J2372" s="18" t="s">
        <v>4327</v>
      </c>
    </row>
    <row r="2373" spans="3:10" x14ac:dyDescent="0.25">
      <c r="C2373" s="17" t="str">
        <f t="shared" si="37"/>
        <v>28.801011.-32208.8497..CLEAR SCHEDULE.</v>
      </c>
      <c r="E2373">
        <v>28</v>
      </c>
      <c r="F2373">
        <v>801011</v>
      </c>
      <c r="G2373" s="2">
        <v>-322.08</v>
      </c>
      <c r="H2373" t="s">
        <v>2771</v>
      </c>
      <c r="J2373" s="18" t="s">
        <v>4327</v>
      </c>
    </row>
    <row r="2374" spans="3:10" x14ac:dyDescent="0.25">
      <c r="C2374" s="17" t="str">
        <f t="shared" si="37"/>
        <v>28.801011.-5415.8498..CLEAR SCHEDULE.</v>
      </c>
      <c r="E2374">
        <v>28</v>
      </c>
      <c r="F2374">
        <v>801011</v>
      </c>
      <c r="G2374" s="1">
        <v>-54.15</v>
      </c>
      <c r="H2374" t="s">
        <v>2772</v>
      </c>
      <c r="J2374" s="18" t="s">
        <v>4327</v>
      </c>
    </row>
    <row r="2375" spans="3:10" x14ac:dyDescent="0.25">
      <c r="C2375" s="17" t="str">
        <f t="shared" si="37"/>
        <v>28.801011.-5613.8499..CLEAR SCHEDULE.</v>
      </c>
      <c r="E2375">
        <v>28</v>
      </c>
      <c r="F2375">
        <v>801011</v>
      </c>
      <c r="G2375" s="2">
        <v>-56.13</v>
      </c>
      <c r="H2375" t="s">
        <v>2773</v>
      </c>
      <c r="J2375" s="18" t="s">
        <v>4327</v>
      </c>
    </row>
    <row r="2376" spans="3:10" x14ac:dyDescent="0.25">
      <c r="C2376" s="17" t="str">
        <f t="shared" si="37"/>
        <v>28.801011.-9751.8501..CLEAR SCHEDULE.</v>
      </c>
      <c r="E2376">
        <v>28</v>
      </c>
      <c r="F2376">
        <v>801011</v>
      </c>
      <c r="G2376" s="1">
        <v>-97.51</v>
      </c>
      <c r="H2376" t="s">
        <v>2774</v>
      </c>
      <c r="J2376" s="18" t="s">
        <v>4327</v>
      </c>
    </row>
    <row r="2377" spans="3:10" x14ac:dyDescent="0.25">
      <c r="C2377" s="17" t="str">
        <f t="shared" si="37"/>
        <v>28.801011.-14408.8502..CLEAR SCHEDULE.</v>
      </c>
      <c r="E2377">
        <v>28</v>
      </c>
      <c r="F2377">
        <v>801011</v>
      </c>
      <c r="G2377" s="2">
        <v>-144.08000000000001</v>
      </c>
      <c r="H2377" t="s">
        <v>2775</v>
      </c>
      <c r="J2377" s="18" t="s">
        <v>4327</v>
      </c>
    </row>
    <row r="2378" spans="3:10" x14ac:dyDescent="0.25">
      <c r="C2378" s="17" t="str">
        <f t="shared" si="37"/>
        <v>28.801011.-15166.8503..CLEAR SCHEDULE.</v>
      </c>
      <c r="E2378">
        <v>28</v>
      </c>
      <c r="F2378">
        <v>801011</v>
      </c>
      <c r="G2378" s="1">
        <v>-151.66</v>
      </c>
      <c r="H2378" t="s">
        <v>2776</v>
      </c>
      <c r="J2378" s="18" t="s">
        <v>4327</v>
      </c>
    </row>
    <row r="2379" spans="3:10" x14ac:dyDescent="0.25">
      <c r="C2379" s="17" t="str">
        <f t="shared" ref="C2379:C2442" si="38">IF(G2379=0,"",(E2379&amp;"."&amp;F2379&amp;"."&amp;G2379*100&amp;"."&amp;H2379&amp;"."&amp;I2379&amp;"."&amp;J2379&amp;"."&amp;K2379))</f>
        <v>28.801011.-9751.8506..CLEAR SCHEDULE.</v>
      </c>
      <c r="E2379">
        <v>28</v>
      </c>
      <c r="F2379">
        <v>801011</v>
      </c>
      <c r="G2379" s="2">
        <v>-97.51</v>
      </c>
      <c r="H2379" t="s">
        <v>2777</v>
      </c>
      <c r="J2379" s="18" t="s">
        <v>4327</v>
      </c>
    </row>
    <row r="2380" spans="3:10" x14ac:dyDescent="0.25">
      <c r="C2380" s="17" t="str">
        <f t="shared" si="38"/>
        <v>28.801011.-15945.8507..CLEAR SCHEDULE.</v>
      </c>
      <c r="E2380">
        <v>28</v>
      </c>
      <c r="F2380">
        <v>801011</v>
      </c>
      <c r="G2380" s="1">
        <v>-159.44999999999999</v>
      </c>
      <c r="H2380" t="s">
        <v>2778</v>
      </c>
      <c r="J2380" s="18" t="s">
        <v>4327</v>
      </c>
    </row>
    <row r="2381" spans="3:10" x14ac:dyDescent="0.25">
      <c r="C2381" s="17" t="str">
        <f t="shared" si="38"/>
        <v>28.801011.-72532.8514..CLEAR SCHEDULE.</v>
      </c>
      <c r="E2381">
        <v>28</v>
      </c>
      <c r="F2381">
        <v>801011</v>
      </c>
      <c r="G2381" s="2">
        <v>-725.32</v>
      </c>
      <c r="H2381" t="s">
        <v>2779</v>
      </c>
      <c r="J2381" s="18" t="s">
        <v>4327</v>
      </c>
    </row>
    <row r="2382" spans="3:10" x14ac:dyDescent="0.25">
      <c r="C2382" s="17" t="str">
        <f t="shared" si="38"/>
        <v>28.801011.-55786.8515..CLEAR SCHEDULE.</v>
      </c>
      <c r="E2382">
        <v>28</v>
      </c>
      <c r="F2382">
        <v>801011</v>
      </c>
      <c r="G2382" s="1">
        <v>-557.86</v>
      </c>
      <c r="H2382" t="s">
        <v>2780</v>
      </c>
      <c r="J2382" s="18" t="s">
        <v>4327</v>
      </c>
    </row>
    <row r="2383" spans="3:10" x14ac:dyDescent="0.25">
      <c r="C2383" s="17" t="str">
        <f t="shared" si="38"/>
        <v>28.801011.-125561.8517..CLEAR SCHEDULE.</v>
      </c>
      <c r="E2383">
        <v>28</v>
      </c>
      <c r="F2383">
        <v>801011</v>
      </c>
      <c r="G2383" s="2">
        <v>-1255.6099999999999</v>
      </c>
      <c r="H2383" t="s">
        <v>2781</v>
      </c>
      <c r="J2383" s="18" t="s">
        <v>4327</v>
      </c>
    </row>
    <row r="2384" spans="3:10" x14ac:dyDescent="0.25">
      <c r="C2384" s="17" t="str">
        <f t="shared" si="38"/>
        <v>28.801011.-18275.8518..CLEAR SCHEDULE.</v>
      </c>
      <c r="E2384">
        <v>28</v>
      </c>
      <c r="F2384">
        <v>801011</v>
      </c>
      <c r="G2384" s="1">
        <v>-182.75</v>
      </c>
      <c r="H2384" t="s">
        <v>2782</v>
      </c>
      <c r="J2384" s="18" t="s">
        <v>4327</v>
      </c>
    </row>
    <row r="2385" spans="3:10" x14ac:dyDescent="0.25">
      <c r="C2385" s="17" t="str">
        <f t="shared" si="38"/>
        <v>28.801011.-19742.8519..CLEAR SCHEDULE.</v>
      </c>
      <c r="E2385">
        <v>28</v>
      </c>
      <c r="F2385">
        <v>801011</v>
      </c>
      <c r="G2385" s="2">
        <v>-197.42</v>
      </c>
      <c r="H2385" t="s">
        <v>2783</v>
      </c>
      <c r="J2385" s="18" t="s">
        <v>4327</v>
      </c>
    </row>
    <row r="2386" spans="3:10" x14ac:dyDescent="0.25">
      <c r="C2386" s="17" t="str">
        <f t="shared" si="38"/>
        <v>28.801011.-8972.8520..CLEAR SCHEDULE.</v>
      </c>
      <c r="E2386">
        <v>28</v>
      </c>
      <c r="F2386">
        <v>801011</v>
      </c>
      <c r="G2386" s="1">
        <v>-89.72</v>
      </c>
      <c r="H2386" t="s">
        <v>2784</v>
      </c>
      <c r="J2386" s="18" t="s">
        <v>4327</v>
      </c>
    </row>
    <row r="2387" spans="3:10" x14ac:dyDescent="0.25">
      <c r="C2387" s="17" t="str">
        <f t="shared" si="38"/>
        <v>28.801011.-15166.8522..CLEAR SCHEDULE.</v>
      </c>
      <c r="E2387">
        <v>28</v>
      </c>
      <c r="F2387">
        <v>801011</v>
      </c>
      <c r="G2387" s="2">
        <v>-151.66</v>
      </c>
      <c r="H2387" t="s">
        <v>2785</v>
      </c>
      <c r="J2387" s="18" t="s">
        <v>4327</v>
      </c>
    </row>
    <row r="2388" spans="3:10" x14ac:dyDescent="0.25">
      <c r="C2388" s="17" t="str">
        <f t="shared" si="38"/>
        <v>28.801011.-19742.8523..CLEAR SCHEDULE.</v>
      </c>
      <c r="E2388">
        <v>28</v>
      </c>
      <c r="F2388">
        <v>801011</v>
      </c>
      <c r="G2388" s="1">
        <v>-197.42</v>
      </c>
      <c r="H2388" t="s">
        <v>2786</v>
      </c>
      <c r="J2388" s="18" t="s">
        <v>4327</v>
      </c>
    </row>
    <row r="2389" spans="3:10" x14ac:dyDescent="0.25">
      <c r="C2389" s="17" t="str">
        <f t="shared" si="38"/>
        <v>28.801011.-19742.8524..CLEAR SCHEDULE.</v>
      </c>
      <c r="E2389">
        <v>28</v>
      </c>
      <c r="F2389">
        <v>801011</v>
      </c>
      <c r="G2389" s="2">
        <v>-197.42</v>
      </c>
      <c r="H2389" t="s">
        <v>2787</v>
      </c>
      <c r="J2389" s="18" t="s">
        <v>4327</v>
      </c>
    </row>
    <row r="2390" spans="3:10" x14ac:dyDescent="0.25">
      <c r="C2390" s="17" t="str">
        <f t="shared" si="38"/>
        <v>28.801011.-22171.8525..CLEAR SCHEDULE.</v>
      </c>
      <c r="E2390">
        <v>28</v>
      </c>
      <c r="F2390">
        <v>801011</v>
      </c>
      <c r="G2390" s="1">
        <v>-221.71</v>
      </c>
      <c r="H2390" t="s">
        <v>2788</v>
      </c>
      <c r="J2390" s="18" t="s">
        <v>4327</v>
      </c>
    </row>
    <row r="2391" spans="3:10" x14ac:dyDescent="0.25">
      <c r="C2391" s="17" t="str">
        <f t="shared" si="38"/>
        <v>28.801011.-7397.8526..CLEAR SCHEDULE.</v>
      </c>
      <c r="E2391">
        <v>28</v>
      </c>
      <c r="F2391">
        <v>801011</v>
      </c>
      <c r="G2391" s="2">
        <v>-73.97</v>
      </c>
      <c r="H2391" t="s">
        <v>2789</v>
      </c>
      <c r="J2391" s="18" t="s">
        <v>4327</v>
      </c>
    </row>
    <row r="2392" spans="3:10" x14ac:dyDescent="0.25">
      <c r="C2392" s="17" t="str">
        <f t="shared" si="38"/>
        <v>28.801011.-19301.8527..CLEAR SCHEDULE.</v>
      </c>
      <c r="E2392">
        <v>28</v>
      </c>
      <c r="F2392">
        <v>801011</v>
      </c>
      <c r="G2392" s="1">
        <v>-193.01</v>
      </c>
      <c r="H2392" t="s">
        <v>2790</v>
      </c>
      <c r="J2392" s="18" t="s">
        <v>4327</v>
      </c>
    </row>
    <row r="2393" spans="3:10" x14ac:dyDescent="0.25">
      <c r="C2393" s="17" t="str">
        <f t="shared" si="38"/>
        <v>28.801011.-11139.8534..CLEAR SCHEDULE.</v>
      </c>
      <c r="E2393">
        <v>28</v>
      </c>
      <c r="F2393">
        <v>801011</v>
      </c>
      <c r="G2393" s="2">
        <v>-111.39</v>
      </c>
      <c r="H2393" t="s">
        <v>2791</v>
      </c>
      <c r="J2393" s="18" t="s">
        <v>4327</v>
      </c>
    </row>
    <row r="2394" spans="3:10" x14ac:dyDescent="0.25">
      <c r="C2394" s="17" t="str">
        <f t="shared" si="38"/>
        <v>28.801011.-183282.8537..CLEAR SCHEDULE.</v>
      </c>
      <c r="E2394">
        <v>28</v>
      </c>
      <c r="F2394">
        <v>801011</v>
      </c>
      <c r="G2394" s="1">
        <v>-1832.82</v>
      </c>
      <c r="H2394" t="s">
        <v>2792</v>
      </c>
      <c r="J2394" s="18" t="s">
        <v>4327</v>
      </c>
    </row>
    <row r="2395" spans="3:10" x14ac:dyDescent="0.25">
      <c r="C2395" s="17" t="str">
        <f t="shared" si="38"/>
        <v>28.801011.-39038.8538..CLEAR SCHEDULE.</v>
      </c>
      <c r="E2395">
        <v>28</v>
      </c>
      <c r="F2395">
        <v>801011</v>
      </c>
      <c r="G2395" s="2">
        <v>-390.38</v>
      </c>
      <c r="H2395" t="s">
        <v>2793</v>
      </c>
      <c r="J2395" s="18" t="s">
        <v>4327</v>
      </c>
    </row>
    <row r="2396" spans="3:10" x14ac:dyDescent="0.25">
      <c r="C2396" s="17" t="str">
        <f t="shared" si="38"/>
        <v>28.801011.-10530.8539..CLEAR SCHEDULE.</v>
      </c>
      <c r="E2396">
        <v>28</v>
      </c>
      <c r="F2396">
        <v>801011</v>
      </c>
      <c r="G2396" s="1">
        <v>-105.3</v>
      </c>
      <c r="H2396" t="s">
        <v>2794</v>
      </c>
      <c r="J2396" s="18" t="s">
        <v>4327</v>
      </c>
    </row>
    <row r="2397" spans="3:10" x14ac:dyDescent="0.25">
      <c r="C2397" s="17" t="str">
        <f t="shared" si="38"/>
        <v>28.801011.-15945.8540..CLEAR SCHEDULE.</v>
      </c>
      <c r="E2397">
        <v>28</v>
      </c>
      <c r="F2397">
        <v>801011</v>
      </c>
      <c r="G2397" s="2">
        <v>-159.44999999999999</v>
      </c>
      <c r="H2397" t="s">
        <v>2795</v>
      </c>
      <c r="J2397" s="18" t="s">
        <v>4327</v>
      </c>
    </row>
    <row r="2398" spans="3:10" x14ac:dyDescent="0.25">
      <c r="C2398" s="17" t="str">
        <f t="shared" si="38"/>
        <v>28.801011.-7844.8541..CLEAR SCHEDULE.</v>
      </c>
      <c r="E2398">
        <v>28</v>
      </c>
      <c r="F2398">
        <v>801011</v>
      </c>
      <c r="G2398" s="1">
        <v>-78.44</v>
      </c>
      <c r="H2398" t="s">
        <v>2796</v>
      </c>
      <c r="J2398" s="18" t="s">
        <v>4327</v>
      </c>
    </row>
    <row r="2399" spans="3:10" x14ac:dyDescent="0.25">
      <c r="C2399" s="17" t="str">
        <f t="shared" si="38"/>
        <v>28.801011.-7073.8543..CLEAR SCHEDULE.</v>
      </c>
      <c r="E2399">
        <v>28</v>
      </c>
      <c r="F2399">
        <v>801011</v>
      </c>
      <c r="G2399" s="2">
        <v>-70.73</v>
      </c>
      <c r="H2399" t="s">
        <v>2797</v>
      </c>
      <c r="J2399" s="18" t="s">
        <v>4327</v>
      </c>
    </row>
    <row r="2400" spans="3:10" x14ac:dyDescent="0.25">
      <c r="C2400" s="17" t="str">
        <f t="shared" si="38"/>
        <v>28.801011.-177867.8545..CLEAR SCHEDULE.</v>
      </c>
      <c r="E2400">
        <v>28</v>
      </c>
      <c r="F2400">
        <v>801011</v>
      </c>
      <c r="G2400" s="1">
        <v>-1778.67</v>
      </c>
      <c r="H2400" t="s">
        <v>2798</v>
      </c>
      <c r="J2400" s="18" t="s">
        <v>4327</v>
      </c>
    </row>
    <row r="2401" spans="3:10" x14ac:dyDescent="0.25">
      <c r="C2401" s="17" t="str">
        <f t="shared" si="38"/>
        <v>28.801011.-91616.8546..CLEAR SCHEDULE.</v>
      </c>
      <c r="E2401">
        <v>28</v>
      </c>
      <c r="F2401">
        <v>801011</v>
      </c>
      <c r="G2401" s="2">
        <v>-916.16</v>
      </c>
      <c r="H2401" t="s">
        <v>2799</v>
      </c>
      <c r="J2401" s="18" t="s">
        <v>4327</v>
      </c>
    </row>
    <row r="2402" spans="3:10" x14ac:dyDescent="0.25">
      <c r="C2402" s="17" t="str">
        <f t="shared" si="38"/>
        <v>28.801011.-59902.8547..CLEAR SCHEDULE.</v>
      </c>
      <c r="E2402">
        <v>28</v>
      </c>
      <c r="F2402">
        <v>801011</v>
      </c>
      <c r="G2402" s="1">
        <v>-599.02</v>
      </c>
      <c r="H2402" t="s">
        <v>2800</v>
      </c>
      <c r="J2402" s="18" t="s">
        <v>4327</v>
      </c>
    </row>
    <row r="2403" spans="3:10" x14ac:dyDescent="0.25">
      <c r="C2403" s="17" t="str">
        <f t="shared" si="38"/>
        <v>28.801011.-327796.8549..CLEAR SCHEDULE.</v>
      </c>
      <c r="E2403">
        <v>28</v>
      </c>
      <c r="F2403">
        <v>801011</v>
      </c>
      <c r="G2403" s="2">
        <v>-3277.96</v>
      </c>
      <c r="H2403" t="s">
        <v>2801</v>
      </c>
      <c r="J2403" s="18" t="s">
        <v>4327</v>
      </c>
    </row>
    <row r="2404" spans="3:10" x14ac:dyDescent="0.25">
      <c r="C2404" s="17" t="str">
        <f t="shared" si="38"/>
        <v>28.801011.-72840.8550..CLEAR SCHEDULE.</v>
      </c>
      <c r="E2404">
        <v>28</v>
      </c>
      <c r="F2404">
        <v>801011</v>
      </c>
      <c r="G2404" s="1">
        <v>-728.4</v>
      </c>
      <c r="H2404" t="s">
        <v>2802</v>
      </c>
      <c r="J2404" s="18" t="s">
        <v>4327</v>
      </c>
    </row>
    <row r="2405" spans="3:10" x14ac:dyDescent="0.25">
      <c r="C2405" s="17" t="str">
        <f t="shared" si="38"/>
        <v>28.801011.-14387.8554..CLEAR SCHEDULE.</v>
      </c>
      <c r="E2405">
        <v>28</v>
      </c>
      <c r="F2405">
        <v>801011</v>
      </c>
      <c r="G2405" s="2">
        <v>-143.87</v>
      </c>
      <c r="H2405" t="s">
        <v>2803</v>
      </c>
      <c r="J2405" s="18" t="s">
        <v>4327</v>
      </c>
    </row>
    <row r="2406" spans="3:10" x14ac:dyDescent="0.25">
      <c r="C2406" s="17" t="str">
        <f t="shared" si="38"/>
        <v>28.801011.-35418.8556..CLEAR SCHEDULE.</v>
      </c>
      <c r="E2406">
        <v>28</v>
      </c>
      <c r="F2406">
        <v>801011</v>
      </c>
      <c r="G2406" s="1">
        <v>-354.18</v>
      </c>
      <c r="H2406" t="s">
        <v>2804</v>
      </c>
      <c r="J2406" s="18" t="s">
        <v>4327</v>
      </c>
    </row>
    <row r="2407" spans="3:10" x14ac:dyDescent="0.25">
      <c r="C2407" s="17" t="str">
        <f t="shared" si="38"/>
        <v>28.801011.-10530.8557..CLEAR SCHEDULE.</v>
      </c>
      <c r="E2407">
        <v>28</v>
      </c>
      <c r="F2407">
        <v>801011</v>
      </c>
      <c r="G2407" s="2">
        <v>-105.3</v>
      </c>
      <c r="H2407" t="s">
        <v>2805</v>
      </c>
      <c r="J2407" s="18" t="s">
        <v>4327</v>
      </c>
    </row>
    <row r="2408" spans="3:10" x14ac:dyDescent="0.25">
      <c r="C2408" s="17" t="str">
        <f t="shared" si="38"/>
        <v>28.801011.-14387.8559..CLEAR SCHEDULE.</v>
      </c>
      <c r="E2408">
        <v>28</v>
      </c>
      <c r="F2408">
        <v>801011</v>
      </c>
      <c r="G2408" s="1">
        <v>-143.87</v>
      </c>
      <c r="H2408" t="s">
        <v>2806</v>
      </c>
      <c r="J2408" s="18" t="s">
        <v>4327</v>
      </c>
    </row>
    <row r="2409" spans="3:10" x14ac:dyDescent="0.25">
      <c r="C2409" s="17" t="str">
        <f t="shared" si="38"/>
        <v>28.801011.-14387.8561..CLEAR SCHEDULE.</v>
      </c>
      <c r="E2409">
        <v>28</v>
      </c>
      <c r="F2409">
        <v>801011</v>
      </c>
      <c r="G2409" s="2">
        <v>-143.87</v>
      </c>
      <c r="H2409" t="s">
        <v>2807</v>
      </c>
      <c r="J2409" s="18" t="s">
        <v>4327</v>
      </c>
    </row>
    <row r="2410" spans="3:10" x14ac:dyDescent="0.25">
      <c r="C2410" s="17" t="str">
        <f t="shared" si="38"/>
        <v>28.801011.-89813.8565..CLEAR SCHEDULE.</v>
      </c>
      <c r="E2410">
        <v>28</v>
      </c>
      <c r="F2410">
        <v>801011</v>
      </c>
      <c r="G2410" s="1">
        <v>-898.13</v>
      </c>
      <c r="H2410" t="s">
        <v>2808</v>
      </c>
      <c r="J2410" s="18" t="s">
        <v>4327</v>
      </c>
    </row>
    <row r="2411" spans="3:10" x14ac:dyDescent="0.25">
      <c r="C2411" s="17" t="str">
        <f t="shared" si="38"/>
        <v>28.801011.-392575.8568..CLEAR SCHEDULE.</v>
      </c>
      <c r="E2411">
        <v>28</v>
      </c>
      <c r="F2411">
        <v>801011</v>
      </c>
      <c r="G2411" s="2">
        <v>-3925.75</v>
      </c>
      <c r="H2411" t="s">
        <v>2809</v>
      </c>
      <c r="J2411" s="18" t="s">
        <v>4327</v>
      </c>
    </row>
    <row r="2412" spans="3:10" x14ac:dyDescent="0.25">
      <c r="C2412" s="17" t="str">
        <f t="shared" si="38"/>
        <v>28.801011.-23311.8569..CLEAR SCHEDULE.</v>
      </c>
      <c r="E2412">
        <v>28</v>
      </c>
      <c r="F2412">
        <v>801011</v>
      </c>
      <c r="G2412" s="1">
        <v>-233.11</v>
      </c>
      <c r="H2412" t="s">
        <v>2810</v>
      </c>
      <c r="J2412" s="18" t="s">
        <v>4327</v>
      </c>
    </row>
    <row r="2413" spans="3:10" x14ac:dyDescent="0.25">
      <c r="C2413" s="17" t="str">
        <f t="shared" si="38"/>
        <v>28.801011.-25106.8570..CLEAR SCHEDULE.</v>
      </c>
      <c r="E2413">
        <v>28</v>
      </c>
      <c r="F2413">
        <v>801011</v>
      </c>
      <c r="G2413" s="2">
        <v>-251.06</v>
      </c>
      <c r="H2413" t="s">
        <v>2811</v>
      </c>
      <c r="J2413" s="18" t="s">
        <v>4327</v>
      </c>
    </row>
    <row r="2414" spans="3:10" x14ac:dyDescent="0.25">
      <c r="C2414" s="17" t="str">
        <f t="shared" si="38"/>
        <v>28.801011.-15166.8571..CLEAR SCHEDULE.</v>
      </c>
      <c r="E2414">
        <v>28</v>
      </c>
      <c r="F2414">
        <v>801011</v>
      </c>
      <c r="G2414" s="1">
        <v>-151.66</v>
      </c>
      <c r="H2414" t="s">
        <v>2812</v>
      </c>
      <c r="J2414" s="18" t="s">
        <v>4327</v>
      </c>
    </row>
    <row r="2415" spans="3:10" x14ac:dyDescent="0.25">
      <c r="C2415" s="17" t="str">
        <f t="shared" si="38"/>
        <v>28.801011.-8972.8572..CLEAR SCHEDULE.</v>
      </c>
      <c r="E2415">
        <v>28</v>
      </c>
      <c r="F2415">
        <v>801011</v>
      </c>
      <c r="G2415" s="2">
        <v>-89.72</v>
      </c>
      <c r="H2415" t="s">
        <v>2813</v>
      </c>
      <c r="J2415" s="18" t="s">
        <v>4327</v>
      </c>
    </row>
    <row r="2416" spans="3:10" x14ac:dyDescent="0.25">
      <c r="C2416" s="17" t="str">
        <f t="shared" si="38"/>
        <v>28.801011.-7874.8573..CLEAR SCHEDULE.</v>
      </c>
      <c r="E2416">
        <v>28</v>
      </c>
      <c r="F2416">
        <v>801011</v>
      </c>
      <c r="G2416" s="1">
        <v>-78.739999999999995</v>
      </c>
      <c r="H2416" t="s">
        <v>2814</v>
      </c>
      <c r="J2416" s="18" t="s">
        <v>4327</v>
      </c>
    </row>
    <row r="2417" spans="3:10" x14ac:dyDescent="0.25">
      <c r="C2417" s="17" t="str">
        <f t="shared" si="38"/>
        <v>28.801011.-13289.8575..CLEAR SCHEDULE.</v>
      </c>
      <c r="E2417">
        <v>28</v>
      </c>
      <c r="F2417">
        <v>801011</v>
      </c>
      <c r="G2417" s="2">
        <v>-132.88999999999999</v>
      </c>
      <c r="H2417" t="s">
        <v>2815</v>
      </c>
      <c r="J2417" s="18" t="s">
        <v>4327</v>
      </c>
    </row>
    <row r="2418" spans="3:10" x14ac:dyDescent="0.25">
      <c r="C2418" s="17" t="str">
        <f t="shared" si="38"/>
        <v>28.801011.-50068.8579..CLEAR SCHEDULE.</v>
      </c>
      <c r="E2418">
        <v>28</v>
      </c>
      <c r="F2418">
        <v>801011</v>
      </c>
      <c r="G2418" s="1">
        <v>-500.68</v>
      </c>
      <c r="H2418" t="s">
        <v>2816</v>
      </c>
      <c r="J2418" s="18" t="s">
        <v>4327</v>
      </c>
    </row>
    <row r="2419" spans="3:10" x14ac:dyDescent="0.25">
      <c r="C2419" s="17" t="str">
        <f t="shared" si="38"/>
        <v>28.801011.-29864.8580..CLEAR SCHEDULE.</v>
      </c>
      <c r="E2419">
        <v>28</v>
      </c>
      <c r="F2419">
        <v>801011</v>
      </c>
      <c r="G2419" s="2">
        <v>-298.64</v>
      </c>
      <c r="H2419" t="s">
        <v>2817</v>
      </c>
      <c r="J2419" s="18" t="s">
        <v>4327</v>
      </c>
    </row>
    <row r="2420" spans="3:10" x14ac:dyDescent="0.25">
      <c r="C2420" s="17" t="str">
        <f t="shared" si="38"/>
        <v>28.801011.-14387.8581..CLEAR SCHEDULE.</v>
      </c>
      <c r="E2420">
        <v>28</v>
      </c>
      <c r="F2420">
        <v>801011</v>
      </c>
      <c r="G2420" s="1">
        <v>-143.87</v>
      </c>
      <c r="H2420" t="s">
        <v>2818</v>
      </c>
      <c r="J2420" s="18" t="s">
        <v>4327</v>
      </c>
    </row>
    <row r="2421" spans="3:10" x14ac:dyDescent="0.25">
      <c r="C2421" s="17" t="str">
        <f t="shared" si="38"/>
        <v>28.801011.-10948.8583..CLEAR SCHEDULE.</v>
      </c>
      <c r="E2421">
        <v>28</v>
      </c>
      <c r="F2421">
        <v>801011</v>
      </c>
      <c r="G2421" s="2">
        <v>-109.48</v>
      </c>
      <c r="H2421" t="s">
        <v>2819</v>
      </c>
      <c r="J2421" s="18" t="s">
        <v>4327</v>
      </c>
    </row>
    <row r="2422" spans="3:10" x14ac:dyDescent="0.25">
      <c r="C2422" s="17" t="str">
        <f t="shared" si="38"/>
        <v>28.801011.-15945.8584..CLEAR SCHEDULE.</v>
      </c>
      <c r="E2422">
        <v>28</v>
      </c>
      <c r="F2422">
        <v>801011</v>
      </c>
      <c r="G2422" s="1">
        <v>-159.44999999999999</v>
      </c>
      <c r="H2422" t="s">
        <v>2820</v>
      </c>
      <c r="J2422" s="18" t="s">
        <v>4327</v>
      </c>
    </row>
    <row r="2423" spans="3:10" x14ac:dyDescent="0.25">
      <c r="C2423" s="17" t="str">
        <f t="shared" si="38"/>
        <v>28.801011.-21558.8585..CLEAR SCHEDULE.</v>
      </c>
      <c r="E2423">
        <v>28</v>
      </c>
      <c r="F2423">
        <v>801011</v>
      </c>
      <c r="G2423" s="2">
        <v>-215.58</v>
      </c>
      <c r="H2423" t="s">
        <v>2821</v>
      </c>
      <c r="J2423" s="18" t="s">
        <v>4327</v>
      </c>
    </row>
    <row r="2424" spans="3:10" x14ac:dyDescent="0.25">
      <c r="C2424" s="17" t="str">
        <f t="shared" si="38"/>
        <v>28.801011.-39168.8586..CLEAR SCHEDULE.</v>
      </c>
      <c r="E2424">
        <v>28</v>
      </c>
      <c r="F2424">
        <v>801011</v>
      </c>
      <c r="G2424" s="1">
        <v>-391.68</v>
      </c>
      <c r="H2424" t="s">
        <v>2822</v>
      </c>
      <c r="J2424" s="18" t="s">
        <v>4327</v>
      </c>
    </row>
    <row r="2425" spans="3:10" x14ac:dyDescent="0.25">
      <c r="C2425" s="17" t="str">
        <f t="shared" si="38"/>
        <v>28.801011.-188389.8587..CLEAR SCHEDULE.</v>
      </c>
      <c r="E2425">
        <v>28</v>
      </c>
      <c r="F2425">
        <v>801011</v>
      </c>
      <c r="G2425" s="2">
        <v>-1883.89</v>
      </c>
      <c r="H2425" t="s">
        <v>2823</v>
      </c>
      <c r="J2425" s="18" t="s">
        <v>4327</v>
      </c>
    </row>
    <row r="2426" spans="3:10" x14ac:dyDescent="0.25">
      <c r="C2426" s="17" t="str">
        <f t="shared" si="38"/>
        <v>28.801011.-8972.8589..CLEAR SCHEDULE.</v>
      </c>
      <c r="E2426">
        <v>28</v>
      </c>
      <c r="F2426">
        <v>801011</v>
      </c>
      <c r="G2426" s="1">
        <v>-89.72</v>
      </c>
      <c r="H2426" t="s">
        <v>2824</v>
      </c>
      <c r="J2426" s="18" t="s">
        <v>4327</v>
      </c>
    </row>
    <row r="2427" spans="3:10" x14ac:dyDescent="0.25">
      <c r="C2427" s="17" t="str">
        <f t="shared" si="38"/>
        <v>28.801011.-45122.8590..CLEAR SCHEDULE.</v>
      </c>
      <c r="E2427">
        <v>28</v>
      </c>
      <c r="F2427">
        <v>801011</v>
      </c>
      <c r="G2427" s="2">
        <v>-451.22</v>
      </c>
      <c r="H2427" t="s">
        <v>2825</v>
      </c>
      <c r="J2427" s="18" t="s">
        <v>4327</v>
      </c>
    </row>
    <row r="2428" spans="3:10" x14ac:dyDescent="0.25">
      <c r="C2428" s="17" t="str">
        <f t="shared" si="38"/>
        <v>28.801011.-28442.8591..CLEAR SCHEDULE.</v>
      </c>
      <c r="E2428">
        <v>28</v>
      </c>
      <c r="F2428">
        <v>801011</v>
      </c>
      <c r="G2428" s="1">
        <v>-284.42</v>
      </c>
      <c r="H2428" t="s">
        <v>2826</v>
      </c>
      <c r="J2428" s="18" t="s">
        <v>4327</v>
      </c>
    </row>
    <row r="2429" spans="3:10" x14ac:dyDescent="0.25">
      <c r="C2429" s="17" t="str">
        <f t="shared" si="38"/>
        <v>28.801011.-18281.8593..CLEAR SCHEDULE.</v>
      </c>
      <c r="E2429">
        <v>28</v>
      </c>
      <c r="F2429">
        <v>801011</v>
      </c>
      <c r="G2429" s="2">
        <v>-182.81</v>
      </c>
      <c r="H2429" t="s">
        <v>2827</v>
      </c>
      <c r="J2429" s="18" t="s">
        <v>4327</v>
      </c>
    </row>
    <row r="2430" spans="3:10" x14ac:dyDescent="0.25">
      <c r="C2430" s="17" t="str">
        <f t="shared" si="38"/>
        <v>28.801011.-17046.8595..CLEAR SCHEDULE.</v>
      </c>
      <c r="E2430">
        <v>28</v>
      </c>
      <c r="F2430">
        <v>801011</v>
      </c>
      <c r="G2430" s="1">
        <v>-170.46</v>
      </c>
      <c r="H2430" t="s">
        <v>2828</v>
      </c>
      <c r="J2430" s="18" t="s">
        <v>4327</v>
      </c>
    </row>
    <row r="2431" spans="3:10" x14ac:dyDescent="0.25">
      <c r="C2431" s="17" t="str">
        <f t="shared" si="38"/>
        <v>28.801011.-10530.8597..CLEAR SCHEDULE.</v>
      </c>
      <c r="E2431">
        <v>28</v>
      </c>
      <c r="F2431">
        <v>801011</v>
      </c>
      <c r="G2431" s="2">
        <v>-105.3</v>
      </c>
      <c r="H2431" t="s">
        <v>2829</v>
      </c>
      <c r="J2431" s="18" t="s">
        <v>4327</v>
      </c>
    </row>
    <row r="2432" spans="3:10" x14ac:dyDescent="0.25">
      <c r="C2432" s="17" t="str">
        <f t="shared" si="38"/>
        <v>28.801011.-14443.8598..CLEAR SCHEDULE.</v>
      </c>
      <c r="E2432">
        <v>28</v>
      </c>
      <c r="F2432">
        <v>801011</v>
      </c>
      <c r="G2432" s="1">
        <v>-144.43</v>
      </c>
      <c r="H2432" t="s">
        <v>2830</v>
      </c>
      <c r="J2432" s="18" t="s">
        <v>4327</v>
      </c>
    </row>
    <row r="2433" spans="3:10" x14ac:dyDescent="0.25">
      <c r="C2433" s="17" t="str">
        <f t="shared" si="38"/>
        <v>28.801011.-8972.8599..CLEAR SCHEDULE.</v>
      </c>
      <c r="E2433">
        <v>28</v>
      </c>
      <c r="F2433">
        <v>801011</v>
      </c>
      <c r="G2433" s="2">
        <v>-89.72</v>
      </c>
      <c r="H2433" t="s">
        <v>2831</v>
      </c>
      <c r="J2433" s="18" t="s">
        <v>4327</v>
      </c>
    </row>
    <row r="2434" spans="3:10" x14ac:dyDescent="0.25">
      <c r="C2434" s="17" t="str">
        <f t="shared" si="38"/>
        <v>28.801011.-13668.8603..CLEAR SCHEDULE.</v>
      </c>
      <c r="E2434">
        <v>28</v>
      </c>
      <c r="F2434">
        <v>801011</v>
      </c>
      <c r="G2434" s="1">
        <v>-136.68</v>
      </c>
      <c r="H2434" t="s">
        <v>2832</v>
      </c>
      <c r="J2434" s="18" t="s">
        <v>4327</v>
      </c>
    </row>
    <row r="2435" spans="3:10" x14ac:dyDescent="0.25">
      <c r="C2435" s="17" t="str">
        <f t="shared" si="38"/>
        <v>28.801011.-8972.8604..CLEAR SCHEDULE.</v>
      </c>
      <c r="E2435">
        <v>28</v>
      </c>
      <c r="F2435">
        <v>801011</v>
      </c>
      <c r="G2435" s="2">
        <v>-89.72</v>
      </c>
      <c r="H2435" t="s">
        <v>2833</v>
      </c>
      <c r="J2435" s="18" t="s">
        <v>4327</v>
      </c>
    </row>
    <row r="2436" spans="3:10" x14ac:dyDescent="0.25">
      <c r="C2436" s="17" t="str">
        <f t="shared" si="38"/>
        <v>28.801011.-19742.8605..CLEAR SCHEDULE.</v>
      </c>
      <c r="E2436">
        <v>28</v>
      </c>
      <c r="F2436">
        <v>801011</v>
      </c>
      <c r="G2436" s="1">
        <v>-197.42</v>
      </c>
      <c r="H2436" t="s">
        <v>2834</v>
      </c>
      <c r="J2436" s="18" t="s">
        <v>4327</v>
      </c>
    </row>
    <row r="2437" spans="3:10" x14ac:dyDescent="0.25">
      <c r="C2437" s="17" t="str">
        <f t="shared" si="38"/>
        <v>28.801011.-61843.8609..CLEAR SCHEDULE.</v>
      </c>
      <c r="E2437">
        <v>28</v>
      </c>
      <c r="F2437">
        <v>801011</v>
      </c>
      <c r="G2437" s="2">
        <v>-618.42999999999995</v>
      </c>
      <c r="H2437" t="s">
        <v>2835</v>
      </c>
      <c r="J2437" s="18" t="s">
        <v>4327</v>
      </c>
    </row>
    <row r="2438" spans="3:10" x14ac:dyDescent="0.25">
      <c r="C2438" s="17" t="str">
        <f t="shared" si="38"/>
        <v>28.801011.-9457.8610..CLEAR SCHEDULE.</v>
      </c>
      <c r="E2438">
        <v>28</v>
      </c>
      <c r="F2438">
        <v>801011</v>
      </c>
      <c r="G2438" s="1">
        <v>-94.57</v>
      </c>
      <c r="H2438" t="s">
        <v>2836</v>
      </c>
      <c r="J2438" s="18" t="s">
        <v>4327</v>
      </c>
    </row>
    <row r="2439" spans="3:10" x14ac:dyDescent="0.25">
      <c r="C2439" s="17" t="str">
        <f t="shared" si="38"/>
        <v>28.801011.-14387.8611..CLEAR SCHEDULE.</v>
      </c>
      <c r="E2439">
        <v>28</v>
      </c>
      <c r="F2439">
        <v>801011</v>
      </c>
      <c r="G2439" s="2">
        <v>-143.87</v>
      </c>
      <c r="H2439" t="s">
        <v>2837</v>
      </c>
      <c r="J2439" s="18" t="s">
        <v>4327</v>
      </c>
    </row>
    <row r="2440" spans="3:10" x14ac:dyDescent="0.25">
      <c r="C2440" s="17" t="str">
        <f t="shared" si="38"/>
        <v>28.801011.-15949.8612..CLEAR SCHEDULE.</v>
      </c>
      <c r="E2440">
        <v>28</v>
      </c>
      <c r="F2440">
        <v>801011</v>
      </c>
      <c r="G2440" s="1">
        <v>-159.49</v>
      </c>
      <c r="H2440" t="s">
        <v>2838</v>
      </c>
      <c r="J2440" s="18" t="s">
        <v>4327</v>
      </c>
    </row>
    <row r="2441" spans="3:10" x14ac:dyDescent="0.25">
      <c r="C2441" s="17" t="str">
        <f t="shared" si="38"/>
        <v>28.801011.-18515.8613..CLEAR SCHEDULE.</v>
      </c>
      <c r="E2441">
        <v>28</v>
      </c>
      <c r="F2441">
        <v>801011</v>
      </c>
      <c r="G2441" s="2">
        <v>-185.15</v>
      </c>
      <c r="H2441" t="s">
        <v>2839</v>
      </c>
      <c r="J2441" s="18" t="s">
        <v>4327</v>
      </c>
    </row>
    <row r="2442" spans="3:10" x14ac:dyDescent="0.25">
      <c r="C2442" s="17" t="str">
        <f t="shared" si="38"/>
        <v>28.801011.-32828.8614..CLEAR SCHEDULE.</v>
      </c>
      <c r="E2442">
        <v>28</v>
      </c>
      <c r="F2442">
        <v>801011</v>
      </c>
      <c r="G2442" s="1">
        <v>-328.28</v>
      </c>
      <c r="H2442" t="s">
        <v>2840</v>
      </c>
      <c r="J2442" s="18" t="s">
        <v>4327</v>
      </c>
    </row>
    <row r="2443" spans="3:10" x14ac:dyDescent="0.25">
      <c r="C2443" s="17" t="str">
        <f t="shared" ref="C2443:C2506" si="39">IF(G2443=0,"",(E2443&amp;"."&amp;F2443&amp;"."&amp;G2443*100&amp;"."&amp;H2443&amp;"."&amp;I2443&amp;"."&amp;J2443&amp;"."&amp;K2443))</f>
        <v>28.801011.-9751.8616..CLEAR SCHEDULE.</v>
      </c>
      <c r="E2443">
        <v>28</v>
      </c>
      <c r="F2443">
        <v>801011</v>
      </c>
      <c r="G2443" s="2">
        <v>-97.51</v>
      </c>
      <c r="H2443" t="s">
        <v>2841</v>
      </c>
      <c r="J2443" s="18" t="s">
        <v>4327</v>
      </c>
    </row>
    <row r="2444" spans="3:10" x14ac:dyDescent="0.25">
      <c r="C2444" s="17" t="str">
        <f t="shared" si="39"/>
        <v>28.801011.-21339.8617..CLEAR SCHEDULE.</v>
      </c>
      <c r="E2444">
        <v>28</v>
      </c>
      <c r="F2444">
        <v>801011</v>
      </c>
      <c r="G2444" s="1">
        <v>-213.39</v>
      </c>
      <c r="H2444" t="s">
        <v>2842</v>
      </c>
      <c r="J2444" s="18" t="s">
        <v>4327</v>
      </c>
    </row>
    <row r="2445" spans="3:10" x14ac:dyDescent="0.25">
      <c r="C2445" s="17" t="str">
        <f t="shared" si="39"/>
        <v>28.801011.-14387.8620..CLEAR SCHEDULE.</v>
      </c>
      <c r="E2445">
        <v>28</v>
      </c>
      <c r="F2445">
        <v>801011</v>
      </c>
      <c r="G2445" s="2">
        <v>-143.87</v>
      </c>
      <c r="H2445" t="s">
        <v>2843</v>
      </c>
      <c r="J2445" s="18" t="s">
        <v>4327</v>
      </c>
    </row>
    <row r="2446" spans="3:10" x14ac:dyDescent="0.25">
      <c r="C2446" s="17" t="str">
        <f t="shared" si="39"/>
        <v>28.801011.-15945.8621..CLEAR SCHEDULE.</v>
      </c>
      <c r="E2446">
        <v>28</v>
      </c>
      <c r="F2446">
        <v>801011</v>
      </c>
      <c r="G2446" s="1">
        <v>-159.44999999999999</v>
      </c>
      <c r="H2446" t="s">
        <v>2844</v>
      </c>
      <c r="J2446" s="18" t="s">
        <v>4327</v>
      </c>
    </row>
    <row r="2447" spans="3:10" x14ac:dyDescent="0.25">
      <c r="C2447" s="17" t="str">
        <f t="shared" si="39"/>
        <v>28.801011.-3000.8623..CLEAR SCHEDULE.</v>
      </c>
      <c r="E2447">
        <v>28</v>
      </c>
      <c r="F2447">
        <v>801011</v>
      </c>
      <c r="G2447" s="2">
        <v>-30</v>
      </c>
      <c r="H2447" t="s">
        <v>2845</v>
      </c>
      <c r="J2447" s="18" t="s">
        <v>4327</v>
      </c>
    </row>
    <row r="2448" spans="3:10" x14ac:dyDescent="0.25">
      <c r="C2448" s="17" t="str">
        <f t="shared" si="39"/>
        <v>28.801011.-48121.8624..CLEAR SCHEDULE.</v>
      </c>
      <c r="E2448">
        <v>28</v>
      </c>
      <c r="F2448">
        <v>801011</v>
      </c>
      <c r="G2448" s="1">
        <v>-481.21</v>
      </c>
      <c r="H2448" t="s">
        <v>2846</v>
      </c>
      <c r="J2448" s="18" t="s">
        <v>4327</v>
      </c>
    </row>
    <row r="2449" spans="3:10" x14ac:dyDescent="0.25">
      <c r="C2449" s="17" t="str">
        <f t="shared" si="39"/>
        <v>28.801011.-11028.8625..CLEAR SCHEDULE.</v>
      </c>
      <c r="E2449">
        <v>28</v>
      </c>
      <c r="F2449">
        <v>801011</v>
      </c>
      <c r="G2449" s="2">
        <v>-110.28</v>
      </c>
      <c r="H2449" t="s">
        <v>2847</v>
      </c>
      <c r="J2449" s="18" t="s">
        <v>4327</v>
      </c>
    </row>
    <row r="2450" spans="3:10" x14ac:dyDescent="0.25">
      <c r="C2450" s="17" t="str">
        <f t="shared" si="39"/>
        <v>28.801011.-5415.8627..CLEAR SCHEDULE.</v>
      </c>
      <c r="E2450">
        <v>28</v>
      </c>
      <c r="F2450">
        <v>801011</v>
      </c>
      <c r="G2450" s="1">
        <v>-54.15</v>
      </c>
      <c r="H2450" t="s">
        <v>2848</v>
      </c>
      <c r="J2450" s="18" t="s">
        <v>4327</v>
      </c>
    </row>
    <row r="2451" spans="3:10" x14ac:dyDescent="0.25">
      <c r="C2451" s="17" t="str">
        <f t="shared" si="39"/>
        <v>28.801011.-55448.8629..CLEAR SCHEDULE.</v>
      </c>
      <c r="E2451">
        <v>28</v>
      </c>
      <c r="F2451">
        <v>801011</v>
      </c>
      <c r="G2451" s="2">
        <v>-554.48</v>
      </c>
      <c r="H2451" t="s">
        <v>2849</v>
      </c>
      <c r="J2451" s="18" t="s">
        <v>4327</v>
      </c>
    </row>
    <row r="2452" spans="3:10" x14ac:dyDescent="0.25">
      <c r="C2452" s="17" t="str">
        <f t="shared" si="39"/>
        <v>28.801011.-76282.8632..CLEAR SCHEDULE.</v>
      </c>
      <c r="E2452">
        <v>28</v>
      </c>
      <c r="F2452">
        <v>801011</v>
      </c>
      <c r="G2452" s="1">
        <v>-762.82</v>
      </c>
      <c r="H2452" t="s">
        <v>2850</v>
      </c>
      <c r="J2452" s="18" t="s">
        <v>4327</v>
      </c>
    </row>
    <row r="2453" spans="3:10" x14ac:dyDescent="0.25">
      <c r="C2453" s="17" t="str">
        <f t="shared" si="39"/>
        <v>28.801011.-17500.8633..CLEAR SCHEDULE.</v>
      </c>
      <c r="E2453">
        <v>28</v>
      </c>
      <c r="F2453">
        <v>801011</v>
      </c>
      <c r="G2453" s="2">
        <v>-175</v>
      </c>
      <c r="H2453" t="s">
        <v>2851</v>
      </c>
      <c r="J2453" s="18" t="s">
        <v>4327</v>
      </c>
    </row>
    <row r="2454" spans="3:10" x14ac:dyDescent="0.25">
      <c r="C2454" s="17" t="str">
        <f t="shared" si="39"/>
        <v>28.801011.-60717.8635..CLEAR SCHEDULE.</v>
      </c>
      <c r="E2454">
        <v>28</v>
      </c>
      <c r="F2454">
        <v>801011</v>
      </c>
      <c r="G2454" s="1">
        <v>-607.16999999999996</v>
      </c>
      <c r="H2454" t="s">
        <v>2852</v>
      </c>
      <c r="J2454" s="18" t="s">
        <v>4327</v>
      </c>
    </row>
    <row r="2455" spans="3:10" x14ac:dyDescent="0.25">
      <c r="C2455" s="17" t="str">
        <f t="shared" si="39"/>
        <v>28.801011.-47073.8636..CLEAR SCHEDULE.</v>
      </c>
      <c r="E2455">
        <v>28</v>
      </c>
      <c r="F2455">
        <v>801011</v>
      </c>
      <c r="G2455" s="2">
        <v>-470.73</v>
      </c>
      <c r="H2455" t="s">
        <v>2853</v>
      </c>
      <c r="J2455" s="18" t="s">
        <v>4327</v>
      </c>
    </row>
    <row r="2456" spans="3:10" x14ac:dyDescent="0.25">
      <c r="C2456" s="17" t="str">
        <f t="shared" si="39"/>
        <v>28.801011.-14387.8637..CLEAR SCHEDULE.</v>
      </c>
      <c r="E2456">
        <v>28</v>
      </c>
      <c r="F2456">
        <v>801011</v>
      </c>
      <c r="G2456" s="1">
        <v>-143.87</v>
      </c>
      <c r="H2456" t="s">
        <v>2854</v>
      </c>
      <c r="J2456" s="18" t="s">
        <v>4327</v>
      </c>
    </row>
    <row r="2457" spans="3:10" x14ac:dyDescent="0.25">
      <c r="C2457" s="17" t="str">
        <f t="shared" si="39"/>
        <v>28.801011.-14387.8639..CLEAR SCHEDULE.</v>
      </c>
      <c r="E2457">
        <v>28</v>
      </c>
      <c r="F2457">
        <v>801011</v>
      </c>
      <c r="G2457" s="2">
        <v>-143.87</v>
      </c>
      <c r="H2457" t="s">
        <v>2855</v>
      </c>
      <c r="J2457" s="18" t="s">
        <v>4327</v>
      </c>
    </row>
    <row r="2458" spans="3:10" x14ac:dyDescent="0.25">
      <c r="C2458" s="17" t="str">
        <f t="shared" si="39"/>
        <v>28.801011.-8972.8640..CLEAR SCHEDULE.</v>
      </c>
      <c r="E2458">
        <v>28</v>
      </c>
      <c r="F2458">
        <v>801011</v>
      </c>
      <c r="G2458" s="1">
        <v>-89.72</v>
      </c>
      <c r="H2458" t="s">
        <v>2856</v>
      </c>
      <c r="J2458" s="18" t="s">
        <v>4327</v>
      </c>
    </row>
    <row r="2459" spans="3:10" x14ac:dyDescent="0.25">
      <c r="C2459" s="17" t="str">
        <f t="shared" si="39"/>
        <v>28.801011.-89101.8642..CLEAR SCHEDULE.</v>
      </c>
      <c r="E2459">
        <v>28</v>
      </c>
      <c r="F2459">
        <v>801011</v>
      </c>
      <c r="G2459" s="2">
        <v>-891.01</v>
      </c>
      <c r="H2459" t="s">
        <v>2857</v>
      </c>
      <c r="J2459" s="18" t="s">
        <v>4327</v>
      </c>
    </row>
    <row r="2460" spans="3:10" x14ac:dyDescent="0.25">
      <c r="C2460" s="17" t="str">
        <f t="shared" si="39"/>
        <v>28.801011.-144339.8644..CLEAR SCHEDULE.</v>
      </c>
      <c r="E2460">
        <v>28</v>
      </c>
      <c r="F2460">
        <v>801011</v>
      </c>
      <c r="G2460" s="1">
        <v>-1443.39</v>
      </c>
      <c r="H2460" t="s">
        <v>2858</v>
      </c>
      <c r="J2460" s="18" t="s">
        <v>4327</v>
      </c>
    </row>
    <row r="2461" spans="3:10" x14ac:dyDescent="0.25">
      <c r="C2461" s="17" t="str">
        <f t="shared" si="39"/>
        <v>28.801011.-5415.8647..CLEAR SCHEDULE.</v>
      </c>
      <c r="E2461">
        <v>28</v>
      </c>
      <c r="F2461">
        <v>801011</v>
      </c>
      <c r="G2461" s="2">
        <v>-54.15</v>
      </c>
      <c r="H2461" t="s">
        <v>2859</v>
      </c>
      <c r="J2461" s="18" t="s">
        <v>4327</v>
      </c>
    </row>
    <row r="2462" spans="3:10" x14ac:dyDescent="0.25">
      <c r="C2462" s="17" t="str">
        <f t="shared" si="39"/>
        <v>28.801011.-50869.8649..CLEAR SCHEDULE.</v>
      </c>
      <c r="E2462">
        <v>28</v>
      </c>
      <c r="F2462">
        <v>801011</v>
      </c>
      <c r="G2462" s="1">
        <v>-508.69</v>
      </c>
      <c r="H2462" t="s">
        <v>2860</v>
      </c>
      <c r="J2462" s="18" t="s">
        <v>4327</v>
      </c>
    </row>
    <row r="2463" spans="3:10" x14ac:dyDescent="0.25">
      <c r="C2463" s="17" t="str">
        <f t="shared" si="39"/>
        <v>28.801011.-34129.8650..CLEAR SCHEDULE.</v>
      </c>
      <c r="E2463">
        <v>28</v>
      </c>
      <c r="F2463">
        <v>801011</v>
      </c>
      <c r="G2463" s="2">
        <v>-341.29</v>
      </c>
      <c r="H2463" t="s">
        <v>2861</v>
      </c>
      <c r="J2463" s="18" t="s">
        <v>4327</v>
      </c>
    </row>
    <row r="2464" spans="3:10" x14ac:dyDescent="0.25">
      <c r="C2464" s="17" t="str">
        <f t="shared" si="39"/>
        <v>28.801011.-14387.8651..CLEAR SCHEDULE.</v>
      </c>
      <c r="E2464">
        <v>28</v>
      </c>
      <c r="F2464">
        <v>801011</v>
      </c>
      <c r="G2464" s="1">
        <v>-143.87</v>
      </c>
      <c r="H2464" t="s">
        <v>2862</v>
      </c>
      <c r="J2464" s="18" t="s">
        <v>4327</v>
      </c>
    </row>
    <row r="2465" spans="3:10" x14ac:dyDescent="0.25">
      <c r="C2465" s="17" t="str">
        <f t="shared" si="39"/>
        <v>28.801011.-43974.8652..CLEAR SCHEDULE.</v>
      </c>
      <c r="E2465">
        <v>28</v>
      </c>
      <c r="F2465">
        <v>801011</v>
      </c>
      <c r="G2465" s="2">
        <v>-439.74</v>
      </c>
      <c r="H2465" t="s">
        <v>2863</v>
      </c>
      <c r="J2465" s="18" t="s">
        <v>4327</v>
      </c>
    </row>
    <row r="2466" spans="3:10" x14ac:dyDescent="0.25">
      <c r="C2466" s="17" t="str">
        <f t="shared" si="39"/>
        <v>28.801011.-66032.8654..CLEAR SCHEDULE.</v>
      </c>
      <c r="E2466">
        <v>28</v>
      </c>
      <c r="F2466">
        <v>801011</v>
      </c>
      <c r="G2466" s="1">
        <v>-660.32</v>
      </c>
      <c r="H2466" t="s">
        <v>2864</v>
      </c>
      <c r="J2466" s="18" t="s">
        <v>4327</v>
      </c>
    </row>
    <row r="2467" spans="3:10" x14ac:dyDescent="0.25">
      <c r="C2467" s="17" t="str">
        <f t="shared" si="39"/>
        <v>28.801011.-14842.8655..CLEAR SCHEDULE.</v>
      </c>
      <c r="E2467">
        <v>28</v>
      </c>
      <c r="F2467">
        <v>801011</v>
      </c>
      <c r="G2467" s="2">
        <v>-148.41999999999999</v>
      </c>
      <c r="H2467" t="s">
        <v>2865</v>
      </c>
      <c r="J2467" s="18" t="s">
        <v>4327</v>
      </c>
    </row>
    <row r="2468" spans="3:10" x14ac:dyDescent="0.25">
      <c r="C2468" s="17" t="str">
        <f t="shared" si="39"/>
        <v>28.801011.-101419.8656..CLEAR SCHEDULE.</v>
      </c>
      <c r="E2468">
        <v>28</v>
      </c>
      <c r="F2468">
        <v>801011</v>
      </c>
      <c r="G2468" s="1">
        <v>-1014.19</v>
      </c>
      <c r="H2468" t="s">
        <v>2866</v>
      </c>
      <c r="J2468" s="18" t="s">
        <v>4327</v>
      </c>
    </row>
    <row r="2469" spans="3:10" x14ac:dyDescent="0.25">
      <c r="C2469" s="17" t="str">
        <f t="shared" si="39"/>
        <v>28.801011.-47737.8658..CLEAR SCHEDULE.</v>
      </c>
      <c r="E2469">
        <v>28</v>
      </c>
      <c r="F2469">
        <v>801011</v>
      </c>
      <c r="G2469" s="2">
        <v>-477.37</v>
      </c>
      <c r="H2469" t="s">
        <v>2867</v>
      </c>
      <c r="J2469" s="18" t="s">
        <v>4327</v>
      </c>
    </row>
    <row r="2470" spans="3:10" x14ac:dyDescent="0.25">
      <c r="C2470" s="17" t="str">
        <f t="shared" si="39"/>
        <v>28.801011.-10530.8659..CLEAR SCHEDULE.</v>
      </c>
      <c r="E2470">
        <v>28</v>
      </c>
      <c r="F2470">
        <v>801011</v>
      </c>
      <c r="G2470" s="1">
        <v>-105.3</v>
      </c>
      <c r="H2470" t="s">
        <v>2868</v>
      </c>
      <c r="J2470" s="18" t="s">
        <v>4327</v>
      </c>
    </row>
    <row r="2471" spans="3:10" x14ac:dyDescent="0.25">
      <c r="C2471" s="17" t="str">
        <f t="shared" si="39"/>
        <v>28.801011.-15018.8660..CLEAR SCHEDULE.</v>
      </c>
      <c r="E2471">
        <v>28</v>
      </c>
      <c r="F2471">
        <v>801011</v>
      </c>
      <c r="G2471" s="2">
        <v>-150.18</v>
      </c>
      <c r="H2471" t="s">
        <v>2869</v>
      </c>
      <c r="J2471" s="18" t="s">
        <v>4327</v>
      </c>
    </row>
    <row r="2472" spans="3:10" x14ac:dyDescent="0.25">
      <c r="C2472" s="17" t="str">
        <f t="shared" si="39"/>
        <v>28.801011.-29589.8661..CLEAR SCHEDULE.</v>
      </c>
      <c r="E2472">
        <v>28</v>
      </c>
      <c r="F2472">
        <v>801011</v>
      </c>
      <c r="G2472" s="1">
        <v>-295.89</v>
      </c>
      <c r="H2472" t="s">
        <v>2870</v>
      </c>
      <c r="J2472" s="18" t="s">
        <v>4327</v>
      </c>
    </row>
    <row r="2473" spans="3:10" x14ac:dyDescent="0.25">
      <c r="C2473" s="17" t="str">
        <f t="shared" si="39"/>
        <v>28.801011.-28947.8663..CLEAR SCHEDULE.</v>
      </c>
      <c r="E2473">
        <v>28</v>
      </c>
      <c r="F2473">
        <v>801011</v>
      </c>
      <c r="G2473" s="2">
        <v>-289.47000000000003</v>
      </c>
      <c r="H2473" t="s">
        <v>2871</v>
      </c>
      <c r="J2473" s="18" t="s">
        <v>4327</v>
      </c>
    </row>
    <row r="2474" spans="3:10" x14ac:dyDescent="0.25">
      <c r="C2474" s="17" t="str">
        <f t="shared" si="39"/>
        <v>28.801011.-14387.8664..CLEAR SCHEDULE.</v>
      </c>
      <c r="E2474">
        <v>28</v>
      </c>
      <c r="F2474">
        <v>801011</v>
      </c>
      <c r="G2474" s="1">
        <v>-143.87</v>
      </c>
      <c r="H2474" t="s">
        <v>2872</v>
      </c>
      <c r="J2474" s="18" t="s">
        <v>4327</v>
      </c>
    </row>
    <row r="2475" spans="3:10" x14ac:dyDescent="0.25">
      <c r="C2475" s="17" t="str">
        <f t="shared" si="39"/>
        <v>28.801011.-25798.8665..CLEAR SCHEDULE.</v>
      </c>
      <c r="E2475">
        <v>28</v>
      </c>
      <c r="F2475">
        <v>801011</v>
      </c>
      <c r="G2475" s="2">
        <v>-257.98</v>
      </c>
      <c r="H2475" t="s">
        <v>2873</v>
      </c>
      <c r="J2475" s="18" t="s">
        <v>4327</v>
      </c>
    </row>
    <row r="2476" spans="3:10" x14ac:dyDescent="0.25">
      <c r="C2476" s="17" t="str">
        <f t="shared" si="39"/>
        <v>28.801011.-15945.8666..CLEAR SCHEDULE.</v>
      </c>
      <c r="E2476">
        <v>28</v>
      </c>
      <c r="F2476">
        <v>801011</v>
      </c>
      <c r="G2476" s="1">
        <v>-159.44999999999999</v>
      </c>
      <c r="H2476" t="s">
        <v>2874</v>
      </c>
      <c r="J2476" s="18" t="s">
        <v>4327</v>
      </c>
    </row>
    <row r="2477" spans="3:10" x14ac:dyDescent="0.25">
      <c r="C2477" s="17" t="str">
        <f t="shared" si="39"/>
        <v>28.801011.-15166.8668..CLEAR SCHEDULE.</v>
      </c>
      <c r="E2477">
        <v>28</v>
      </c>
      <c r="F2477">
        <v>801011</v>
      </c>
      <c r="G2477" s="2">
        <v>-151.66</v>
      </c>
      <c r="H2477" t="s">
        <v>2875</v>
      </c>
      <c r="J2477" s="18" t="s">
        <v>4327</v>
      </c>
    </row>
    <row r="2478" spans="3:10" x14ac:dyDescent="0.25">
      <c r="C2478" s="17" t="str">
        <f t="shared" si="39"/>
        <v>28.801011.-4676.8669..CLEAR SCHEDULE.</v>
      </c>
      <c r="E2478">
        <v>28</v>
      </c>
      <c r="F2478">
        <v>801011</v>
      </c>
      <c r="G2478" s="1">
        <v>-46.76</v>
      </c>
      <c r="H2478" t="s">
        <v>2876</v>
      </c>
      <c r="J2478" s="18" t="s">
        <v>4327</v>
      </c>
    </row>
    <row r="2479" spans="3:10" x14ac:dyDescent="0.25">
      <c r="C2479" s="17" t="str">
        <f t="shared" si="39"/>
        <v>28.801011.-14387.8670..CLEAR SCHEDULE.</v>
      </c>
      <c r="E2479">
        <v>28</v>
      </c>
      <c r="F2479">
        <v>801011</v>
      </c>
      <c r="G2479" s="2">
        <v>-143.87</v>
      </c>
      <c r="H2479" t="s">
        <v>2877</v>
      </c>
      <c r="J2479" s="18" t="s">
        <v>4327</v>
      </c>
    </row>
    <row r="2480" spans="3:10" x14ac:dyDescent="0.25">
      <c r="C2480" s="17" t="str">
        <f t="shared" si="39"/>
        <v>28.801011.-44532.8671..CLEAR SCHEDULE.</v>
      </c>
      <c r="E2480">
        <v>28</v>
      </c>
      <c r="F2480">
        <v>801011</v>
      </c>
      <c r="G2480" s="1">
        <v>-445.32</v>
      </c>
      <c r="H2480" t="s">
        <v>2878</v>
      </c>
      <c r="J2480" s="18" t="s">
        <v>4327</v>
      </c>
    </row>
    <row r="2481" spans="3:10" x14ac:dyDescent="0.25">
      <c r="C2481" s="17" t="str">
        <f t="shared" si="39"/>
        <v>28.801011.-46677.8672..CLEAR SCHEDULE.</v>
      </c>
      <c r="E2481">
        <v>28</v>
      </c>
      <c r="F2481">
        <v>801011</v>
      </c>
      <c r="G2481" s="2">
        <v>-466.77</v>
      </c>
      <c r="H2481" t="s">
        <v>2879</v>
      </c>
      <c r="J2481" s="18" t="s">
        <v>4327</v>
      </c>
    </row>
    <row r="2482" spans="3:10" x14ac:dyDescent="0.25">
      <c r="C2482" s="17" t="str">
        <f t="shared" si="39"/>
        <v>28.801011.-30908.8673..CLEAR SCHEDULE.</v>
      </c>
      <c r="E2482">
        <v>28</v>
      </c>
      <c r="F2482">
        <v>801011</v>
      </c>
      <c r="G2482" s="1">
        <v>-309.08</v>
      </c>
      <c r="H2482" t="s">
        <v>2880</v>
      </c>
      <c r="J2482" s="18" t="s">
        <v>4327</v>
      </c>
    </row>
    <row r="2483" spans="3:10" x14ac:dyDescent="0.25">
      <c r="C2483" s="17" t="str">
        <f t="shared" si="39"/>
        <v>28.801011.-5415.8675..CLEAR SCHEDULE.</v>
      </c>
      <c r="E2483">
        <v>28</v>
      </c>
      <c r="F2483">
        <v>801011</v>
      </c>
      <c r="G2483" s="2">
        <v>-54.15</v>
      </c>
      <c r="H2483" t="s">
        <v>2881</v>
      </c>
      <c r="J2483" s="18" t="s">
        <v>4327</v>
      </c>
    </row>
    <row r="2484" spans="3:10" x14ac:dyDescent="0.25">
      <c r="C2484" s="17" t="str">
        <f t="shared" si="39"/>
        <v>28.801011.-801.8677..CLEAR SCHEDULE.</v>
      </c>
      <c r="E2484">
        <v>28</v>
      </c>
      <c r="F2484">
        <v>801011</v>
      </c>
      <c r="G2484" s="1">
        <v>-8.01</v>
      </c>
      <c r="H2484" t="s">
        <v>2882</v>
      </c>
      <c r="J2484" s="18" t="s">
        <v>4327</v>
      </c>
    </row>
    <row r="2485" spans="3:10" x14ac:dyDescent="0.25">
      <c r="C2485" s="17" t="str">
        <f t="shared" si="39"/>
        <v>28.801011.-32632.8678..CLEAR SCHEDULE.</v>
      </c>
      <c r="E2485">
        <v>28</v>
      </c>
      <c r="F2485">
        <v>801011</v>
      </c>
      <c r="G2485" s="2">
        <v>-326.32</v>
      </c>
      <c r="H2485" t="s">
        <v>2883</v>
      </c>
      <c r="J2485" s="18" t="s">
        <v>4327</v>
      </c>
    </row>
    <row r="2486" spans="3:10" x14ac:dyDescent="0.25">
      <c r="C2486" s="17" t="str">
        <f t="shared" si="39"/>
        <v>28.801011.-30089.8680..CLEAR SCHEDULE.</v>
      </c>
      <c r="E2486">
        <v>28</v>
      </c>
      <c r="F2486">
        <v>801011</v>
      </c>
      <c r="G2486" s="1">
        <v>-300.89</v>
      </c>
      <c r="H2486" t="s">
        <v>2884</v>
      </c>
      <c r="J2486" s="18" t="s">
        <v>4327</v>
      </c>
    </row>
    <row r="2487" spans="3:10" x14ac:dyDescent="0.25">
      <c r="C2487" s="17" t="str">
        <f t="shared" si="39"/>
        <v>28.801011.-14387.8682..CLEAR SCHEDULE.</v>
      </c>
      <c r="E2487">
        <v>28</v>
      </c>
      <c r="F2487">
        <v>801011</v>
      </c>
      <c r="G2487" s="2">
        <v>-143.87</v>
      </c>
      <c r="H2487" t="s">
        <v>2885</v>
      </c>
      <c r="J2487" s="18" t="s">
        <v>4327</v>
      </c>
    </row>
    <row r="2488" spans="3:10" x14ac:dyDescent="0.25">
      <c r="C2488" s="17" t="str">
        <f t="shared" si="39"/>
        <v>28.801011.-235730.8683..CLEAR SCHEDULE.</v>
      </c>
      <c r="E2488">
        <v>28</v>
      </c>
      <c r="F2488">
        <v>801011</v>
      </c>
      <c r="G2488" s="1">
        <v>-2357.3000000000002</v>
      </c>
      <c r="H2488" t="s">
        <v>2886</v>
      </c>
      <c r="J2488" s="18" t="s">
        <v>4327</v>
      </c>
    </row>
    <row r="2489" spans="3:10" x14ac:dyDescent="0.25">
      <c r="C2489" s="17" t="str">
        <f t="shared" si="39"/>
        <v>28.801011.-23976.8684..CLEAR SCHEDULE.</v>
      </c>
      <c r="E2489">
        <v>28</v>
      </c>
      <c r="F2489">
        <v>801011</v>
      </c>
      <c r="G2489" s="2">
        <v>-239.76</v>
      </c>
      <c r="H2489" t="s">
        <v>2887</v>
      </c>
      <c r="J2489" s="18" t="s">
        <v>4327</v>
      </c>
    </row>
    <row r="2490" spans="3:10" x14ac:dyDescent="0.25">
      <c r="C2490" s="17" t="str">
        <f t="shared" si="39"/>
        <v>28.801011.-38355.8686..CLEAR SCHEDULE.</v>
      </c>
      <c r="E2490">
        <v>28</v>
      </c>
      <c r="F2490">
        <v>801011</v>
      </c>
      <c r="G2490" s="1">
        <v>-383.55</v>
      </c>
      <c r="H2490" t="s">
        <v>2888</v>
      </c>
      <c r="J2490" s="18" t="s">
        <v>4327</v>
      </c>
    </row>
    <row r="2491" spans="3:10" x14ac:dyDescent="0.25">
      <c r="C2491" s="17" t="str">
        <f t="shared" si="39"/>
        <v>28.801011.-10530.8687..CLEAR SCHEDULE.</v>
      </c>
      <c r="E2491">
        <v>28</v>
      </c>
      <c r="F2491">
        <v>801011</v>
      </c>
      <c r="G2491" s="2">
        <v>-105.3</v>
      </c>
      <c r="H2491" t="s">
        <v>2889</v>
      </c>
      <c r="J2491" s="18" t="s">
        <v>4327</v>
      </c>
    </row>
    <row r="2492" spans="3:10" x14ac:dyDescent="0.25">
      <c r="C2492" s="17" t="str">
        <f t="shared" si="39"/>
        <v>28.801011.-67511.8689..CLEAR SCHEDULE.</v>
      </c>
      <c r="E2492">
        <v>28</v>
      </c>
      <c r="F2492">
        <v>801011</v>
      </c>
      <c r="G2492" s="1">
        <v>-675.11</v>
      </c>
      <c r="H2492" t="s">
        <v>2890</v>
      </c>
      <c r="J2492" s="18" t="s">
        <v>4327</v>
      </c>
    </row>
    <row r="2493" spans="3:10" x14ac:dyDescent="0.25">
      <c r="C2493" s="17" t="str">
        <f t="shared" si="39"/>
        <v>28.801011.-14387.8691..CLEAR SCHEDULE.</v>
      </c>
      <c r="E2493">
        <v>28</v>
      </c>
      <c r="F2493">
        <v>801011</v>
      </c>
      <c r="G2493" s="2">
        <v>-143.87</v>
      </c>
      <c r="H2493" t="s">
        <v>2891</v>
      </c>
      <c r="J2493" s="18" t="s">
        <v>4327</v>
      </c>
    </row>
    <row r="2494" spans="3:10" x14ac:dyDescent="0.25">
      <c r="C2494" s="17" t="str">
        <f t="shared" si="39"/>
        <v>28.801011.-15166.8692..CLEAR SCHEDULE.</v>
      </c>
      <c r="E2494">
        <v>28</v>
      </c>
      <c r="F2494">
        <v>801011</v>
      </c>
      <c r="G2494" s="1">
        <v>-151.66</v>
      </c>
      <c r="H2494" t="s">
        <v>2892</v>
      </c>
      <c r="J2494" s="18" t="s">
        <v>4327</v>
      </c>
    </row>
    <row r="2495" spans="3:10" x14ac:dyDescent="0.25">
      <c r="C2495" s="17" t="str">
        <f t="shared" si="39"/>
        <v>28.801011.-7161.8695..CLEAR SCHEDULE.</v>
      </c>
      <c r="E2495">
        <v>28</v>
      </c>
      <c r="F2495">
        <v>801011</v>
      </c>
      <c r="G2495" s="2">
        <v>-71.61</v>
      </c>
      <c r="H2495" t="s">
        <v>2893</v>
      </c>
      <c r="J2495" s="18" t="s">
        <v>4327</v>
      </c>
    </row>
    <row r="2496" spans="3:10" x14ac:dyDescent="0.25">
      <c r="C2496" s="17" t="str">
        <f t="shared" si="39"/>
        <v>28.801011.-5415.8697..CLEAR SCHEDULE.</v>
      </c>
      <c r="E2496">
        <v>28</v>
      </c>
      <c r="F2496">
        <v>801011</v>
      </c>
      <c r="G2496" s="1">
        <v>-54.15</v>
      </c>
      <c r="H2496" t="s">
        <v>2894</v>
      </c>
      <c r="J2496" s="18" t="s">
        <v>4327</v>
      </c>
    </row>
    <row r="2497" spans="3:10" x14ac:dyDescent="0.25">
      <c r="C2497" s="17" t="str">
        <f t="shared" si="39"/>
        <v>28.801011.-559357.8699..CLEAR SCHEDULE.</v>
      </c>
      <c r="E2497">
        <v>28</v>
      </c>
      <c r="F2497">
        <v>801011</v>
      </c>
      <c r="G2497" s="2">
        <v>-5593.57</v>
      </c>
      <c r="H2497" t="s">
        <v>2895</v>
      </c>
      <c r="J2497" s="18" t="s">
        <v>4327</v>
      </c>
    </row>
    <row r="2498" spans="3:10" x14ac:dyDescent="0.25">
      <c r="C2498" s="17" t="str">
        <f t="shared" si="39"/>
        <v>28.801011.-46677.8700..CLEAR SCHEDULE.</v>
      </c>
      <c r="E2498">
        <v>28</v>
      </c>
      <c r="F2498">
        <v>801011</v>
      </c>
      <c r="G2498" s="1">
        <v>-466.77</v>
      </c>
      <c r="H2498" t="s">
        <v>2896</v>
      </c>
      <c r="J2498" s="18" t="s">
        <v>4327</v>
      </c>
    </row>
    <row r="2499" spans="3:10" x14ac:dyDescent="0.25">
      <c r="C2499" s="17" t="str">
        <f t="shared" si="39"/>
        <v>28.801011.-24202.8701..CLEAR SCHEDULE.</v>
      </c>
      <c r="E2499">
        <v>28</v>
      </c>
      <c r="F2499">
        <v>801011</v>
      </c>
      <c r="G2499" s="2">
        <v>-242.02</v>
      </c>
      <c r="H2499" t="s">
        <v>2897</v>
      </c>
      <c r="J2499" s="18" t="s">
        <v>4327</v>
      </c>
    </row>
    <row r="2500" spans="3:10" x14ac:dyDescent="0.25">
      <c r="C2500" s="17" t="str">
        <f t="shared" si="39"/>
        <v>28.801011.-96255.8702..CLEAR SCHEDULE.</v>
      </c>
      <c r="E2500">
        <v>28</v>
      </c>
      <c r="F2500">
        <v>801011</v>
      </c>
      <c r="G2500" s="1">
        <v>-962.55</v>
      </c>
      <c r="H2500" t="s">
        <v>2898</v>
      </c>
      <c r="J2500" s="18" t="s">
        <v>4327</v>
      </c>
    </row>
    <row r="2501" spans="3:10" x14ac:dyDescent="0.25">
      <c r="C2501" s="17" t="str">
        <f t="shared" si="39"/>
        <v>28.801011.-15945.8703..CLEAR SCHEDULE.</v>
      </c>
      <c r="E2501">
        <v>28</v>
      </c>
      <c r="F2501">
        <v>801011</v>
      </c>
      <c r="G2501" s="2">
        <v>-159.44999999999999</v>
      </c>
      <c r="H2501" t="s">
        <v>2899</v>
      </c>
      <c r="J2501" s="18" t="s">
        <v>4327</v>
      </c>
    </row>
    <row r="2502" spans="3:10" x14ac:dyDescent="0.25">
      <c r="C2502" s="17" t="str">
        <f t="shared" si="39"/>
        <v>28.801011.-186257.8705..CLEAR SCHEDULE.</v>
      </c>
      <c r="E2502">
        <v>28</v>
      </c>
      <c r="F2502">
        <v>801011</v>
      </c>
      <c r="G2502" s="1">
        <v>-1862.57</v>
      </c>
      <c r="H2502" t="s">
        <v>2900</v>
      </c>
      <c r="J2502" s="18" t="s">
        <v>4327</v>
      </c>
    </row>
    <row r="2503" spans="3:10" x14ac:dyDescent="0.25">
      <c r="C2503" s="17" t="str">
        <f t="shared" si="39"/>
        <v>28.801011.-53200.8706..CLEAR SCHEDULE.</v>
      </c>
      <c r="E2503">
        <v>28</v>
      </c>
      <c r="F2503">
        <v>801011</v>
      </c>
      <c r="G2503" s="2">
        <v>-532</v>
      </c>
      <c r="H2503" t="s">
        <v>2901</v>
      </c>
      <c r="J2503" s="18" t="s">
        <v>4327</v>
      </c>
    </row>
    <row r="2504" spans="3:10" x14ac:dyDescent="0.25">
      <c r="C2504" s="17" t="str">
        <f t="shared" si="39"/>
        <v>28.801011.-116961.8707..CLEAR SCHEDULE.</v>
      </c>
      <c r="E2504">
        <v>28</v>
      </c>
      <c r="F2504">
        <v>801011</v>
      </c>
      <c r="G2504" s="1">
        <v>-1169.6099999999999</v>
      </c>
      <c r="H2504" t="s">
        <v>2902</v>
      </c>
      <c r="J2504" s="18" t="s">
        <v>4327</v>
      </c>
    </row>
    <row r="2505" spans="3:10" x14ac:dyDescent="0.25">
      <c r="C2505" s="17" t="str">
        <f t="shared" si="39"/>
        <v>28.801011.-7946.8708..CLEAR SCHEDULE.</v>
      </c>
      <c r="E2505">
        <v>28</v>
      </c>
      <c r="F2505">
        <v>801011</v>
      </c>
      <c r="G2505" s="2">
        <v>-79.459999999999994</v>
      </c>
      <c r="H2505" t="s">
        <v>2903</v>
      </c>
      <c r="J2505" s="18" t="s">
        <v>4327</v>
      </c>
    </row>
    <row r="2506" spans="3:10" x14ac:dyDescent="0.25">
      <c r="C2506" s="17" t="str">
        <f t="shared" si="39"/>
        <v>28.801011.-8471.8712..CLEAR SCHEDULE.</v>
      </c>
      <c r="E2506">
        <v>28</v>
      </c>
      <c r="F2506">
        <v>801011</v>
      </c>
      <c r="G2506" s="1">
        <v>-84.71</v>
      </c>
      <c r="H2506" t="s">
        <v>2904</v>
      </c>
      <c r="J2506" s="18" t="s">
        <v>4327</v>
      </c>
    </row>
    <row r="2507" spans="3:10" x14ac:dyDescent="0.25">
      <c r="C2507" s="17" t="str">
        <f t="shared" ref="C2507:C2570" si="40">IF(G2507=0,"",(E2507&amp;"."&amp;F2507&amp;"."&amp;G2507*100&amp;"."&amp;H2507&amp;"."&amp;I2507&amp;"."&amp;J2507&amp;"."&amp;K2507))</f>
        <v>28.801011.-6769.8713..CLEAR SCHEDULE.</v>
      </c>
      <c r="E2507">
        <v>28</v>
      </c>
      <c r="F2507">
        <v>801011</v>
      </c>
      <c r="G2507" s="2">
        <v>-67.69</v>
      </c>
      <c r="H2507" t="s">
        <v>2905</v>
      </c>
      <c r="J2507" s="18" t="s">
        <v>4327</v>
      </c>
    </row>
    <row r="2508" spans="3:10" x14ac:dyDescent="0.25">
      <c r="C2508" s="17" t="str">
        <f t="shared" si="40"/>
        <v>28.801011.-248597.8714..CLEAR SCHEDULE.</v>
      </c>
      <c r="E2508">
        <v>28</v>
      </c>
      <c r="F2508">
        <v>801011</v>
      </c>
      <c r="G2508" s="1">
        <v>-2485.9699999999998</v>
      </c>
      <c r="H2508" t="s">
        <v>2906</v>
      </c>
      <c r="J2508" s="18" t="s">
        <v>4327</v>
      </c>
    </row>
    <row r="2509" spans="3:10" x14ac:dyDescent="0.25">
      <c r="C2509" s="17" t="str">
        <f t="shared" si="40"/>
        <v>28.801011.-20017.8715..CLEAR SCHEDULE.</v>
      </c>
      <c r="E2509">
        <v>28</v>
      </c>
      <c r="F2509">
        <v>801011</v>
      </c>
      <c r="G2509" s="2">
        <v>-200.17</v>
      </c>
      <c r="H2509" t="s">
        <v>2907</v>
      </c>
      <c r="J2509" s="18" t="s">
        <v>4327</v>
      </c>
    </row>
    <row r="2510" spans="3:10" x14ac:dyDescent="0.25">
      <c r="C2510" s="17" t="str">
        <f t="shared" si="40"/>
        <v>28.801011.-55190.8719..CLEAR SCHEDULE.</v>
      </c>
      <c r="E2510">
        <v>28</v>
      </c>
      <c r="F2510">
        <v>801011</v>
      </c>
      <c r="G2510" s="1">
        <v>-551.9</v>
      </c>
      <c r="H2510" t="s">
        <v>2908</v>
      </c>
      <c r="J2510" s="18" t="s">
        <v>4327</v>
      </c>
    </row>
    <row r="2511" spans="3:10" x14ac:dyDescent="0.25">
      <c r="C2511" s="17" t="str">
        <f t="shared" si="40"/>
        <v>28.801011.-19742.8720..CLEAR SCHEDULE.</v>
      </c>
      <c r="E2511">
        <v>28</v>
      </c>
      <c r="F2511">
        <v>801011</v>
      </c>
      <c r="G2511" s="2">
        <v>-197.42</v>
      </c>
      <c r="H2511" t="s">
        <v>2909</v>
      </c>
      <c r="J2511" s="18" t="s">
        <v>4327</v>
      </c>
    </row>
    <row r="2512" spans="3:10" x14ac:dyDescent="0.25">
      <c r="C2512" s="17" t="str">
        <f t="shared" si="40"/>
        <v>28.801011.-14387.8721..CLEAR SCHEDULE.</v>
      </c>
      <c r="E2512">
        <v>28</v>
      </c>
      <c r="F2512">
        <v>801011</v>
      </c>
      <c r="G2512" s="1">
        <v>-143.87</v>
      </c>
      <c r="H2512" t="s">
        <v>2910</v>
      </c>
      <c r="J2512" s="18" t="s">
        <v>4327</v>
      </c>
    </row>
    <row r="2513" spans="3:10" x14ac:dyDescent="0.25">
      <c r="C2513" s="17" t="str">
        <f t="shared" si="40"/>
        <v>28.801011.-18275.8723..CLEAR SCHEDULE.</v>
      </c>
      <c r="E2513">
        <v>28</v>
      </c>
      <c r="F2513">
        <v>801011</v>
      </c>
      <c r="G2513" s="2">
        <v>-182.75</v>
      </c>
      <c r="H2513" t="s">
        <v>2911</v>
      </c>
      <c r="J2513" s="18" t="s">
        <v>4327</v>
      </c>
    </row>
    <row r="2514" spans="3:10" x14ac:dyDescent="0.25">
      <c r="C2514" s="17" t="str">
        <f t="shared" si="40"/>
        <v>28.801011.-144853.8724..CLEAR SCHEDULE.</v>
      </c>
      <c r="E2514">
        <v>28</v>
      </c>
      <c r="F2514">
        <v>801011</v>
      </c>
      <c r="G2514" s="1">
        <v>-1448.53</v>
      </c>
      <c r="H2514" t="s">
        <v>2912</v>
      </c>
      <c r="J2514" s="18" t="s">
        <v>4327</v>
      </c>
    </row>
    <row r="2515" spans="3:10" x14ac:dyDescent="0.25">
      <c r="C2515" s="17" t="str">
        <f t="shared" si="40"/>
        <v>28.801011.-130442.8725..CLEAR SCHEDULE.</v>
      </c>
      <c r="E2515">
        <v>28</v>
      </c>
      <c r="F2515">
        <v>801011</v>
      </c>
      <c r="G2515" s="2">
        <v>-1304.42</v>
      </c>
      <c r="H2515" t="s">
        <v>2913</v>
      </c>
      <c r="J2515" s="18" t="s">
        <v>4327</v>
      </c>
    </row>
    <row r="2516" spans="3:10" x14ac:dyDescent="0.25">
      <c r="C2516" s="17" t="str">
        <f t="shared" si="40"/>
        <v>28.801011.-131044.8728..CLEAR SCHEDULE.</v>
      </c>
      <c r="E2516">
        <v>28</v>
      </c>
      <c r="F2516">
        <v>801011</v>
      </c>
      <c r="G2516" s="1">
        <v>-1310.44</v>
      </c>
      <c r="H2516" t="s">
        <v>2914</v>
      </c>
      <c r="J2516" s="18" t="s">
        <v>4327</v>
      </c>
    </row>
    <row r="2517" spans="3:10" x14ac:dyDescent="0.25">
      <c r="C2517" s="17" t="str">
        <f t="shared" si="40"/>
        <v>28.801011.-30272.8731..CLEAR SCHEDULE.</v>
      </c>
      <c r="E2517">
        <v>28</v>
      </c>
      <c r="F2517">
        <v>801011</v>
      </c>
      <c r="G2517" s="2">
        <v>-302.72000000000003</v>
      </c>
      <c r="H2517" t="s">
        <v>2915</v>
      </c>
      <c r="J2517" s="18" t="s">
        <v>4327</v>
      </c>
    </row>
    <row r="2518" spans="3:10" x14ac:dyDescent="0.25">
      <c r="C2518" s="17" t="str">
        <f t="shared" si="40"/>
        <v>28.801011.-5183.8733..CLEAR SCHEDULE.</v>
      </c>
      <c r="E2518">
        <v>28</v>
      </c>
      <c r="F2518">
        <v>801011</v>
      </c>
      <c r="G2518" s="1">
        <v>-51.83</v>
      </c>
      <c r="H2518" t="s">
        <v>2916</v>
      </c>
      <c r="J2518" s="18" t="s">
        <v>4327</v>
      </c>
    </row>
    <row r="2519" spans="3:10" x14ac:dyDescent="0.25">
      <c r="C2519" s="17" t="str">
        <f t="shared" si="40"/>
        <v>28.801011.-268619.8734..CLEAR SCHEDULE.</v>
      </c>
      <c r="E2519">
        <v>28</v>
      </c>
      <c r="F2519">
        <v>801011</v>
      </c>
      <c r="G2519" s="2">
        <v>-2686.19</v>
      </c>
      <c r="H2519" t="s">
        <v>2917</v>
      </c>
      <c r="J2519" s="18" t="s">
        <v>4327</v>
      </c>
    </row>
    <row r="2520" spans="3:10" x14ac:dyDescent="0.25">
      <c r="C2520" s="17" t="str">
        <f t="shared" si="40"/>
        <v>28.801011.-14897.8735..CLEAR SCHEDULE.</v>
      </c>
      <c r="E2520">
        <v>28</v>
      </c>
      <c r="F2520">
        <v>801011</v>
      </c>
      <c r="G2520" s="1">
        <v>-148.97</v>
      </c>
      <c r="H2520" t="s">
        <v>2918</v>
      </c>
      <c r="J2520" s="18" t="s">
        <v>4327</v>
      </c>
    </row>
    <row r="2521" spans="3:10" x14ac:dyDescent="0.25">
      <c r="C2521" s="17" t="str">
        <f t="shared" si="40"/>
        <v>28.801011.-36466.8738..CLEAR SCHEDULE.</v>
      </c>
      <c r="E2521">
        <v>28</v>
      </c>
      <c r="F2521">
        <v>801011</v>
      </c>
      <c r="G2521" s="2">
        <v>-364.66</v>
      </c>
      <c r="H2521" t="s">
        <v>2919</v>
      </c>
      <c r="J2521" s="18" t="s">
        <v>4327</v>
      </c>
    </row>
    <row r="2522" spans="3:10" x14ac:dyDescent="0.25">
      <c r="C2522" s="17" t="str">
        <f t="shared" si="40"/>
        <v>28.801011.-459012.8739..CLEAR SCHEDULE.</v>
      </c>
      <c r="E2522">
        <v>28</v>
      </c>
      <c r="F2522">
        <v>801011</v>
      </c>
      <c r="G2522" s="1">
        <v>-4590.12</v>
      </c>
      <c r="H2522" t="s">
        <v>2920</v>
      </c>
      <c r="J2522" s="18" t="s">
        <v>4327</v>
      </c>
    </row>
    <row r="2523" spans="3:10" x14ac:dyDescent="0.25">
      <c r="C2523" s="17" t="str">
        <f t="shared" si="40"/>
        <v>28.801011.-19851.8740..CLEAR SCHEDULE.</v>
      </c>
      <c r="E2523">
        <v>28</v>
      </c>
      <c r="F2523">
        <v>801011</v>
      </c>
      <c r="G2523" s="2">
        <v>-198.51</v>
      </c>
      <c r="H2523" t="s">
        <v>2921</v>
      </c>
      <c r="J2523" s="18" t="s">
        <v>4327</v>
      </c>
    </row>
    <row r="2524" spans="3:10" x14ac:dyDescent="0.25">
      <c r="C2524" s="17" t="str">
        <f t="shared" si="40"/>
        <v>28.801011.-14387.8741..CLEAR SCHEDULE.</v>
      </c>
      <c r="E2524">
        <v>28</v>
      </c>
      <c r="F2524">
        <v>801011</v>
      </c>
      <c r="G2524" s="1">
        <v>-143.87</v>
      </c>
      <c r="H2524" t="s">
        <v>2922</v>
      </c>
      <c r="J2524" s="18" t="s">
        <v>4327</v>
      </c>
    </row>
    <row r="2525" spans="3:10" x14ac:dyDescent="0.25">
      <c r="C2525" s="17" t="str">
        <f t="shared" si="40"/>
        <v>28.801011.-8623.8742..CLEAR SCHEDULE.</v>
      </c>
      <c r="E2525">
        <v>28</v>
      </c>
      <c r="F2525">
        <v>801011</v>
      </c>
      <c r="G2525" s="2">
        <v>-86.23</v>
      </c>
      <c r="H2525" t="s">
        <v>2923</v>
      </c>
      <c r="J2525" s="18" t="s">
        <v>4327</v>
      </c>
    </row>
    <row r="2526" spans="3:10" x14ac:dyDescent="0.25">
      <c r="C2526" s="17" t="str">
        <f t="shared" si="40"/>
        <v>28.801011.-44742.8743..CLEAR SCHEDULE.</v>
      </c>
      <c r="E2526">
        <v>28</v>
      </c>
      <c r="F2526">
        <v>801011</v>
      </c>
      <c r="G2526" s="1">
        <v>-447.42</v>
      </c>
      <c r="H2526" t="s">
        <v>2924</v>
      </c>
      <c r="J2526" s="18" t="s">
        <v>4327</v>
      </c>
    </row>
    <row r="2527" spans="3:10" x14ac:dyDescent="0.25">
      <c r="C2527" s="17" t="str">
        <f t="shared" si="40"/>
        <v>28.801011.-22198.8744..CLEAR SCHEDULE.</v>
      </c>
      <c r="E2527">
        <v>28</v>
      </c>
      <c r="F2527">
        <v>801011</v>
      </c>
      <c r="G2527" s="2">
        <v>-221.98</v>
      </c>
      <c r="H2527" t="s">
        <v>2925</v>
      </c>
      <c r="J2527" s="18" t="s">
        <v>4327</v>
      </c>
    </row>
    <row r="2528" spans="3:10" x14ac:dyDescent="0.25">
      <c r="C2528" s="17" t="str">
        <f t="shared" si="40"/>
        <v>28.801011.-14387.8745..CLEAR SCHEDULE.</v>
      </c>
      <c r="E2528">
        <v>28</v>
      </c>
      <c r="F2528">
        <v>801011</v>
      </c>
      <c r="G2528" s="1">
        <v>-143.87</v>
      </c>
      <c r="H2528" t="s">
        <v>2926</v>
      </c>
      <c r="J2528" s="18" t="s">
        <v>4327</v>
      </c>
    </row>
    <row r="2529" spans="3:10" x14ac:dyDescent="0.25">
      <c r="C2529" s="17" t="str">
        <f t="shared" si="40"/>
        <v>28.801011.-5415.8748..CLEAR SCHEDULE.</v>
      </c>
      <c r="E2529">
        <v>28</v>
      </c>
      <c r="F2529">
        <v>801011</v>
      </c>
      <c r="G2529" s="2">
        <v>-54.15</v>
      </c>
      <c r="H2529" t="s">
        <v>2927</v>
      </c>
      <c r="J2529" s="18" t="s">
        <v>4327</v>
      </c>
    </row>
    <row r="2530" spans="3:10" x14ac:dyDescent="0.25">
      <c r="C2530" s="17" t="str">
        <f t="shared" si="40"/>
        <v>28.801011.-300483.8749..CLEAR SCHEDULE.</v>
      </c>
      <c r="E2530">
        <v>28</v>
      </c>
      <c r="F2530">
        <v>801011</v>
      </c>
      <c r="G2530" s="1">
        <v>-3004.83</v>
      </c>
      <c r="H2530" t="s">
        <v>2928</v>
      </c>
      <c r="J2530" s="18" t="s">
        <v>4327</v>
      </c>
    </row>
    <row r="2531" spans="3:10" x14ac:dyDescent="0.25">
      <c r="C2531" s="17" t="str">
        <f t="shared" si="40"/>
        <v>28.801011.-5415.8751..CLEAR SCHEDULE.</v>
      </c>
      <c r="E2531">
        <v>28</v>
      </c>
      <c r="F2531">
        <v>801011</v>
      </c>
      <c r="G2531" s="2">
        <v>-54.15</v>
      </c>
      <c r="H2531" t="s">
        <v>2929</v>
      </c>
      <c r="J2531" s="18" t="s">
        <v>4327</v>
      </c>
    </row>
    <row r="2532" spans="3:10" x14ac:dyDescent="0.25">
      <c r="C2532" s="17" t="str">
        <f t="shared" si="40"/>
        <v>28.801011.-105867.8752..CLEAR SCHEDULE.</v>
      </c>
      <c r="E2532">
        <v>28</v>
      </c>
      <c r="F2532">
        <v>801011</v>
      </c>
      <c r="G2532" s="1">
        <v>-1058.67</v>
      </c>
      <c r="H2532" t="s">
        <v>2930</v>
      </c>
      <c r="J2532" s="18" t="s">
        <v>4327</v>
      </c>
    </row>
    <row r="2533" spans="3:10" x14ac:dyDescent="0.25">
      <c r="C2533" s="17" t="str">
        <f t="shared" si="40"/>
        <v>28.801011.-32662.8753..CLEAR SCHEDULE.</v>
      </c>
      <c r="E2533">
        <v>28</v>
      </c>
      <c r="F2533">
        <v>801011</v>
      </c>
      <c r="G2533" s="2">
        <v>-326.62</v>
      </c>
      <c r="H2533" t="s">
        <v>2931</v>
      </c>
      <c r="J2533" s="18" t="s">
        <v>4327</v>
      </c>
    </row>
    <row r="2534" spans="3:10" x14ac:dyDescent="0.25">
      <c r="C2534" s="17" t="str">
        <f t="shared" si="40"/>
        <v>28.801011.-13668.8756..CLEAR SCHEDULE.</v>
      </c>
      <c r="E2534">
        <v>28</v>
      </c>
      <c r="F2534">
        <v>801011</v>
      </c>
      <c r="G2534" s="1">
        <v>-136.68</v>
      </c>
      <c r="H2534" t="s">
        <v>2932</v>
      </c>
      <c r="J2534" s="18" t="s">
        <v>4327</v>
      </c>
    </row>
    <row r="2535" spans="3:10" x14ac:dyDescent="0.25">
      <c r="C2535" s="17" t="str">
        <f t="shared" si="40"/>
        <v>28.801011.-16143.8759..CLEAR SCHEDULE.</v>
      </c>
      <c r="E2535">
        <v>28</v>
      </c>
      <c r="F2535">
        <v>801011</v>
      </c>
      <c r="G2535" s="2">
        <v>-161.43</v>
      </c>
      <c r="H2535" t="s">
        <v>2933</v>
      </c>
      <c r="J2535" s="18" t="s">
        <v>4327</v>
      </c>
    </row>
    <row r="2536" spans="3:10" x14ac:dyDescent="0.25">
      <c r="C2536" s="17" t="str">
        <f t="shared" si="40"/>
        <v>28.801011.-57799.8761..CLEAR SCHEDULE.</v>
      </c>
      <c r="E2536">
        <v>28</v>
      </c>
      <c r="F2536">
        <v>801011</v>
      </c>
      <c r="G2536" s="1">
        <v>-577.99</v>
      </c>
      <c r="H2536" t="s">
        <v>2934</v>
      </c>
      <c r="J2536" s="18" t="s">
        <v>4327</v>
      </c>
    </row>
    <row r="2537" spans="3:10" x14ac:dyDescent="0.25">
      <c r="C2537" s="17" t="str">
        <f t="shared" si="40"/>
        <v>28.801011.-23773.8762..CLEAR SCHEDULE.</v>
      </c>
      <c r="E2537">
        <v>28</v>
      </c>
      <c r="F2537">
        <v>801011</v>
      </c>
      <c r="G2537" s="2">
        <v>-237.73</v>
      </c>
      <c r="H2537" t="s">
        <v>2935</v>
      </c>
      <c r="J2537" s="18" t="s">
        <v>4327</v>
      </c>
    </row>
    <row r="2538" spans="3:10" x14ac:dyDescent="0.25">
      <c r="C2538" s="17" t="str">
        <f t="shared" si="40"/>
        <v>28.801011.-14387.8763..CLEAR SCHEDULE.</v>
      </c>
      <c r="E2538">
        <v>28</v>
      </c>
      <c r="F2538">
        <v>801011</v>
      </c>
      <c r="G2538" s="1">
        <v>-143.87</v>
      </c>
      <c r="H2538" t="s">
        <v>2936</v>
      </c>
      <c r="J2538" s="18" t="s">
        <v>4327</v>
      </c>
    </row>
    <row r="2539" spans="3:10" x14ac:dyDescent="0.25">
      <c r="C2539" s="17" t="str">
        <f t="shared" si="40"/>
        <v>28.801011.-8659.8764..CLEAR SCHEDULE.</v>
      </c>
      <c r="E2539">
        <v>28</v>
      </c>
      <c r="F2539">
        <v>801011</v>
      </c>
      <c r="G2539" s="2">
        <v>-86.59</v>
      </c>
      <c r="H2539" t="s">
        <v>2937</v>
      </c>
      <c r="J2539" s="18" t="s">
        <v>4327</v>
      </c>
    </row>
    <row r="2540" spans="3:10" x14ac:dyDescent="0.25">
      <c r="C2540" s="17" t="str">
        <f t="shared" si="40"/>
        <v>28.801011.-5798.8765..CLEAR SCHEDULE.</v>
      </c>
      <c r="E2540">
        <v>28</v>
      </c>
      <c r="F2540">
        <v>801011</v>
      </c>
      <c r="G2540" s="1">
        <v>-57.98</v>
      </c>
      <c r="H2540" t="s">
        <v>2938</v>
      </c>
      <c r="J2540" s="18" t="s">
        <v>4327</v>
      </c>
    </row>
    <row r="2541" spans="3:10" x14ac:dyDescent="0.25">
      <c r="C2541" s="17" t="str">
        <f t="shared" si="40"/>
        <v>28.801011.-69267.8767..CLEAR SCHEDULE.</v>
      </c>
      <c r="E2541">
        <v>28</v>
      </c>
      <c r="F2541">
        <v>801011</v>
      </c>
      <c r="G2541" s="2">
        <v>-692.67</v>
      </c>
      <c r="H2541" t="s">
        <v>2939</v>
      </c>
      <c r="J2541" s="18" t="s">
        <v>4327</v>
      </c>
    </row>
    <row r="2542" spans="3:10" x14ac:dyDescent="0.25">
      <c r="C2542" s="17" t="str">
        <f t="shared" si="40"/>
        <v>28.801011.-85682.8770..CLEAR SCHEDULE.</v>
      </c>
      <c r="E2542">
        <v>28</v>
      </c>
      <c r="F2542">
        <v>801011</v>
      </c>
      <c r="G2542" s="1">
        <v>-856.82</v>
      </c>
      <c r="H2542" t="s">
        <v>2940</v>
      </c>
      <c r="J2542" s="18" t="s">
        <v>4327</v>
      </c>
    </row>
    <row r="2543" spans="3:10" x14ac:dyDescent="0.25">
      <c r="C2543" s="17" t="str">
        <f t="shared" si="40"/>
        <v>28.801011.-98563.8773..CLEAR SCHEDULE.</v>
      </c>
      <c r="E2543">
        <v>28</v>
      </c>
      <c r="F2543">
        <v>801011</v>
      </c>
      <c r="G2543" s="2">
        <v>-985.63</v>
      </c>
      <c r="H2543" t="s">
        <v>2941</v>
      </c>
      <c r="J2543" s="18" t="s">
        <v>4327</v>
      </c>
    </row>
    <row r="2544" spans="3:10" x14ac:dyDescent="0.25">
      <c r="C2544" s="17" t="str">
        <f t="shared" si="40"/>
        <v>28.801011.-53862.8776..CLEAR SCHEDULE.</v>
      </c>
      <c r="E2544">
        <v>28</v>
      </c>
      <c r="F2544">
        <v>801011</v>
      </c>
      <c r="G2544" s="1">
        <v>-538.62</v>
      </c>
      <c r="H2544" t="s">
        <v>2942</v>
      </c>
      <c r="J2544" s="18" t="s">
        <v>4327</v>
      </c>
    </row>
    <row r="2545" spans="3:10" x14ac:dyDescent="0.25">
      <c r="C2545" s="17" t="str">
        <f t="shared" si="40"/>
        <v>28.801011.-37558.8777..CLEAR SCHEDULE.</v>
      </c>
      <c r="E2545">
        <v>28</v>
      </c>
      <c r="F2545">
        <v>801011</v>
      </c>
      <c r="G2545" s="2">
        <v>-375.58</v>
      </c>
      <c r="H2545" t="s">
        <v>2943</v>
      </c>
      <c r="J2545" s="18" t="s">
        <v>4327</v>
      </c>
    </row>
    <row r="2546" spans="3:10" x14ac:dyDescent="0.25">
      <c r="C2546" s="17" t="str">
        <f t="shared" si="40"/>
        <v>28.801011.-22995.8778..CLEAR SCHEDULE.</v>
      </c>
      <c r="E2546">
        <v>28</v>
      </c>
      <c r="F2546">
        <v>801011</v>
      </c>
      <c r="G2546" s="1">
        <v>-229.95</v>
      </c>
      <c r="H2546" t="s">
        <v>2944</v>
      </c>
      <c r="J2546" s="18" t="s">
        <v>4327</v>
      </c>
    </row>
    <row r="2547" spans="3:10" x14ac:dyDescent="0.25">
      <c r="C2547" s="17" t="str">
        <f t="shared" si="40"/>
        <v>28.801011.-14387.8779..CLEAR SCHEDULE.</v>
      </c>
      <c r="E2547">
        <v>28</v>
      </c>
      <c r="F2547">
        <v>801011</v>
      </c>
      <c r="G2547" s="2">
        <v>-143.87</v>
      </c>
      <c r="H2547" t="s">
        <v>2945</v>
      </c>
      <c r="J2547" s="18" t="s">
        <v>4327</v>
      </c>
    </row>
    <row r="2548" spans="3:10" x14ac:dyDescent="0.25">
      <c r="C2548" s="17" t="str">
        <f t="shared" si="40"/>
        <v>28.801011.-70089.8780..CLEAR SCHEDULE.</v>
      </c>
      <c r="E2548">
        <v>28</v>
      </c>
      <c r="F2548">
        <v>801011</v>
      </c>
      <c r="G2548" s="1">
        <v>-700.89</v>
      </c>
      <c r="H2548" t="s">
        <v>2946</v>
      </c>
      <c r="J2548" s="18" t="s">
        <v>4327</v>
      </c>
    </row>
    <row r="2549" spans="3:10" x14ac:dyDescent="0.25">
      <c r="C2549" s="17" t="str">
        <f t="shared" si="40"/>
        <v>28.801011.-77169.8781..CLEAR SCHEDULE.</v>
      </c>
      <c r="E2549">
        <v>28</v>
      </c>
      <c r="F2549">
        <v>801011</v>
      </c>
      <c r="G2549" s="2">
        <v>-771.69</v>
      </c>
      <c r="H2549" t="s">
        <v>2947</v>
      </c>
      <c r="J2549" s="18" t="s">
        <v>4327</v>
      </c>
    </row>
    <row r="2550" spans="3:10" x14ac:dyDescent="0.25">
      <c r="C2550" s="17" t="str">
        <f t="shared" si="40"/>
        <v>28.801011.-68577.8783..CLEAR SCHEDULE.</v>
      </c>
      <c r="E2550">
        <v>28</v>
      </c>
      <c r="F2550">
        <v>801011</v>
      </c>
      <c r="G2550" s="1">
        <v>-685.77</v>
      </c>
      <c r="H2550" t="s">
        <v>2948</v>
      </c>
      <c r="J2550" s="18" t="s">
        <v>4327</v>
      </c>
    </row>
    <row r="2551" spans="3:10" x14ac:dyDescent="0.25">
      <c r="C2551" s="17" t="str">
        <f t="shared" si="40"/>
        <v>28.801011.-15945.8785..CLEAR SCHEDULE.</v>
      </c>
      <c r="E2551">
        <v>28</v>
      </c>
      <c r="F2551">
        <v>801011</v>
      </c>
      <c r="G2551" s="2">
        <v>-159.44999999999999</v>
      </c>
      <c r="H2551" t="s">
        <v>2949</v>
      </c>
      <c r="J2551" s="18" t="s">
        <v>4327</v>
      </c>
    </row>
    <row r="2552" spans="3:10" x14ac:dyDescent="0.25">
      <c r="C2552" s="17" t="str">
        <f t="shared" si="40"/>
        <v>28.801011.-9871.8787..CLEAR SCHEDULE.</v>
      </c>
      <c r="E2552">
        <v>28</v>
      </c>
      <c r="F2552">
        <v>801011</v>
      </c>
      <c r="G2552" s="1">
        <v>-98.71</v>
      </c>
      <c r="H2552" t="s">
        <v>2950</v>
      </c>
      <c r="J2552" s="18" t="s">
        <v>4327</v>
      </c>
    </row>
    <row r="2553" spans="3:10" x14ac:dyDescent="0.25">
      <c r="C2553" s="17" t="str">
        <f t="shared" si="40"/>
        <v>28.801011.-23690.8796..CLEAR SCHEDULE.</v>
      </c>
      <c r="E2553">
        <v>28</v>
      </c>
      <c r="F2553">
        <v>801011</v>
      </c>
      <c r="G2553" s="2">
        <v>-236.9</v>
      </c>
      <c r="H2553" t="s">
        <v>2951</v>
      </c>
      <c r="J2553" s="18" t="s">
        <v>4327</v>
      </c>
    </row>
    <row r="2554" spans="3:10" x14ac:dyDescent="0.25">
      <c r="C2554" s="17" t="str">
        <f t="shared" si="40"/>
        <v>28.801011.-30276.8797..CLEAR SCHEDULE.</v>
      </c>
      <c r="E2554">
        <v>28</v>
      </c>
      <c r="F2554">
        <v>801011</v>
      </c>
      <c r="G2554" s="1">
        <v>-302.76</v>
      </c>
      <c r="H2554" t="s">
        <v>2952</v>
      </c>
      <c r="J2554" s="18" t="s">
        <v>4327</v>
      </c>
    </row>
    <row r="2555" spans="3:10" x14ac:dyDescent="0.25">
      <c r="C2555" s="17" t="str">
        <f t="shared" si="40"/>
        <v>28.801011.-14387.8798..CLEAR SCHEDULE.</v>
      </c>
      <c r="E2555">
        <v>28</v>
      </c>
      <c r="F2555">
        <v>801011</v>
      </c>
      <c r="G2555" s="2">
        <v>-143.87</v>
      </c>
      <c r="H2555" t="s">
        <v>2953</v>
      </c>
      <c r="J2555" s="18" t="s">
        <v>4327</v>
      </c>
    </row>
    <row r="2556" spans="3:10" x14ac:dyDescent="0.25">
      <c r="C2556" s="17" t="str">
        <f t="shared" si="40"/>
        <v>28.801011.-14408.8799..CLEAR SCHEDULE.</v>
      </c>
      <c r="E2556">
        <v>28</v>
      </c>
      <c r="F2556">
        <v>801011</v>
      </c>
      <c r="G2556" s="1">
        <v>-144.08000000000001</v>
      </c>
      <c r="H2556" t="s">
        <v>2954</v>
      </c>
      <c r="J2556" s="18" t="s">
        <v>4327</v>
      </c>
    </row>
    <row r="2557" spans="3:10" x14ac:dyDescent="0.25">
      <c r="C2557" s="17" t="str">
        <f t="shared" si="40"/>
        <v>28.801011.-15166.8801..CLEAR SCHEDULE.</v>
      </c>
      <c r="E2557">
        <v>28</v>
      </c>
      <c r="F2557">
        <v>801011</v>
      </c>
      <c r="G2557" s="2">
        <v>-151.66</v>
      </c>
      <c r="H2557" t="s">
        <v>2955</v>
      </c>
      <c r="J2557" s="18" t="s">
        <v>4327</v>
      </c>
    </row>
    <row r="2558" spans="3:10" x14ac:dyDescent="0.25">
      <c r="C2558" s="17" t="str">
        <f t="shared" si="40"/>
        <v>28.801011.-10530.8802..CLEAR SCHEDULE.</v>
      </c>
      <c r="E2558">
        <v>28</v>
      </c>
      <c r="F2558">
        <v>801011</v>
      </c>
      <c r="G2558" s="1">
        <v>-105.3</v>
      </c>
      <c r="H2558" t="s">
        <v>2956</v>
      </c>
      <c r="J2558" s="18" t="s">
        <v>4327</v>
      </c>
    </row>
    <row r="2559" spans="3:10" x14ac:dyDescent="0.25">
      <c r="C2559" s="17" t="str">
        <f t="shared" si="40"/>
        <v>28.801011.-584676.8803..CLEAR SCHEDULE.</v>
      </c>
      <c r="E2559">
        <v>28</v>
      </c>
      <c r="F2559">
        <v>801011</v>
      </c>
      <c r="G2559" s="2">
        <v>-5846.76</v>
      </c>
      <c r="H2559" t="s">
        <v>2957</v>
      </c>
      <c r="J2559" s="18" t="s">
        <v>4327</v>
      </c>
    </row>
    <row r="2560" spans="3:10" x14ac:dyDescent="0.25">
      <c r="C2560" s="17" t="str">
        <f t="shared" si="40"/>
        <v>28.801011.-16256.8804..CLEAR SCHEDULE.</v>
      </c>
      <c r="E2560">
        <v>28</v>
      </c>
      <c r="F2560">
        <v>801011</v>
      </c>
      <c r="G2560" s="1">
        <v>-162.56</v>
      </c>
      <c r="H2560" t="s">
        <v>2958</v>
      </c>
      <c r="J2560" s="18" t="s">
        <v>4327</v>
      </c>
    </row>
    <row r="2561" spans="3:10" x14ac:dyDescent="0.25">
      <c r="C2561" s="17" t="str">
        <f t="shared" si="40"/>
        <v>28.801011.-14387.8809..CLEAR SCHEDULE.</v>
      </c>
      <c r="E2561">
        <v>28</v>
      </c>
      <c r="F2561">
        <v>801011</v>
      </c>
      <c r="G2561" s="2">
        <v>-143.87</v>
      </c>
      <c r="H2561" t="s">
        <v>2959</v>
      </c>
      <c r="J2561" s="18" t="s">
        <v>4327</v>
      </c>
    </row>
    <row r="2562" spans="3:10" x14ac:dyDescent="0.25">
      <c r="C2562" s="17" t="str">
        <f t="shared" si="40"/>
        <v>28.801011.-27437.8810..CLEAR SCHEDULE.</v>
      </c>
      <c r="E2562">
        <v>28</v>
      </c>
      <c r="F2562">
        <v>801011</v>
      </c>
      <c r="G2562" s="1">
        <v>-274.37</v>
      </c>
      <c r="H2562" t="s">
        <v>2960</v>
      </c>
      <c r="J2562" s="18" t="s">
        <v>4327</v>
      </c>
    </row>
    <row r="2563" spans="3:10" x14ac:dyDescent="0.25">
      <c r="C2563" s="17" t="str">
        <f t="shared" si="40"/>
        <v>28.801011.-37804.8811..CLEAR SCHEDULE.</v>
      </c>
      <c r="E2563">
        <v>28</v>
      </c>
      <c r="F2563">
        <v>801011</v>
      </c>
      <c r="G2563" s="2">
        <v>-378.04</v>
      </c>
      <c r="H2563" t="s">
        <v>2961</v>
      </c>
      <c r="J2563" s="18" t="s">
        <v>4327</v>
      </c>
    </row>
    <row r="2564" spans="3:10" x14ac:dyDescent="0.25">
      <c r="C2564" s="17" t="str">
        <f t="shared" si="40"/>
        <v>28.801011.-100058.8812..CLEAR SCHEDULE.</v>
      </c>
      <c r="E2564">
        <v>28</v>
      </c>
      <c r="F2564">
        <v>801011</v>
      </c>
      <c r="G2564" s="1">
        <v>-1000.58</v>
      </c>
      <c r="H2564" t="s">
        <v>2962</v>
      </c>
      <c r="J2564" s="18" t="s">
        <v>4327</v>
      </c>
    </row>
    <row r="2565" spans="3:10" x14ac:dyDescent="0.25">
      <c r="C2565" s="17" t="str">
        <f t="shared" si="40"/>
        <v>28.801011.-28947.8813..CLEAR SCHEDULE.</v>
      </c>
      <c r="E2565">
        <v>28</v>
      </c>
      <c r="F2565">
        <v>801011</v>
      </c>
      <c r="G2565" s="2">
        <v>-289.47000000000003</v>
      </c>
      <c r="H2565" t="s">
        <v>2963</v>
      </c>
      <c r="J2565" s="18" t="s">
        <v>4327</v>
      </c>
    </row>
    <row r="2566" spans="3:10" x14ac:dyDescent="0.25">
      <c r="C2566" s="17" t="str">
        <f t="shared" si="40"/>
        <v>28.801011.-126778.8814..CLEAR SCHEDULE.</v>
      </c>
      <c r="E2566">
        <v>28</v>
      </c>
      <c r="F2566">
        <v>801011</v>
      </c>
      <c r="G2566" s="1">
        <v>-1267.78</v>
      </c>
      <c r="H2566" t="s">
        <v>2964</v>
      </c>
      <c r="J2566" s="18" t="s">
        <v>4327</v>
      </c>
    </row>
    <row r="2567" spans="3:10" x14ac:dyDescent="0.25">
      <c r="C2567" s="17" t="str">
        <f t="shared" si="40"/>
        <v>28.801011.-20779.8815..CLEAR SCHEDULE.</v>
      </c>
      <c r="E2567">
        <v>28</v>
      </c>
      <c r="F2567">
        <v>801011</v>
      </c>
      <c r="G2567" s="2">
        <v>-207.79</v>
      </c>
      <c r="H2567" t="s">
        <v>2965</v>
      </c>
      <c r="J2567" s="18" t="s">
        <v>4327</v>
      </c>
    </row>
    <row r="2568" spans="3:10" x14ac:dyDescent="0.25">
      <c r="C2568" s="17" t="str">
        <f t="shared" si="40"/>
        <v>28.801011.-8972.8820..CLEAR SCHEDULE.</v>
      </c>
      <c r="E2568">
        <v>28</v>
      </c>
      <c r="F2568">
        <v>801011</v>
      </c>
      <c r="G2568" s="1">
        <v>-89.72</v>
      </c>
      <c r="H2568" t="s">
        <v>2966</v>
      </c>
      <c r="J2568" s="18" t="s">
        <v>4327</v>
      </c>
    </row>
    <row r="2569" spans="3:10" x14ac:dyDescent="0.25">
      <c r="C2569" s="17" t="str">
        <f t="shared" si="40"/>
        <v>28.801011.-9751.8822..CLEAR SCHEDULE.</v>
      </c>
      <c r="E2569">
        <v>28</v>
      </c>
      <c r="F2569">
        <v>801011</v>
      </c>
      <c r="G2569" s="2">
        <v>-97.51</v>
      </c>
      <c r="H2569" t="s">
        <v>2967</v>
      </c>
      <c r="J2569" s="18" t="s">
        <v>4327</v>
      </c>
    </row>
    <row r="2570" spans="3:10" x14ac:dyDescent="0.25">
      <c r="C2570" s="17" t="str">
        <f t="shared" si="40"/>
        <v>28.801011.-8972.8824..CLEAR SCHEDULE.</v>
      </c>
      <c r="E2570">
        <v>28</v>
      </c>
      <c r="F2570">
        <v>801011</v>
      </c>
      <c r="G2570" s="1">
        <v>-89.72</v>
      </c>
      <c r="H2570" t="s">
        <v>2968</v>
      </c>
      <c r="J2570" s="18" t="s">
        <v>4327</v>
      </c>
    </row>
    <row r="2571" spans="3:10" x14ac:dyDescent="0.25">
      <c r="C2571" s="17" t="str">
        <f t="shared" ref="C2571:C2634" si="41">IF(G2571=0,"",(E2571&amp;"."&amp;F2571&amp;"."&amp;G2571*100&amp;"."&amp;H2571&amp;"."&amp;I2571&amp;"."&amp;J2571&amp;"."&amp;K2571))</f>
        <v>28.801011.-204679.8826..CLEAR SCHEDULE.</v>
      </c>
      <c r="E2571">
        <v>28</v>
      </c>
      <c r="F2571">
        <v>801011</v>
      </c>
      <c r="G2571" s="2">
        <v>-2046.79</v>
      </c>
      <c r="H2571" t="s">
        <v>2969</v>
      </c>
      <c r="J2571" s="18" t="s">
        <v>4327</v>
      </c>
    </row>
    <row r="2572" spans="3:10" x14ac:dyDescent="0.25">
      <c r="C2572" s="17" t="str">
        <f t="shared" si="41"/>
        <v>28.801011.-15166.8827..CLEAR SCHEDULE.</v>
      </c>
      <c r="E2572">
        <v>28</v>
      </c>
      <c r="F2572">
        <v>801011</v>
      </c>
      <c r="G2572" s="1">
        <v>-151.66</v>
      </c>
      <c r="H2572" t="s">
        <v>2970</v>
      </c>
      <c r="J2572" s="18" t="s">
        <v>4327</v>
      </c>
    </row>
    <row r="2573" spans="3:10" x14ac:dyDescent="0.25">
      <c r="C2573" s="17" t="str">
        <f t="shared" si="41"/>
        <v>28.801011.-42987.8828..CLEAR SCHEDULE.</v>
      </c>
      <c r="E2573">
        <v>28</v>
      </c>
      <c r="F2573">
        <v>801011</v>
      </c>
      <c r="G2573" s="2">
        <v>-429.87</v>
      </c>
      <c r="H2573" t="s">
        <v>2971</v>
      </c>
      <c r="J2573" s="18" t="s">
        <v>4327</v>
      </c>
    </row>
    <row r="2574" spans="3:10" x14ac:dyDescent="0.25">
      <c r="C2574" s="17" t="str">
        <f t="shared" si="41"/>
        <v>28.801011.-14387.8829..CLEAR SCHEDULE.</v>
      </c>
      <c r="E2574">
        <v>28</v>
      </c>
      <c r="F2574">
        <v>801011</v>
      </c>
      <c r="G2574" s="1">
        <v>-143.87</v>
      </c>
      <c r="H2574" t="s">
        <v>2972</v>
      </c>
      <c r="J2574" s="18" t="s">
        <v>4327</v>
      </c>
    </row>
    <row r="2575" spans="3:10" x14ac:dyDescent="0.25">
      <c r="C2575" s="17" t="str">
        <f t="shared" si="41"/>
        <v>28.801011.-15166.8830..CLEAR SCHEDULE.</v>
      </c>
      <c r="E2575">
        <v>28</v>
      </c>
      <c r="F2575">
        <v>801011</v>
      </c>
      <c r="G2575" s="2">
        <v>-151.66</v>
      </c>
      <c r="H2575" t="s">
        <v>2973</v>
      </c>
      <c r="J2575" s="18" t="s">
        <v>4327</v>
      </c>
    </row>
    <row r="2576" spans="3:10" x14ac:dyDescent="0.25">
      <c r="C2576" s="17" t="str">
        <f t="shared" si="41"/>
        <v>28.801011.-14387.8835..CLEAR SCHEDULE.</v>
      </c>
      <c r="E2576">
        <v>28</v>
      </c>
      <c r="F2576">
        <v>801011</v>
      </c>
      <c r="G2576" s="1">
        <v>-143.87</v>
      </c>
      <c r="H2576" t="s">
        <v>2974</v>
      </c>
      <c r="J2576" s="18" t="s">
        <v>4327</v>
      </c>
    </row>
    <row r="2577" spans="3:10" x14ac:dyDescent="0.25">
      <c r="C2577" s="17" t="str">
        <f t="shared" si="41"/>
        <v>28.801011.-5415.8836..CLEAR SCHEDULE.</v>
      </c>
      <c r="E2577">
        <v>28</v>
      </c>
      <c r="F2577">
        <v>801011</v>
      </c>
      <c r="G2577" s="2">
        <v>-54.15</v>
      </c>
      <c r="H2577" t="s">
        <v>2975</v>
      </c>
      <c r="J2577" s="18" t="s">
        <v>4327</v>
      </c>
    </row>
    <row r="2578" spans="3:10" x14ac:dyDescent="0.25">
      <c r="C2578" s="17" t="str">
        <f t="shared" si="41"/>
        <v>28.801011.-37813.8837..CLEAR SCHEDULE.</v>
      </c>
      <c r="E2578">
        <v>28</v>
      </c>
      <c r="F2578">
        <v>801011</v>
      </c>
      <c r="G2578" s="1">
        <v>-378.13</v>
      </c>
      <c r="H2578" t="s">
        <v>2976</v>
      </c>
      <c r="J2578" s="18" t="s">
        <v>4327</v>
      </c>
    </row>
    <row r="2579" spans="3:10" x14ac:dyDescent="0.25">
      <c r="C2579" s="17" t="str">
        <f t="shared" si="41"/>
        <v>28.801011.-9751.8838..CLEAR SCHEDULE.</v>
      </c>
      <c r="E2579">
        <v>28</v>
      </c>
      <c r="F2579">
        <v>801011</v>
      </c>
      <c r="G2579" s="2">
        <v>-97.51</v>
      </c>
      <c r="H2579" t="s">
        <v>2977</v>
      </c>
      <c r="J2579" s="18" t="s">
        <v>4327</v>
      </c>
    </row>
    <row r="2580" spans="3:10" x14ac:dyDescent="0.25">
      <c r="C2580" s="17" t="str">
        <f t="shared" si="41"/>
        <v>28.801011.-40389.8844..CLEAR SCHEDULE.</v>
      </c>
      <c r="E2580">
        <v>28</v>
      </c>
      <c r="F2580">
        <v>801011</v>
      </c>
      <c r="G2580" s="1">
        <v>-403.89</v>
      </c>
      <c r="H2580" t="s">
        <v>2978</v>
      </c>
      <c r="J2580" s="18" t="s">
        <v>4327</v>
      </c>
    </row>
    <row r="2581" spans="3:10" x14ac:dyDescent="0.25">
      <c r="C2581" s="17" t="str">
        <f t="shared" si="41"/>
        <v>28.801011.-15149.8845..CLEAR SCHEDULE.</v>
      </c>
      <c r="E2581">
        <v>28</v>
      </c>
      <c r="F2581">
        <v>801011</v>
      </c>
      <c r="G2581" s="2">
        <v>-151.49</v>
      </c>
      <c r="H2581" t="s">
        <v>2979</v>
      </c>
      <c r="J2581" s="18" t="s">
        <v>4327</v>
      </c>
    </row>
    <row r="2582" spans="3:10" x14ac:dyDescent="0.25">
      <c r="C2582" s="17" t="str">
        <f t="shared" si="41"/>
        <v>28.801011.-61117.8848..CLEAR SCHEDULE.</v>
      </c>
      <c r="E2582">
        <v>28</v>
      </c>
      <c r="F2582">
        <v>801011</v>
      </c>
      <c r="G2582" s="1">
        <v>-611.16999999999996</v>
      </c>
      <c r="H2582" t="s">
        <v>2980</v>
      </c>
      <c r="J2582" s="18" t="s">
        <v>4327</v>
      </c>
    </row>
    <row r="2583" spans="3:10" x14ac:dyDescent="0.25">
      <c r="C2583" s="17" t="str">
        <f t="shared" si="41"/>
        <v>28.801011.-14387.8850..CLEAR SCHEDULE.</v>
      </c>
      <c r="E2583">
        <v>28</v>
      </c>
      <c r="F2583">
        <v>801011</v>
      </c>
      <c r="G2583" s="2">
        <v>-143.87</v>
      </c>
      <c r="H2583" t="s">
        <v>2981</v>
      </c>
      <c r="J2583" s="18" t="s">
        <v>4327</v>
      </c>
    </row>
    <row r="2584" spans="3:10" x14ac:dyDescent="0.25">
      <c r="C2584" s="17" t="str">
        <f t="shared" si="41"/>
        <v>28.801011.-18283.8853..CLEAR SCHEDULE.</v>
      </c>
      <c r="E2584">
        <v>28</v>
      </c>
      <c r="F2584">
        <v>801011</v>
      </c>
      <c r="G2584" s="1">
        <v>-182.83</v>
      </c>
      <c r="H2584" t="s">
        <v>2982</v>
      </c>
      <c r="J2584" s="18" t="s">
        <v>4327</v>
      </c>
    </row>
    <row r="2585" spans="3:10" x14ac:dyDescent="0.25">
      <c r="C2585" s="17" t="str">
        <f t="shared" si="41"/>
        <v>28.801011.-8972.8855..CLEAR SCHEDULE.</v>
      </c>
      <c r="E2585">
        <v>28</v>
      </c>
      <c r="F2585">
        <v>801011</v>
      </c>
      <c r="G2585" s="2">
        <v>-89.72</v>
      </c>
      <c r="H2585" t="s">
        <v>2983</v>
      </c>
      <c r="J2585" s="18" t="s">
        <v>4327</v>
      </c>
    </row>
    <row r="2586" spans="3:10" x14ac:dyDescent="0.25">
      <c r="C2586" s="17" t="str">
        <f t="shared" si="41"/>
        <v>28.801011.-12930.8856..CLEAR SCHEDULE.</v>
      </c>
      <c r="E2586">
        <v>28</v>
      </c>
      <c r="F2586">
        <v>801011</v>
      </c>
      <c r="G2586" s="1">
        <v>-129.30000000000001</v>
      </c>
      <c r="H2586" t="s">
        <v>2984</v>
      </c>
      <c r="J2586" s="18" t="s">
        <v>4327</v>
      </c>
    </row>
    <row r="2587" spans="3:10" x14ac:dyDescent="0.25">
      <c r="C2587" s="17" t="str">
        <f t="shared" si="41"/>
        <v>28.801011.-7016.8857..CLEAR SCHEDULE.</v>
      </c>
      <c r="E2587">
        <v>28</v>
      </c>
      <c r="F2587">
        <v>801011</v>
      </c>
      <c r="G2587" s="2">
        <v>-70.16</v>
      </c>
      <c r="H2587" t="s">
        <v>2985</v>
      </c>
      <c r="J2587" s="18" t="s">
        <v>4327</v>
      </c>
    </row>
    <row r="2588" spans="3:10" x14ac:dyDescent="0.25">
      <c r="C2588" s="17" t="str">
        <f t="shared" si="41"/>
        <v>28.801011.-24202.8859..CLEAR SCHEDULE.</v>
      </c>
      <c r="E2588">
        <v>28</v>
      </c>
      <c r="F2588">
        <v>801011</v>
      </c>
      <c r="G2588" s="1">
        <v>-242.02</v>
      </c>
      <c r="H2588" t="s">
        <v>2986</v>
      </c>
      <c r="J2588" s="18" t="s">
        <v>4327</v>
      </c>
    </row>
    <row r="2589" spans="3:10" x14ac:dyDescent="0.25">
      <c r="C2589" s="17" t="str">
        <f t="shared" si="41"/>
        <v>28.801011.-24063.8860..CLEAR SCHEDULE.</v>
      </c>
      <c r="E2589">
        <v>28</v>
      </c>
      <c r="F2589">
        <v>801011</v>
      </c>
      <c r="G2589" s="2">
        <v>-240.63</v>
      </c>
      <c r="H2589" t="s">
        <v>2987</v>
      </c>
      <c r="J2589" s="18" t="s">
        <v>4327</v>
      </c>
    </row>
    <row r="2590" spans="3:10" x14ac:dyDescent="0.25">
      <c r="C2590" s="17" t="str">
        <f t="shared" si="41"/>
        <v>28.801011.-53322.8861..CLEAR SCHEDULE.</v>
      </c>
      <c r="E2590">
        <v>28</v>
      </c>
      <c r="F2590">
        <v>801011</v>
      </c>
      <c r="G2590" s="1">
        <v>-533.22</v>
      </c>
      <c r="H2590" t="s">
        <v>2988</v>
      </c>
      <c r="J2590" s="18" t="s">
        <v>4327</v>
      </c>
    </row>
    <row r="2591" spans="3:10" x14ac:dyDescent="0.25">
      <c r="C2591" s="17" t="str">
        <f t="shared" si="41"/>
        <v>28.801011.-11937.8862..CLEAR SCHEDULE.</v>
      </c>
      <c r="E2591">
        <v>28</v>
      </c>
      <c r="F2591">
        <v>801011</v>
      </c>
      <c r="G2591" s="2">
        <v>-119.37</v>
      </c>
      <c r="H2591" t="s">
        <v>2989</v>
      </c>
      <c r="J2591" s="18" t="s">
        <v>4327</v>
      </c>
    </row>
    <row r="2592" spans="3:10" x14ac:dyDescent="0.25">
      <c r="C2592" s="17" t="str">
        <f t="shared" si="41"/>
        <v>28.801011.-58224.8863..CLEAR SCHEDULE.</v>
      </c>
      <c r="E2592">
        <v>28</v>
      </c>
      <c r="F2592">
        <v>801011</v>
      </c>
      <c r="G2592" s="1">
        <v>-582.24</v>
      </c>
      <c r="H2592" t="s">
        <v>2990</v>
      </c>
      <c r="J2592" s="18" t="s">
        <v>4327</v>
      </c>
    </row>
    <row r="2593" spans="3:10" x14ac:dyDescent="0.25">
      <c r="C2593" s="17" t="str">
        <f t="shared" si="41"/>
        <v>28.801011.-86960.8864..CLEAR SCHEDULE.</v>
      </c>
      <c r="E2593">
        <v>28</v>
      </c>
      <c r="F2593">
        <v>801011</v>
      </c>
      <c r="G2593" s="2">
        <v>-869.6</v>
      </c>
      <c r="H2593" t="s">
        <v>2991</v>
      </c>
      <c r="J2593" s="18" t="s">
        <v>4327</v>
      </c>
    </row>
    <row r="2594" spans="3:10" x14ac:dyDescent="0.25">
      <c r="C2594" s="17" t="str">
        <f t="shared" si="41"/>
        <v>28.801011.-12601.8865..CLEAR SCHEDULE.</v>
      </c>
      <c r="E2594">
        <v>28</v>
      </c>
      <c r="F2594">
        <v>801011</v>
      </c>
      <c r="G2594" s="1">
        <v>-126.01</v>
      </c>
      <c r="H2594" t="s">
        <v>2992</v>
      </c>
      <c r="J2594" s="18" t="s">
        <v>4327</v>
      </c>
    </row>
    <row r="2595" spans="3:10" x14ac:dyDescent="0.25">
      <c r="C2595" s="17" t="str">
        <f t="shared" si="41"/>
        <v>28.801011.-118368.8867..CLEAR SCHEDULE.</v>
      </c>
      <c r="E2595">
        <v>28</v>
      </c>
      <c r="F2595">
        <v>801011</v>
      </c>
      <c r="G2595" s="2">
        <v>-1183.68</v>
      </c>
      <c r="H2595" t="s">
        <v>2993</v>
      </c>
      <c r="J2595" s="18" t="s">
        <v>4327</v>
      </c>
    </row>
    <row r="2596" spans="3:10" x14ac:dyDescent="0.25">
      <c r="C2596" s="17" t="str">
        <f t="shared" si="41"/>
        <v>28.801011.-14387.8869..CLEAR SCHEDULE.</v>
      </c>
      <c r="E2596">
        <v>28</v>
      </c>
      <c r="F2596">
        <v>801011</v>
      </c>
      <c r="G2596" s="1">
        <v>-143.87</v>
      </c>
      <c r="H2596" t="s">
        <v>2994</v>
      </c>
      <c r="J2596" s="18" t="s">
        <v>4327</v>
      </c>
    </row>
    <row r="2597" spans="3:10" x14ac:dyDescent="0.25">
      <c r="C2597" s="17" t="str">
        <f t="shared" si="41"/>
        <v>28.801011.-14387.8872..CLEAR SCHEDULE.</v>
      </c>
      <c r="E2597">
        <v>28</v>
      </c>
      <c r="F2597">
        <v>801011</v>
      </c>
      <c r="G2597" s="2">
        <v>-143.87</v>
      </c>
      <c r="H2597" t="s">
        <v>2995</v>
      </c>
      <c r="J2597" s="18" t="s">
        <v>4327</v>
      </c>
    </row>
    <row r="2598" spans="3:10" x14ac:dyDescent="0.25">
      <c r="C2598" s="17" t="str">
        <f t="shared" si="41"/>
        <v>28.801011.-32324.8873..CLEAR SCHEDULE.</v>
      </c>
      <c r="E2598">
        <v>28</v>
      </c>
      <c r="F2598">
        <v>801011</v>
      </c>
      <c r="G2598" s="1">
        <v>-323.24</v>
      </c>
      <c r="H2598" t="s">
        <v>2996</v>
      </c>
      <c r="J2598" s="18" t="s">
        <v>4327</v>
      </c>
    </row>
    <row r="2599" spans="3:10" x14ac:dyDescent="0.25">
      <c r="C2599" s="17" t="str">
        <f t="shared" si="41"/>
        <v>28.801011.-79480.8874..CLEAR SCHEDULE.</v>
      </c>
      <c r="E2599">
        <v>28</v>
      </c>
      <c r="F2599">
        <v>801011</v>
      </c>
      <c r="G2599" s="2">
        <v>-794.8</v>
      </c>
      <c r="H2599" t="s">
        <v>2997</v>
      </c>
      <c r="J2599" s="18" t="s">
        <v>4327</v>
      </c>
    </row>
    <row r="2600" spans="3:10" x14ac:dyDescent="0.25">
      <c r="C2600" s="17" t="str">
        <f t="shared" si="41"/>
        <v>28.801011.-15166.8876..CLEAR SCHEDULE.</v>
      </c>
      <c r="E2600">
        <v>28</v>
      </c>
      <c r="F2600">
        <v>801011</v>
      </c>
      <c r="G2600" s="1">
        <v>-151.66</v>
      </c>
      <c r="H2600" t="s">
        <v>2998</v>
      </c>
      <c r="J2600" s="18" t="s">
        <v>4327</v>
      </c>
    </row>
    <row r="2601" spans="3:10" x14ac:dyDescent="0.25">
      <c r="C2601" s="17" t="str">
        <f t="shared" si="41"/>
        <v>28.801011.-27721.8877..CLEAR SCHEDULE.</v>
      </c>
      <c r="E2601">
        <v>28</v>
      </c>
      <c r="F2601">
        <v>801011</v>
      </c>
      <c r="G2601" s="2">
        <v>-277.20999999999998</v>
      </c>
      <c r="H2601" t="s">
        <v>2999</v>
      </c>
      <c r="J2601" s="18" t="s">
        <v>4327</v>
      </c>
    </row>
    <row r="2602" spans="3:10" x14ac:dyDescent="0.25">
      <c r="C2602" s="17" t="str">
        <f t="shared" si="41"/>
        <v>28.801011.-14387.8878..CLEAR SCHEDULE.</v>
      </c>
      <c r="E2602">
        <v>28</v>
      </c>
      <c r="F2602">
        <v>801011</v>
      </c>
      <c r="G2602" s="1">
        <v>-143.87</v>
      </c>
      <c r="H2602" t="s">
        <v>3000</v>
      </c>
      <c r="J2602" s="18" t="s">
        <v>4327</v>
      </c>
    </row>
    <row r="2603" spans="3:10" x14ac:dyDescent="0.25">
      <c r="C2603" s="17" t="str">
        <f t="shared" si="41"/>
        <v>28.801011.-170332.8881..CLEAR SCHEDULE.</v>
      </c>
      <c r="E2603">
        <v>28</v>
      </c>
      <c r="F2603">
        <v>801011</v>
      </c>
      <c r="G2603" s="2">
        <v>-1703.32</v>
      </c>
      <c r="H2603" t="s">
        <v>3001</v>
      </c>
      <c r="J2603" s="18" t="s">
        <v>4327</v>
      </c>
    </row>
    <row r="2604" spans="3:10" x14ac:dyDescent="0.25">
      <c r="C2604" s="17" t="str">
        <f t="shared" si="41"/>
        <v>28.801011.-6216.8882..CLEAR SCHEDULE.</v>
      </c>
      <c r="E2604">
        <v>28</v>
      </c>
      <c r="F2604">
        <v>801011</v>
      </c>
      <c r="G2604" s="1">
        <v>-62.16</v>
      </c>
      <c r="H2604" t="s">
        <v>3002</v>
      </c>
      <c r="J2604" s="18" t="s">
        <v>4327</v>
      </c>
    </row>
    <row r="2605" spans="3:10" x14ac:dyDescent="0.25">
      <c r="C2605" s="17" t="str">
        <f t="shared" si="41"/>
        <v>28.801011.-9252.8883..CLEAR SCHEDULE.</v>
      </c>
      <c r="E2605">
        <v>28</v>
      </c>
      <c r="F2605">
        <v>801011</v>
      </c>
      <c r="G2605" s="2">
        <v>-92.52</v>
      </c>
      <c r="H2605" t="s">
        <v>3003</v>
      </c>
      <c r="J2605" s="18" t="s">
        <v>4327</v>
      </c>
    </row>
    <row r="2606" spans="3:10" x14ac:dyDescent="0.25">
      <c r="C2606" s="17" t="str">
        <f t="shared" si="41"/>
        <v>28.801011.-20707.8887..CLEAR SCHEDULE.</v>
      </c>
      <c r="E2606">
        <v>28</v>
      </c>
      <c r="F2606">
        <v>801011</v>
      </c>
      <c r="G2606" s="1">
        <v>-207.07</v>
      </c>
      <c r="H2606" t="s">
        <v>3004</v>
      </c>
      <c r="J2606" s="18" t="s">
        <v>4327</v>
      </c>
    </row>
    <row r="2607" spans="3:10" x14ac:dyDescent="0.25">
      <c r="C2607" s="17" t="str">
        <f t="shared" si="41"/>
        <v>28.801011.-27248.8888..CLEAR SCHEDULE.</v>
      </c>
      <c r="E2607">
        <v>28</v>
      </c>
      <c r="F2607">
        <v>801011</v>
      </c>
      <c r="G2607" s="2">
        <v>-272.48</v>
      </c>
      <c r="H2607" t="s">
        <v>3005</v>
      </c>
      <c r="J2607" s="18" t="s">
        <v>4327</v>
      </c>
    </row>
    <row r="2608" spans="3:10" x14ac:dyDescent="0.25">
      <c r="C2608" s="17" t="str">
        <f t="shared" si="41"/>
        <v>28.801011.-29610.8890..CLEAR SCHEDULE.</v>
      </c>
      <c r="E2608">
        <v>28</v>
      </c>
      <c r="F2608">
        <v>801011</v>
      </c>
      <c r="G2608" s="1">
        <v>-296.10000000000002</v>
      </c>
      <c r="H2608" t="s">
        <v>3006</v>
      </c>
      <c r="J2608" s="18" t="s">
        <v>4327</v>
      </c>
    </row>
    <row r="2609" spans="3:10" x14ac:dyDescent="0.25">
      <c r="C2609" s="17" t="str">
        <f t="shared" si="41"/>
        <v>28.801011.-15166.8891..CLEAR SCHEDULE.</v>
      </c>
      <c r="E2609">
        <v>28</v>
      </c>
      <c r="F2609">
        <v>801011</v>
      </c>
      <c r="G2609" s="2">
        <v>-151.66</v>
      </c>
      <c r="H2609" t="s">
        <v>3007</v>
      </c>
      <c r="J2609" s="18" t="s">
        <v>4327</v>
      </c>
    </row>
    <row r="2610" spans="3:10" x14ac:dyDescent="0.25">
      <c r="C2610" s="17" t="str">
        <f t="shared" si="41"/>
        <v>28.801011.-10530.8892..CLEAR SCHEDULE.</v>
      </c>
      <c r="E2610">
        <v>28</v>
      </c>
      <c r="F2610">
        <v>801011</v>
      </c>
      <c r="G2610" s="1">
        <v>-105.3</v>
      </c>
      <c r="H2610" t="s">
        <v>3008</v>
      </c>
      <c r="J2610" s="18" t="s">
        <v>4327</v>
      </c>
    </row>
    <row r="2611" spans="3:10" x14ac:dyDescent="0.25">
      <c r="C2611" s="17" t="str">
        <f t="shared" si="41"/>
        <v>28.801011.-14387.8895..CLEAR SCHEDULE.</v>
      </c>
      <c r="E2611">
        <v>28</v>
      </c>
      <c r="F2611">
        <v>801011</v>
      </c>
      <c r="G2611" s="2">
        <v>-143.87</v>
      </c>
      <c r="H2611" t="s">
        <v>3009</v>
      </c>
      <c r="J2611" s="18" t="s">
        <v>4327</v>
      </c>
    </row>
    <row r="2612" spans="3:10" x14ac:dyDescent="0.25">
      <c r="C2612" s="17" t="str">
        <f t="shared" si="41"/>
        <v>28.801011.-9751.8896..CLEAR SCHEDULE.</v>
      </c>
      <c r="E2612">
        <v>28</v>
      </c>
      <c r="F2612">
        <v>801011</v>
      </c>
      <c r="G2612" s="1">
        <v>-97.51</v>
      </c>
      <c r="H2612" t="s">
        <v>3010</v>
      </c>
      <c r="J2612" s="18" t="s">
        <v>4327</v>
      </c>
    </row>
    <row r="2613" spans="3:10" x14ac:dyDescent="0.25">
      <c r="C2613" s="17" t="str">
        <f t="shared" si="41"/>
        <v>28.801011.-61904.8902..CLEAR SCHEDULE.</v>
      </c>
      <c r="E2613">
        <v>28</v>
      </c>
      <c r="F2613">
        <v>801011</v>
      </c>
      <c r="G2613" s="2">
        <v>-619.04</v>
      </c>
      <c r="H2613" t="s">
        <v>3011</v>
      </c>
      <c r="J2613" s="18" t="s">
        <v>4327</v>
      </c>
    </row>
    <row r="2614" spans="3:10" x14ac:dyDescent="0.25">
      <c r="C2614" s="17" t="str">
        <f t="shared" si="41"/>
        <v>28.801011.-14387.8903..CLEAR SCHEDULE.</v>
      </c>
      <c r="E2614">
        <v>28</v>
      </c>
      <c r="F2614">
        <v>801011</v>
      </c>
      <c r="G2614" s="1">
        <v>-143.87</v>
      </c>
      <c r="H2614" t="s">
        <v>3012</v>
      </c>
      <c r="J2614" s="18" t="s">
        <v>4327</v>
      </c>
    </row>
    <row r="2615" spans="3:10" x14ac:dyDescent="0.25">
      <c r="C2615" s="17" t="str">
        <f t="shared" si="41"/>
        <v>28.801011.-15149.8905..CLEAR SCHEDULE.</v>
      </c>
      <c r="E2615">
        <v>28</v>
      </c>
      <c r="F2615">
        <v>801011</v>
      </c>
      <c r="G2615" s="2">
        <v>-151.49</v>
      </c>
      <c r="H2615" t="s">
        <v>3013</v>
      </c>
      <c r="J2615" s="18" t="s">
        <v>4327</v>
      </c>
    </row>
    <row r="2616" spans="3:10" x14ac:dyDescent="0.25">
      <c r="C2616" s="17" t="str">
        <f t="shared" si="41"/>
        <v>28.801011.-9751.8906..CLEAR SCHEDULE.</v>
      </c>
      <c r="E2616">
        <v>28</v>
      </c>
      <c r="F2616">
        <v>801011</v>
      </c>
      <c r="G2616" s="1">
        <v>-97.51</v>
      </c>
      <c r="H2616" t="s">
        <v>3014</v>
      </c>
      <c r="J2616" s="18" t="s">
        <v>4327</v>
      </c>
    </row>
    <row r="2617" spans="3:10" x14ac:dyDescent="0.25">
      <c r="C2617" s="17" t="str">
        <f t="shared" si="41"/>
        <v>28.801011.-13668.8908..CLEAR SCHEDULE.</v>
      </c>
      <c r="E2617">
        <v>28</v>
      </c>
      <c r="F2617">
        <v>801011</v>
      </c>
      <c r="G2617" s="2">
        <v>-136.68</v>
      </c>
      <c r="H2617" t="s">
        <v>3015</v>
      </c>
      <c r="J2617" s="18" t="s">
        <v>4327</v>
      </c>
    </row>
    <row r="2618" spans="3:10" x14ac:dyDescent="0.25">
      <c r="C2618" s="17" t="str">
        <f t="shared" si="41"/>
        <v>28.801011.-138019.8909..CLEAR SCHEDULE.</v>
      </c>
      <c r="E2618">
        <v>28</v>
      </c>
      <c r="F2618">
        <v>801011</v>
      </c>
      <c r="G2618" s="1">
        <v>-1380.19</v>
      </c>
      <c r="H2618" t="s">
        <v>3016</v>
      </c>
      <c r="J2618" s="18" t="s">
        <v>4327</v>
      </c>
    </row>
    <row r="2619" spans="3:10" x14ac:dyDescent="0.25">
      <c r="C2619" s="17" t="str">
        <f t="shared" si="41"/>
        <v>28.801011.-14387.8910..CLEAR SCHEDULE.</v>
      </c>
      <c r="E2619">
        <v>28</v>
      </c>
      <c r="F2619">
        <v>801011</v>
      </c>
      <c r="G2619" s="2">
        <v>-143.87</v>
      </c>
      <c r="H2619" t="s">
        <v>3017</v>
      </c>
      <c r="J2619" s="18" t="s">
        <v>4327</v>
      </c>
    </row>
    <row r="2620" spans="3:10" x14ac:dyDescent="0.25">
      <c r="C2620" s="17" t="str">
        <f t="shared" si="41"/>
        <v>28.801011.-38547.8913..CLEAR SCHEDULE.</v>
      </c>
      <c r="E2620">
        <v>28</v>
      </c>
      <c r="F2620">
        <v>801011</v>
      </c>
      <c r="G2620" s="1">
        <v>-385.47</v>
      </c>
      <c r="H2620" t="s">
        <v>3018</v>
      </c>
      <c r="J2620" s="18" t="s">
        <v>4327</v>
      </c>
    </row>
    <row r="2621" spans="3:10" x14ac:dyDescent="0.25">
      <c r="C2621" s="17" t="str">
        <f t="shared" si="41"/>
        <v>28.801011.-14387.8914..CLEAR SCHEDULE.</v>
      </c>
      <c r="E2621">
        <v>28</v>
      </c>
      <c r="F2621">
        <v>801011</v>
      </c>
      <c r="G2621" s="2">
        <v>-143.87</v>
      </c>
      <c r="H2621" t="s">
        <v>3019</v>
      </c>
      <c r="J2621" s="18" t="s">
        <v>4327</v>
      </c>
    </row>
    <row r="2622" spans="3:10" x14ac:dyDescent="0.25">
      <c r="C2622" s="17" t="str">
        <f t="shared" si="41"/>
        <v>28.801011.-13668.8916..CLEAR SCHEDULE.</v>
      </c>
      <c r="E2622">
        <v>28</v>
      </c>
      <c r="F2622">
        <v>801011</v>
      </c>
      <c r="G2622" s="1">
        <v>-136.68</v>
      </c>
      <c r="H2622" t="s">
        <v>3020</v>
      </c>
      <c r="J2622" s="18" t="s">
        <v>4327</v>
      </c>
    </row>
    <row r="2623" spans="3:10" x14ac:dyDescent="0.25">
      <c r="C2623" s="17" t="str">
        <f t="shared" si="41"/>
        <v>28.801011.-10901.8919..CLEAR SCHEDULE.</v>
      </c>
      <c r="E2623">
        <v>28</v>
      </c>
      <c r="F2623">
        <v>801011</v>
      </c>
      <c r="G2623" s="2">
        <v>-109.01</v>
      </c>
      <c r="H2623" t="s">
        <v>3021</v>
      </c>
      <c r="J2623" s="18" t="s">
        <v>4327</v>
      </c>
    </row>
    <row r="2624" spans="3:10" x14ac:dyDescent="0.25">
      <c r="C2624" s="17" t="str">
        <f t="shared" si="41"/>
        <v>28.801011.-56654.8920..CLEAR SCHEDULE.</v>
      </c>
      <c r="E2624">
        <v>28</v>
      </c>
      <c r="F2624">
        <v>801011</v>
      </c>
      <c r="G2624" s="1">
        <v>-566.54</v>
      </c>
      <c r="H2624" t="s">
        <v>3022</v>
      </c>
      <c r="J2624" s="18" t="s">
        <v>4327</v>
      </c>
    </row>
    <row r="2625" spans="3:10" x14ac:dyDescent="0.25">
      <c r="C2625" s="17" t="str">
        <f t="shared" si="41"/>
        <v>28.801011.-38952.8922..CLEAR SCHEDULE.</v>
      </c>
      <c r="E2625">
        <v>28</v>
      </c>
      <c r="F2625">
        <v>801011</v>
      </c>
      <c r="G2625" s="2">
        <v>-389.52</v>
      </c>
      <c r="H2625" t="s">
        <v>3023</v>
      </c>
      <c r="J2625" s="18" t="s">
        <v>4327</v>
      </c>
    </row>
    <row r="2626" spans="3:10" x14ac:dyDescent="0.25">
      <c r="C2626" s="17" t="str">
        <f t="shared" si="41"/>
        <v>28.801011.-21272.8923..CLEAR SCHEDULE.</v>
      </c>
      <c r="E2626">
        <v>28</v>
      </c>
      <c r="F2626">
        <v>801011</v>
      </c>
      <c r="G2626" s="1">
        <v>-212.72</v>
      </c>
      <c r="H2626" t="s">
        <v>3024</v>
      </c>
      <c r="J2626" s="18" t="s">
        <v>4327</v>
      </c>
    </row>
    <row r="2627" spans="3:10" x14ac:dyDescent="0.25">
      <c r="C2627" s="17" t="str">
        <f t="shared" si="41"/>
        <v>28.801011.-88238.8924..CLEAR SCHEDULE.</v>
      </c>
      <c r="E2627">
        <v>28</v>
      </c>
      <c r="F2627">
        <v>801011</v>
      </c>
      <c r="G2627" s="2">
        <v>-882.38</v>
      </c>
      <c r="H2627" t="s">
        <v>3025</v>
      </c>
      <c r="J2627" s="18" t="s">
        <v>4327</v>
      </c>
    </row>
    <row r="2628" spans="3:10" x14ac:dyDescent="0.25">
      <c r="C2628" s="17" t="str">
        <f t="shared" si="41"/>
        <v>28.801011.-42952.8925..CLEAR SCHEDULE.</v>
      </c>
      <c r="E2628">
        <v>28</v>
      </c>
      <c r="F2628">
        <v>801011</v>
      </c>
      <c r="G2628" s="1">
        <v>-429.52</v>
      </c>
      <c r="H2628" t="s">
        <v>3026</v>
      </c>
      <c r="J2628" s="18" t="s">
        <v>4327</v>
      </c>
    </row>
    <row r="2629" spans="3:10" x14ac:dyDescent="0.25">
      <c r="C2629" s="17" t="str">
        <f t="shared" si="41"/>
        <v>28.801011.-108123.8926..CLEAR SCHEDULE.</v>
      </c>
      <c r="E2629">
        <v>28</v>
      </c>
      <c r="F2629">
        <v>801011</v>
      </c>
      <c r="G2629" s="2">
        <v>-1081.23</v>
      </c>
      <c r="H2629" t="s">
        <v>3027</v>
      </c>
      <c r="J2629" s="18" t="s">
        <v>4327</v>
      </c>
    </row>
    <row r="2630" spans="3:10" x14ac:dyDescent="0.25">
      <c r="C2630" s="17" t="str">
        <f t="shared" si="41"/>
        <v>28.801011.-15166.8928..CLEAR SCHEDULE.</v>
      </c>
      <c r="E2630">
        <v>28</v>
      </c>
      <c r="F2630">
        <v>801011</v>
      </c>
      <c r="G2630" s="1">
        <v>-151.66</v>
      </c>
      <c r="H2630" t="s">
        <v>3028</v>
      </c>
      <c r="J2630" s="18" t="s">
        <v>4327</v>
      </c>
    </row>
    <row r="2631" spans="3:10" x14ac:dyDescent="0.25">
      <c r="C2631" s="17" t="str">
        <f t="shared" si="41"/>
        <v>28.801011.-46784.8929..CLEAR SCHEDULE.</v>
      </c>
      <c r="E2631">
        <v>28</v>
      </c>
      <c r="F2631">
        <v>801011</v>
      </c>
      <c r="G2631" s="2">
        <v>-467.84</v>
      </c>
      <c r="H2631" t="s">
        <v>3029</v>
      </c>
      <c r="J2631" s="18" t="s">
        <v>4327</v>
      </c>
    </row>
    <row r="2632" spans="3:10" x14ac:dyDescent="0.25">
      <c r="C2632" s="17" t="str">
        <f t="shared" si="41"/>
        <v>28.801011.-15945.8930..CLEAR SCHEDULE.</v>
      </c>
      <c r="E2632">
        <v>28</v>
      </c>
      <c r="F2632">
        <v>801011</v>
      </c>
      <c r="G2632" s="1">
        <v>-159.44999999999999</v>
      </c>
      <c r="H2632" t="s">
        <v>3030</v>
      </c>
      <c r="J2632" s="18" t="s">
        <v>4327</v>
      </c>
    </row>
    <row r="2633" spans="3:10" x14ac:dyDescent="0.25">
      <c r="C2633" s="17" t="str">
        <f t="shared" si="41"/>
        <v>28.801011.-8972.8931..CLEAR SCHEDULE.</v>
      </c>
      <c r="E2633">
        <v>28</v>
      </c>
      <c r="F2633">
        <v>801011</v>
      </c>
      <c r="G2633" s="2">
        <v>-89.72</v>
      </c>
      <c r="H2633" t="s">
        <v>3031</v>
      </c>
      <c r="J2633" s="18" t="s">
        <v>4327</v>
      </c>
    </row>
    <row r="2634" spans="3:10" x14ac:dyDescent="0.25">
      <c r="C2634" s="17" t="str">
        <f t="shared" si="41"/>
        <v>28.801011.-193195.8932..CLEAR SCHEDULE.</v>
      </c>
      <c r="E2634">
        <v>28</v>
      </c>
      <c r="F2634">
        <v>801011</v>
      </c>
      <c r="G2634" s="1">
        <v>-1931.95</v>
      </c>
      <c r="H2634" t="s">
        <v>3032</v>
      </c>
      <c r="J2634" s="18" t="s">
        <v>4327</v>
      </c>
    </row>
    <row r="2635" spans="3:10" x14ac:dyDescent="0.25">
      <c r="C2635" s="17" t="str">
        <f t="shared" ref="C2635:C2698" si="42">IF(G2635=0,"",(E2635&amp;"."&amp;F2635&amp;"."&amp;G2635*100&amp;"."&amp;H2635&amp;"."&amp;I2635&amp;"."&amp;J2635&amp;"."&amp;K2635))</f>
        <v>28.801011.-95262.8933..CLEAR SCHEDULE.</v>
      </c>
      <c r="E2635">
        <v>28</v>
      </c>
      <c r="F2635">
        <v>801011</v>
      </c>
      <c r="G2635" s="2">
        <v>-952.62</v>
      </c>
      <c r="H2635" t="s">
        <v>3033</v>
      </c>
      <c r="J2635" s="18" t="s">
        <v>4327</v>
      </c>
    </row>
    <row r="2636" spans="3:10" x14ac:dyDescent="0.25">
      <c r="C2636" s="17" t="str">
        <f t="shared" si="42"/>
        <v>28.801011.-5415.8934..CLEAR SCHEDULE.</v>
      </c>
      <c r="E2636">
        <v>28</v>
      </c>
      <c r="F2636">
        <v>801011</v>
      </c>
      <c r="G2636" s="1">
        <v>-54.15</v>
      </c>
      <c r="H2636" t="s">
        <v>3034</v>
      </c>
      <c r="J2636" s="18" t="s">
        <v>4327</v>
      </c>
    </row>
    <row r="2637" spans="3:10" x14ac:dyDescent="0.25">
      <c r="C2637" s="17" t="str">
        <f t="shared" si="42"/>
        <v>28.801011.-25454.8935..CLEAR SCHEDULE.</v>
      </c>
      <c r="E2637">
        <v>28</v>
      </c>
      <c r="F2637">
        <v>801011</v>
      </c>
      <c r="G2637" s="2">
        <v>-254.54</v>
      </c>
      <c r="H2637" t="s">
        <v>3035</v>
      </c>
      <c r="J2637" s="18" t="s">
        <v>4327</v>
      </c>
    </row>
    <row r="2638" spans="3:10" x14ac:dyDescent="0.25">
      <c r="C2638" s="17" t="str">
        <f t="shared" si="42"/>
        <v>28.801011.-14387.8937..CLEAR SCHEDULE.</v>
      </c>
      <c r="E2638">
        <v>28</v>
      </c>
      <c r="F2638">
        <v>801011</v>
      </c>
      <c r="G2638" s="1">
        <v>-143.87</v>
      </c>
      <c r="H2638" t="s">
        <v>3036</v>
      </c>
      <c r="J2638" s="18" t="s">
        <v>4327</v>
      </c>
    </row>
    <row r="2639" spans="3:10" x14ac:dyDescent="0.25">
      <c r="C2639" s="17" t="str">
        <f t="shared" si="42"/>
        <v>28.801011.-8972.8938..CLEAR SCHEDULE.</v>
      </c>
      <c r="E2639">
        <v>28</v>
      </c>
      <c r="F2639">
        <v>801011</v>
      </c>
      <c r="G2639" s="2">
        <v>-89.72</v>
      </c>
      <c r="H2639" t="s">
        <v>3037</v>
      </c>
      <c r="J2639" s="18" t="s">
        <v>4327</v>
      </c>
    </row>
    <row r="2640" spans="3:10" x14ac:dyDescent="0.25">
      <c r="C2640" s="17" t="str">
        <f t="shared" si="42"/>
        <v>28.801011.-18945.8941..CLEAR SCHEDULE.</v>
      </c>
      <c r="E2640">
        <v>28</v>
      </c>
      <c r="F2640">
        <v>801011</v>
      </c>
      <c r="G2640" s="1">
        <v>-189.45</v>
      </c>
      <c r="H2640" t="s">
        <v>3038</v>
      </c>
      <c r="J2640" s="18" t="s">
        <v>4327</v>
      </c>
    </row>
    <row r="2641" spans="3:10" x14ac:dyDescent="0.25">
      <c r="C2641" s="17" t="str">
        <f t="shared" si="42"/>
        <v>28.801011.-14920.8942..CLEAR SCHEDULE.</v>
      </c>
      <c r="E2641">
        <v>28</v>
      </c>
      <c r="F2641">
        <v>801011</v>
      </c>
      <c r="G2641" s="2">
        <v>-149.19999999999999</v>
      </c>
      <c r="H2641" t="s">
        <v>3039</v>
      </c>
      <c r="J2641" s="18" t="s">
        <v>4327</v>
      </c>
    </row>
    <row r="2642" spans="3:10" x14ac:dyDescent="0.25">
      <c r="C2642" s="17" t="str">
        <f t="shared" si="42"/>
        <v>28.801011.-14387.8945..CLEAR SCHEDULE.</v>
      </c>
      <c r="E2642">
        <v>28</v>
      </c>
      <c r="F2642">
        <v>801011</v>
      </c>
      <c r="G2642" s="1">
        <v>-143.87</v>
      </c>
      <c r="H2642" t="s">
        <v>3040</v>
      </c>
      <c r="J2642" s="18" t="s">
        <v>4327</v>
      </c>
    </row>
    <row r="2643" spans="3:10" x14ac:dyDescent="0.25">
      <c r="C2643" s="17" t="str">
        <f t="shared" si="42"/>
        <v>28.801011.-29869.8948..CLEAR SCHEDULE.</v>
      </c>
      <c r="E2643">
        <v>28</v>
      </c>
      <c r="F2643">
        <v>801011</v>
      </c>
      <c r="G2643" s="2">
        <v>-298.69</v>
      </c>
      <c r="H2643" t="s">
        <v>3041</v>
      </c>
      <c r="J2643" s="18" t="s">
        <v>4327</v>
      </c>
    </row>
    <row r="2644" spans="3:10" x14ac:dyDescent="0.25">
      <c r="C2644" s="17" t="str">
        <f t="shared" si="42"/>
        <v>28.801011.-58420.8949..CLEAR SCHEDULE.</v>
      </c>
      <c r="E2644">
        <v>28</v>
      </c>
      <c r="F2644">
        <v>801011</v>
      </c>
      <c r="G2644" s="1">
        <v>-584.20000000000005</v>
      </c>
      <c r="H2644" t="s">
        <v>3042</v>
      </c>
      <c r="J2644" s="18" t="s">
        <v>4327</v>
      </c>
    </row>
    <row r="2645" spans="3:10" x14ac:dyDescent="0.25">
      <c r="C2645" s="17" t="str">
        <f t="shared" si="42"/>
        <v>28.801011.-45974.8950..CLEAR SCHEDULE.</v>
      </c>
      <c r="E2645">
        <v>28</v>
      </c>
      <c r="F2645">
        <v>801011</v>
      </c>
      <c r="G2645" s="2">
        <v>-459.74</v>
      </c>
      <c r="H2645" t="s">
        <v>3043</v>
      </c>
      <c r="J2645" s="18" t="s">
        <v>4327</v>
      </c>
    </row>
    <row r="2646" spans="3:10" x14ac:dyDescent="0.25">
      <c r="C2646" s="17" t="str">
        <f t="shared" si="42"/>
        <v>28.801011.-38620.8951..CLEAR SCHEDULE.</v>
      </c>
      <c r="E2646">
        <v>28</v>
      </c>
      <c r="F2646">
        <v>801011</v>
      </c>
      <c r="G2646" s="1">
        <v>-386.2</v>
      </c>
      <c r="H2646" t="s">
        <v>3044</v>
      </c>
      <c r="J2646" s="18" t="s">
        <v>4327</v>
      </c>
    </row>
    <row r="2647" spans="3:10" x14ac:dyDescent="0.25">
      <c r="C2647" s="17" t="str">
        <f t="shared" si="42"/>
        <v>28.801011.-58838.8954..CLEAR SCHEDULE.</v>
      </c>
      <c r="E2647">
        <v>28</v>
      </c>
      <c r="F2647">
        <v>801011</v>
      </c>
      <c r="G2647" s="2">
        <v>-588.38</v>
      </c>
      <c r="H2647" t="s">
        <v>3045</v>
      </c>
      <c r="J2647" s="18" t="s">
        <v>4327</v>
      </c>
    </row>
    <row r="2648" spans="3:10" x14ac:dyDescent="0.25">
      <c r="C2648" s="17" t="str">
        <f t="shared" si="42"/>
        <v>28.801011.-214160.8955..CLEAR SCHEDULE.</v>
      </c>
      <c r="E2648">
        <v>28</v>
      </c>
      <c r="F2648">
        <v>801011</v>
      </c>
      <c r="G2648" s="1">
        <v>-2141.6</v>
      </c>
      <c r="H2648" t="s">
        <v>3046</v>
      </c>
      <c r="J2648" s="18" t="s">
        <v>4327</v>
      </c>
    </row>
    <row r="2649" spans="3:10" x14ac:dyDescent="0.25">
      <c r="C2649" s="17" t="str">
        <f t="shared" si="42"/>
        <v>28.801011.-15585.8956..CLEAR SCHEDULE.</v>
      </c>
      <c r="E2649">
        <v>28</v>
      </c>
      <c r="F2649">
        <v>801011</v>
      </c>
      <c r="G2649" s="2">
        <v>-155.85</v>
      </c>
      <c r="H2649" t="s">
        <v>3047</v>
      </c>
      <c r="J2649" s="18" t="s">
        <v>4327</v>
      </c>
    </row>
    <row r="2650" spans="3:10" x14ac:dyDescent="0.25">
      <c r="C2650" s="17" t="str">
        <f t="shared" si="42"/>
        <v>28.801011.-8972.8957..CLEAR SCHEDULE.</v>
      </c>
      <c r="E2650">
        <v>28</v>
      </c>
      <c r="F2650">
        <v>801011</v>
      </c>
      <c r="G2650" s="1">
        <v>-89.72</v>
      </c>
      <c r="H2650" t="s">
        <v>3048</v>
      </c>
      <c r="J2650" s="18" t="s">
        <v>4327</v>
      </c>
    </row>
    <row r="2651" spans="3:10" x14ac:dyDescent="0.25">
      <c r="C2651" s="17" t="str">
        <f t="shared" si="42"/>
        <v>28.801011.-128685.8958..CLEAR SCHEDULE.</v>
      </c>
      <c r="E2651">
        <v>28</v>
      </c>
      <c r="F2651">
        <v>801011</v>
      </c>
      <c r="G2651" s="2">
        <v>-1286.8499999999999</v>
      </c>
      <c r="H2651" t="s">
        <v>3049</v>
      </c>
      <c r="J2651" s="18" t="s">
        <v>4327</v>
      </c>
    </row>
    <row r="2652" spans="3:10" x14ac:dyDescent="0.25">
      <c r="C2652" s="17" t="str">
        <f t="shared" si="42"/>
        <v>28.801011.-15945.8960..CLEAR SCHEDULE.</v>
      </c>
      <c r="E2652">
        <v>28</v>
      </c>
      <c r="F2652">
        <v>801011</v>
      </c>
      <c r="G2652" s="1">
        <v>-159.44999999999999</v>
      </c>
      <c r="H2652" t="s">
        <v>3050</v>
      </c>
      <c r="J2652" s="18" t="s">
        <v>4327</v>
      </c>
    </row>
    <row r="2653" spans="3:10" x14ac:dyDescent="0.25">
      <c r="C2653" s="17" t="str">
        <f t="shared" si="42"/>
        <v>28.801011.-14387.8961..CLEAR SCHEDULE.</v>
      </c>
      <c r="E2653">
        <v>28</v>
      </c>
      <c r="F2653">
        <v>801011</v>
      </c>
      <c r="G2653" s="2">
        <v>-143.87</v>
      </c>
      <c r="H2653" t="s">
        <v>3051</v>
      </c>
      <c r="J2653" s="18" t="s">
        <v>4327</v>
      </c>
    </row>
    <row r="2654" spans="3:10" x14ac:dyDescent="0.25">
      <c r="C2654" s="17" t="str">
        <f t="shared" si="42"/>
        <v>28.801011.-15166.8963..CLEAR SCHEDULE.</v>
      </c>
      <c r="E2654">
        <v>28</v>
      </c>
      <c r="F2654">
        <v>801011</v>
      </c>
      <c r="G2654" s="1">
        <v>-151.66</v>
      </c>
      <c r="H2654" t="s">
        <v>3052</v>
      </c>
      <c r="J2654" s="18" t="s">
        <v>4327</v>
      </c>
    </row>
    <row r="2655" spans="3:10" x14ac:dyDescent="0.25">
      <c r="C2655" s="17" t="str">
        <f t="shared" si="42"/>
        <v>28.801011.-30272.8964..CLEAR SCHEDULE.</v>
      </c>
      <c r="E2655">
        <v>28</v>
      </c>
      <c r="F2655">
        <v>801011</v>
      </c>
      <c r="G2655" s="2">
        <v>-302.72000000000003</v>
      </c>
      <c r="H2655" t="s">
        <v>3053</v>
      </c>
      <c r="J2655" s="18" t="s">
        <v>4327</v>
      </c>
    </row>
    <row r="2656" spans="3:10" x14ac:dyDescent="0.25">
      <c r="C2656" s="17" t="str">
        <f t="shared" si="42"/>
        <v>28.801011.-14387.8966..CLEAR SCHEDULE.</v>
      </c>
      <c r="E2656">
        <v>28</v>
      </c>
      <c r="F2656">
        <v>801011</v>
      </c>
      <c r="G2656" s="1">
        <v>-143.87</v>
      </c>
      <c r="H2656" t="s">
        <v>3054</v>
      </c>
      <c r="J2656" s="18" t="s">
        <v>4327</v>
      </c>
    </row>
    <row r="2657" spans="3:10" x14ac:dyDescent="0.25">
      <c r="C2657" s="17" t="str">
        <f t="shared" si="42"/>
        <v>28.801011.-113929.8967..CLEAR SCHEDULE.</v>
      </c>
      <c r="E2657">
        <v>28</v>
      </c>
      <c r="F2657">
        <v>801011</v>
      </c>
      <c r="G2657" s="2">
        <v>-1139.29</v>
      </c>
      <c r="H2657" t="s">
        <v>3055</v>
      </c>
      <c r="J2657" s="18" t="s">
        <v>4327</v>
      </c>
    </row>
    <row r="2658" spans="3:10" x14ac:dyDescent="0.25">
      <c r="C2658" s="17" t="str">
        <f t="shared" si="42"/>
        <v>28.801011.-44427.8971..CLEAR SCHEDULE.</v>
      </c>
      <c r="E2658">
        <v>28</v>
      </c>
      <c r="F2658">
        <v>801011</v>
      </c>
      <c r="G2658" s="1">
        <v>-444.27</v>
      </c>
      <c r="H2658" t="s">
        <v>3056</v>
      </c>
      <c r="J2658" s="18" t="s">
        <v>4327</v>
      </c>
    </row>
    <row r="2659" spans="3:10" x14ac:dyDescent="0.25">
      <c r="C2659" s="17" t="str">
        <f t="shared" si="42"/>
        <v>28.801011.-9751.8972..CLEAR SCHEDULE.</v>
      </c>
      <c r="E2659">
        <v>28</v>
      </c>
      <c r="F2659">
        <v>801011</v>
      </c>
      <c r="G2659" s="2">
        <v>-97.51</v>
      </c>
      <c r="H2659" t="s">
        <v>3057</v>
      </c>
      <c r="J2659" s="18" t="s">
        <v>4327</v>
      </c>
    </row>
    <row r="2660" spans="3:10" x14ac:dyDescent="0.25">
      <c r="C2660" s="17" t="str">
        <f t="shared" si="42"/>
        <v>28.801011.-8972.8973..CLEAR SCHEDULE.</v>
      </c>
      <c r="E2660">
        <v>28</v>
      </c>
      <c r="F2660">
        <v>801011</v>
      </c>
      <c r="G2660" s="1">
        <v>-89.72</v>
      </c>
      <c r="H2660" t="s">
        <v>3058</v>
      </c>
      <c r="J2660" s="18" t="s">
        <v>4327</v>
      </c>
    </row>
    <row r="2661" spans="3:10" x14ac:dyDescent="0.25">
      <c r="C2661" s="17" t="str">
        <f t="shared" si="42"/>
        <v>28.801011.-59728.8975..CLEAR SCHEDULE.</v>
      </c>
      <c r="E2661">
        <v>28</v>
      </c>
      <c r="F2661">
        <v>801011</v>
      </c>
      <c r="G2661" s="2">
        <v>-597.28</v>
      </c>
      <c r="H2661" t="s">
        <v>3059</v>
      </c>
      <c r="J2661" s="18" t="s">
        <v>4327</v>
      </c>
    </row>
    <row r="2662" spans="3:10" x14ac:dyDescent="0.25">
      <c r="C2662" s="17" t="str">
        <f t="shared" si="42"/>
        <v>28.801011.-110359.8976..CLEAR SCHEDULE.</v>
      </c>
      <c r="E2662">
        <v>28</v>
      </c>
      <c r="F2662">
        <v>801011</v>
      </c>
      <c r="G2662" s="1">
        <v>-1103.5899999999999</v>
      </c>
      <c r="H2662" t="s">
        <v>3060</v>
      </c>
      <c r="J2662" s="18" t="s">
        <v>4327</v>
      </c>
    </row>
    <row r="2663" spans="3:10" x14ac:dyDescent="0.25">
      <c r="C2663" s="17" t="str">
        <f t="shared" si="42"/>
        <v>28.801011.-26595.8978..CLEAR SCHEDULE.</v>
      </c>
      <c r="E2663">
        <v>28</v>
      </c>
      <c r="F2663">
        <v>801011</v>
      </c>
      <c r="G2663" s="2">
        <v>-265.95</v>
      </c>
      <c r="H2663" t="s">
        <v>3061</v>
      </c>
      <c r="J2663" s="18" t="s">
        <v>4327</v>
      </c>
    </row>
    <row r="2664" spans="3:10" x14ac:dyDescent="0.25">
      <c r="C2664" s="17" t="str">
        <f t="shared" si="42"/>
        <v>28.801011.-77077.8982..CLEAR SCHEDULE.</v>
      </c>
      <c r="E2664">
        <v>28</v>
      </c>
      <c r="F2664">
        <v>801011</v>
      </c>
      <c r="G2664" s="1">
        <v>-770.77</v>
      </c>
      <c r="H2664" t="s">
        <v>3062</v>
      </c>
      <c r="J2664" s="18" t="s">
        <v>4327</v>
      </c>
    </row>
    <row r="2665" spans="3:10" x14ac:dyDescent="0.25">
      <c r="C2665" s="17" t="str">
        <f t="shared" si="42"/>
        <v>28.801011.-117022.8984..CLEAR SCHEDULE.</v>
      </c>
      <c r="E2665">
        <v>28</v>
      </c>
      <c r="F2665">
        <v>801011</v>
      </c>
      <c r="G2665" s="2">
        <v>-1170.22</v>
      </c>
      <c r="H2665" t="s">
        <v>3063</v>
      </c>
      <c r="J2665" s="18" t="s">
        <v>4327</v>
      </c>
    </row>
    <row r="2666" spans="3:10" x14ac:dyDescent="0.25">
      <c r="C2666" s="17" t="str">
        <f t="shared" si="42"/>
        <v>28.801011.-29493.8985..CLEAR SCHEDULE.</v>
      </c>
      <c r="E2666">
        <v>28</v>
      </c>
      <c r="F2666">
        <v>801011</v>
      </c>
      <c r="G2666" s="1">
        <v>-294.93</v>
      </c>
      <c r="H2666" t="s">
        <v>3064</v>
      </c>
      <c r="J2666" s="18" t="s">
        <v>4327</v>
      </c>
    </row>
    <row r="2667" spans="3:10" x14ac:dyDescent="0.25">
      <c r="C2667" s="17" t="str">
        <f t="shared" si="42"/>
        <v>28.801011.-14387.8986..CLEAR SCHEDULE.</v>
      </c>
      <c r="E2667">
        <v>28</v>
      </c>
      <c r="F2667">
        <v>801011</v>
      </c>
      <c r="G2667" s="2">
        <v>-143.87</v>
      </c>
      <c r="H2667" t="s">
        <v>3065</v>
      </c>
      <c r="J2667" s="18" t="s">
        <v>4327</v>
      </c>
    </row>
    <row r="2668" spans="3:10" x14ac:dyDescent="0.25">
      <c r="C2668" s="17" t="str">
        <f t="shared" si="42"/>
        <v>28.801011.-8659.8987..CLEAR SCHEDULE.</v>
      </c>
      <c r="E2668">
        <v>28</v>
      </c>
      <c r="F2668">
        <v>801011</v>
      </c>
      <c r="G2668" s="1">
        <v>-86.59</v>
      </c>
      <c r="H2668" t="s">
        <v>3066</v>
      </c>
      <c r="J2668" s="18" t="s">
        <v>4327</v>
      </c>
    </row>
    <row r="2669" spans="3:10" x14ac:dyDescent="0.25">
      <c r="C2669" s="17" t="str">
        <f t="shared" si="42"/>
        <v>28.801011.-14387.8989..CLEAR SCHEDULE.</v>
      </c>
      <c r="E2669">
        <v>28</v>
      </c>
      <c r="F2669">
        <v>801011</v>
      </c>
      <c r="G2669" s="2">
        <v>-143.87</v>
      </c>
      <c r="H2669" t="s">
        <v>3067</v>
      </c>
      <c r="J2669" s="18" t="s">
        <v>4327</v>
      </c>
    </row>
    <row r="2670" spans="3:10" x14ac:dyDescent="0.25">
      <c r="C2670" s="17" t="str">
        <f t="shared" si="42"/>
        <v>28.801011.-8846.8990..CLEAR SCHEDULE.</v>
      </c>
      <c r="E2670">
        <v>28</v>
      </c>
      <c r="F2670">
        <v>801011</v>
      </c>
      <c r="G2670" s="1">
        <v>-88.46</v>
      </c>
      <c r="H2670" t="s">
        <v>3068</v>
      </c>
      <c r="J2670" s="18" t="s">
        <v>4327</v>
      </c>
    </row>
    <row r="2671" spans="3:10" x14ac:dyDescent="0.25">
      <c r="C2671" s="17" t="str">
        <f t="shared" si="42"/>
        <v>28.801011.-14387.8995..CLEAR SCHEDULE.</v>
      </c>
      <c r="E2671">
        <v>28</v>
      </c>
      <c r="F2671">
        <v>801011</v>
      </c>
      <c r="G2671" s="2">
        <v>-143.87</v>
      </c>
      <c r="H2671" t="s">
        <v>3069</v>
      </c>
      <c r="J2671" s="18" t="s">
        <v>4327</v>
      </c>
    </row>
    <row r="2672" spans="3:10" x14ac:dyDescent="0.25">
      <c r="C2672" s="17" t="str">
        <f t="shared" si="42"/>
        <v>28.801011.-9751.8999..CLEAR SCHEDULE.</v>
      </c>
      <c r="E2672">
        <v>28</v>
      </c>
      <c r="F2672">
        <v>801011</v>
      </c>
      <c r="G2672" s="1">
        <v>-97.51</v>
      </c>
      <c r="H2672" t="s">
        <v>3070</v>
      </c>
      <c r="J2672" s="18" t="s">
        <v>4327</v>
      </c>
    </row>
    <row r="2673" spans="3:10" x14ac:dyDescent="0.25">
      <c r="C2673" s="17" t="str">
        <f t="shared" si="42"/>
        <v>28.801011.-104961.9003..CLEAR SCHEDULE.</v>
      </c>
      <c r="E2673">
        <v>28</v>
      </c>
      <c r="F2673">
        <v>801011</v>
      </c>
      <c r="G2673" s="2">
        <v>-1049.6099999999999</v>
      </c>
      <c r="H2673" t="s">
        <v>3071</v>
      </c>
      <c r="J2673" s="18" t="s">
        <v>4327</v>
      </c>
    </row>
    <row r="2674" spans="3:10" x14ac:dyDescent="0.25">
      <c r="C2674" s="17" t="str">
        <f t="shared" si="42"/>
        <v>28.801011.-5415.9005..CLEAR SCHEDULE.</v>
      </c>
      <c r="E2674">
        <v>28</v>
      </c>
      <c r="F2674">
        <v>801011</v>
      </c>
      <c r="G2674" s="1">
        <v>-54.15</v>
      </c>
      <c r="H2674" t="s">
        <v>3072</v>
      </c>
      <c r="J2674" s="18" t="s">
        <v>4327</v>
      </c>
    </row>
    <row r="2675" spans="3:10" x14ac:dyDescent="0.25">
      <c r="C2675" s="17" t="str">
        <f t="shared" si="42"/>
        <v>28.801011.-175423.9006..CLEAR SCHEDULE.</v>
      </c>
      <c r="E2675">
        <v>28</v>
      </c>
      <c r="F2675">
        <v>801011</v>
      </c>
      <c r="G2675" s="2">
        <v>-1754.23</v>
      </c>
      <c r="H2675" t="s">
        <v>3073</v>
      </c>
      <c r="J2675" s="18" t="s">
        <v>4327</v>
      </c>
    </row>
    <row r="2676" spans="3:10" x14ac:dyDescent="0.25">
      <c r="C2676" s="17" t="str">
        <f t="shared" si="42"/>
        <v>28.801011.-15945.9007..CLEAR SCHEDULE.</v>
      </c>
      <c r="E2676">
        <v>28</v>
      </c>
      <c r="F2676">
        <v>801011</v>
      </c>
      <c r="G2676" s="1">
        <v>-159.44999999999999</v>
      </c>
      <c r="H2676" t="s">
        <v>3074</v>
      </c>
      <c r="J2676" s="18" t="s">
        <v>4327</v>
      </c>
    </row>
    <row r="2677" spans="3:10" x14ac:dyDescent="0.25">
      <c r="C2677" s="17" t="str">
        <f t="shared" si="42"/>
        <v>28.801011.-17504.9008..CLEAR SCHEDULE.</v>
      </c>
      <c r="E2677">
        <v>28</v>
      </c>
      <c r="F2677">
        <v>801011</v>
      </c>
      <c r="G2677" s="2">
        <v>-175.04</v>
      </c>
      <c r="H2677" t="s">
        <v>3075</v>
      </c>
      <c r="J2677" s="18" t="s">
        <v>4327</v>
      </c>
    </row>
    <row r="2678" spans="3:10" x14ac:dyDescent="0.25">
      <c r="C2678" s="17" t="str">
        <f t="shared" si="42"/>
        <v>28.801011.-10530.9009..CLEAR SCHEDULE.</v>
      </c>
      <c r="E2678">
        <v>28</v>
      </c>
      <c r="F2678">
        <v>801011</v>
      </c>
      <c r="G2678" s="1">
        <v>-105.3</v>
      </c>
      <c r="H2678" t="s">
        <v>3076</v>
      </c>
      <c r="J2678" s="18" t="s">
        <v>4327</v>
      </c>
    </row>
    <row r="2679" spans="3:10" x14ac:dyDescent="0.25">
      <c r="C2679" s="17" t="str">
        <f t="shared" si="42"/>
        <v>28.801011.-9751.9011..CLEAR SCHEDULE.</v>
      </c>
      <c r="E2679">
        <v>28</v>
      </c>
      <c r="F2679">
        <v>801011</v>
      </c>
      <c r="G2679" s="2">
        <v>-97.51</v>
      </c>
      <c r="H2679" t="s">
        <v>3077</v>
      </c>
      <c r="J2679" s="18" t="s">
        <v>4327</v>
      </c>
    </row>
    <row r="2680" spans="3:10" x14ac:dyDescent="0.25">
      <c r="C2680" s="17" t="str">
        <f t="shared" si="42"/>
        <v>28.801011.-10530.9012..CLEAR SCHEDULE.</v>
      </c>
      <c r="E2680">
        <v>28</v>
      </c>
      <c r="F2680">
        <v>801011</v>
      </c>
      <c r="G2680" s="1">
        <v>-105.3</v>
      </c>
      <c r="H2680" t="s">
        <v>3078</v>
      </c>
      <c r="J2680" s="18" t="s">
        <v>4327</v>
      </c>
    </row>
    <row r="2681" spans="3:10" x14ac:dyDescent="0.25">
      <c r="C2681" s="17" t="str">
        <f t="shared" si="42"/>
        <v>28.801011.-12521.9015..CLEAR SCHEDULE.</v>
      </c>
      <c r="E2681">
        <v>28</v>
      </c>
      <c r="F2681">
        <v>801011</v>
      </c>
      <c r="G2681" s="2">
        <v>-125.21</v>
      </c>
      <c r="H2681" t="s">
        <v>3079</v>
      </c>
      <c r="J2681" s="18" t="s">
        <v>4327</v>
      </c>
    </row>
    <row r="2682" spans="3:10" x14ac:dyDescent="0.25">
      <c r="C2682" s="17" t="str">
        <f t="shared" si="42"/>
        <v>28.801011.-10530.9016..CLEAR SCHEDULE.</v>
      </c>
      <c r="E2682">
        <v>28</v>
      </c>
      <c r="F2682">
        <v>801011</v>
      </c>
      <c r="G2682" s="1">
        <v>-105.3</v>
      </c>
      <c r="H2682" t="s">
        <v>3080</v>
      </c>
      <c r="J2682" s="18" t="s">
        <v>4327</v>
      </c>
    </row>
    <row r="2683" spans="3:10" x14ac:dyDescent="0.25">
      <c r="C2683" s="17" t="str">
        <f t="shared" si="42"/>
        <v>28.801011.-12000.9017..CLEAR SCHEDULE.</v>
      </c>
      <c r="E2683">
        <v>28</v>
      </c>
      <c r="F2683">
        <v>801011</v>
      </c>
      <c r="G2683" s="2">
        <v>-120</v>
      </c>
      <c r="H2683" t="s">
        <v>3081</v>
      </c>
      <c r="J2683" s="18" t="s">
        <v>4327</v>
      </c>
    </row>
    <row r="2684" spans="3:10" x14ac:dyDescent="0.25">
      <c r="C2684" s="17" t="str">
        <f t="shared" si="42"/>
        <v>28.801011.-167271.9018..CLEAR SCHEDULE.</v>
      </c>
      <c r="E2684">
        <v>28</v>
      </c>
      <c r="F2684">
        <v>801011</v>
      </c>
      <c r="G2684" s="1">
        <v>-1672.71</v>
      </c>
      <c r="H2684" t="s">
        <v>3082</v>
      </c>
      <c r="J2684" s="18" t="s">
        <v>4327</v>
      </c>
    </row>
    <row r="2685" spans="3:10" x14ac:dyDescent="0.25">
      <c r="C2685" s="17" t="str">
        <f t="shared" si="42"/>
        <v>28.801011.-5415.9026..CLEAR SCHEDULE.</v>
      </c>
      <c r="E2685">
        <v>28</v>
      </c>
      <c r="F2685">
        <v>801011</v>
      </c>
      <c r="G2685" s="2">
        <v>-54.15</v>
      </c>
      <c r="H2685" t="s">
        <v>3083</v>
      </c>
      <c r="J2685" s="18" t="s">
        <v>4327</v>
      </c>
    </row>
    <row r="2686" spans="3:10" x14ac:dyDescent="0.25">
      <c r="C2686" s="17" t="str">
        <f t="shared" si="42"/>
        <v>28.801011.-16724.9032..CLEAR SCHEDULE.</v>
      </c>
      <c r="E2686">
        <v>28</v>
      </c>
      <c r="F2686">
        <v>801011</v>
      </c>
      <c r="G2686" s="1">
        <v>-167.24</v>
      </c>
      <c r="H2686" t="s">
        <v>3084</v>
      </c>
      <c r="J2686" s="18" t="s">
        <v>4327</v>
      </c>
    </row>
    <row r="2687" spans="3:10" x14ac:dyDescent="0.25">
      <c r="C2687" s="17" t="str">
        <f t="shared" si="42"/>
        <v>28.801011.-80938.9034..CLEAR SCHEDULE.</v>
      </c>
      <c r="E2687">
        <v>28</v>
      </c>
      <c r="F2687">
        <v>801011</v>
      </c>
      <c r="G2687" s="2">
        <v>-809.38</v>
      </c>
      <c r="H2687" t="s">
        <v>3085</v>
      </c>
      <c r="J2687" s="18" t="s">
        <v>4327</v>
      </c>
    </row>
    <row r="2688" spans="3:10" x14ac:dyDescent="0.25">
      <c r="C2688" s="17" t="str">
        <f t="shared" si="42"/>
        <v>28.801011.-15166.9035..CLEAR SCHEDULE.</v>
      </c>
      <c r="E2688">
        <v>28</v>
      </c>
      <c r="F2688">
        <v>801011</v>
      </c>
      <c r="G2688" s="1">
        <v>-151.66</v>
      </c>
      <c r="H2688" t="s">
        <v>3086</v>
      </c>
      <c r="J2688" s="18" t="s">
        <v>4327</v>
      </c>
    </row>
    <row r="2689" spans="3:10" x14ac:dyDescent="0.25">
      <c r="C2689" s="17" t="str">
        <f t="shared" si="42"/>
        <v>28.801011.-9871.9036..CLEAR SCHEDULE.</v>
      </c>
      <c r="E2689">
        <v>28</v>
      </c>
      <c r="F2689">
        <v>801011</v>
      </c>
      <c r="G2689" s="2">
        <v>-98.71</v>
      </c>
      <c r="H2689" t="s">
        <v>3087</v>
      </c>
      <c r="J2689" s="18" t="s">
        <v>4327</v>
      </c>
    </row>
    <row r="2690" spans="3:10" x14ac:dyDescent="0.25">
      <c r="C2690" s="17" t="str">
        <f t="shared" si="42"/>
        <v>28.801011.-148486.9037..CLEAR SCHEDULE.</v>
      </c>
      <c r="E2690">
        <v>28</v>
      </c>
      <c r="F2690">
        <v>801011</v>
      </c>
      <c r="G2690" s="1">
        <v>-1484.86</v>
      </c>
      <c r="H2690" t="s">
        <v>3088</v>
      </c>
      <c r="J2690" s="18" t="s">
        <v>4327</v>
      </c>
    </row>
    <row r="2691" spans="3:10" x14ac:dyDescent="0.25">
      <c r="C2691" s="17" t="str">
        <f t="shared" si="42"/>
        <v>28.801011.-27833.9038..CLEAR SCHEDULE.</v>
      </c>
      <c r="E2691">
        <v>28</v>
      </c>
      <c r="F2691">
        <v>801011</v>
      </c>
      <c r="G2691" s="2">
        <v>-278.33</v>
      </c>
      <c r="H2691" t="s">
        <v>3089</v>
      </c>
      <c r="J2691" s="18" t="s">
        <v>4327</v>
      </c>
    </row>
    <row r="2692" spans="3:10" x14ac:dyDescent="0.25">
      <c r="C2692" s="17" t="str">
        <f t="shared" si="42"/>
        <v>28.801011.-15101.9041..CLEAR SCHEDULE.</v>
      </c>
      <c r="E2692">
        <v>28</v>
      </c>
      <c r="F2692">
        <v>801011</v>
      </c>
      <c r="G2692" s="1">
        <v>-151.01</v>
      </c>
      <c r="H2692" t="s">
        <v>3090</v>
      </c>
      <c r="J2692" s="18" t="s">
        <v>4327</v>
      </c>
    </row>
    <row r="2693" spans="3:10" x14ac:dyDescent="0.25">
      <c r="C2693" s="17" t="str">
        <f t="shared" si="42"/>
        <v>28.801011.-15940.9042..CLEAR SCHEDULE.</v>
      </c>
      <c r="E2693">
        <v>28</v>
      </c>
      <c r="F2693">
        <v>801011</v>
      </c>
      <c r="G2693" s="2">
        <v>-159.4</v>
      </c>
      <c r="H2693" t="s">
        <v>3091</v>
      </c>
      <c r="J2693" s="18" t="s">
        <v>4327</v>
      </c>
    </row>
    <row r="2694" spans="3:10" x14ac:dyDescent="0.25">
      <c r="C2694" s="17" t="str">
        <f t="shared" si="42"/>
        <v>28.801011.-83241.9046..CLEAR SCHEDULE.</v>
      </c>
      <c r="E2694">
        <v>28</v>
      </c>
      <c r="F2694">
        <v>801011</v>
      </c>
      <c r="G2694" s="1">
        <v>-832.41</v>
      </c>
      <c r="H2694" t="s">
        <v>3092</v>
      </c>
      <c r="J2694" s="18" t="s">
        <v>4327</v>
      </c>
    </row>
    <row r="2695" spans="3:10" x14ac:dyDescent="0.25">
      <c r="C2695" s="17" t="str">
        <f t="shared" si="42"/>
        <v>28.801011.-61196.9047..CLEAR SCHEDULE.</v>
      </c>
      <c r="E2695">
        <v>28</v>
      </c>
      <c r="F2695">
        <v>801011</v>
      </c>
      <c r="G2695" s="2">
        <v>-611.96</v>
      </c>
      <c r="H2695" t="s">
        <v>3093</v>
      </c>
      <c r="J2695" s="18" t="s">
        <v>4327</v>
      </c>
    </row>
    <row r="2696" spans="3:10" x14ac:dyDescent="0.25">
      <c r="C2696" s="17" t="str">
        <f t="shared" si="42"/>
        <v>28.801011.-14387.9048..CLEAR SCHEDULE.</v>
      </c>
      <c r="E2696">
        <v>28</v>
      </c>
      <c r="F2696">
        <v>801011</v>
      </c>
      <c r="G2696" s="1">
        <v>-143.87</v>
      </c>
      <c r="H2696" t="s">
        <v>3094</v>
      </c>
      <c r="J2696" s="18" t="s">
        <v>4327</v>
      </c>
    </row>
    <row r="2697" spans="3:10" x14ac:dyDescent="0.25">
      <c r="C2697" s="17" t="str">
        <f t="shared" si="42"/>
        <v>28.801011.-86846.9052..CLEAR SCHEDULE.</v>
      </c>
      <c r="E2697">
        <v>28</v>
      </c>
      <c r="F2697">
        <v>801011</v>
      </c>
      <c r="G2697" s="2">
        <v>-868.46</v>
      </c>
      <c r="H2697" t="s">
        <v>3095</v>
      </c>
      <c r="J2697" s="18" t="s">
        <v>4327</v>
      </c>
    </row>
    <row r="2698" spans="3:10" x14ac:dyDescent="0.25">
      <c r="C2698" s="17" t="str">
        <f t="shared" si="42"/>
        <v>28.801011.-13668.9054..CLEAR SCHEDULE.</v>
      </c>
      <c r="E2698">
        <v>28</v>
      </c>
      <c r="F2698">
        <v>801011</v>
      </c>
      <c r="G2698" s="1">
        <v>-136.68</v>
      </c>
      <c r="H2698" t="s">
        <v>3096</v>
      </c>
      <c r="J2698" s="18" t="s">
        <v>4327</v>
      </c>
    </row>
    <row r="2699" spans="3:10" x14ac:dyDescent="0.25">
      <c r="C2699" s="17" t="str">
        <f t="shared" ref="C2699:C2762" si="43">IF(G2699=0,"",(E2699&amp;"."&amp;F2699&amp;"."&amp;G2699*100&amp;"."&amp;H2699&amp;"."&amp;I2699&amp;"."&amp;J2699&amp;"."&amp;K2699))</f>
        <v>28.801011.-25098.9055..CLEAR SCHEDULE.</v>
      </c>
      <c r="E2699">
        <v>28</v>
      </c>
      <c r="F2699">
        <v>801011</v>
      </c>
      <c r="G2699" s="2">
        <v>-250.98</v>
      </c>
      <c r="H2699" t="s">
        <v>3097</v>
      </c>
      <c r="J2699" s="18" t="s">
        <v>4327</v>
      </c>
    </row>
    <row r="2700" spans="3:10" x14ac:dyDescent="0.25">
      <c r="C2700" s="17" t="str">
        <f t="shared" si="43"/>
        <v>28.801011.-14408.9056..CLEAR SCHEDULE.</v>
      </c>
      <c r="E2700">
        <v>28</v>
      </c>
      <c r="F2700">
        <v>801011</v>
      </c>
      <c r="G2700" s="1">
        <v>-144.08000000000001</v>
      </c>
      <c r="H2700" t="s">
        <v>3098</v>
      </c>
      <c r="J2700" s="18" t="s">
        <v>4327</v>
      </c>
    </row>
    <row r="2701" spans="3:10" x14ac:dyDescent="0.25">
      <c r="C2701" s="17" t="str">
        <f t="shared" si="43"/>
        <v>28.801011.-31128.9058..CLEAR SCHEDULE.</v>
      </c>
      <c r="E2701">
        <v>28</v>
      </c>
      <c r="F2701">
        <v>801011</v>
      </c>
      <c r="G2701" s="2">
        <v>-311.27999999999997</v>
      </c>
      <c r="H2701" t="s">
        <v>3099</v>
      </c>
      <c r="J2701" s="18" t="s">
        <v>4327</v>
      </c>
    </row>
    <row r="2702" spans="3:10" x14ac:dyDescent="0.25">
      <c r="C2702" s="17" t="str">
        <f t="shared" si="43"/>
        <v>28.801011.-99975.9059..CLEAR SCHEDULE.</v>
      </c>
      <c r="E2702">
        <v>28</v>
      </c>
      <c r="F2702">
        <v>801011</v>
      </c>
      <c r="G2702" s="1">
        <v>-999.75</v>
      </c>
      <c r="H2702" t="s">
        <v>3100</v>
      </c>
      <c r="J2702" s="18" t="s">
        <v>4327</v>
      </c>
    </row>
    <row r="2703" spans="3:10" x14ac:dyDescent="0.25">
      <c r="C2703" s="17" t="str">
        <f t="shared" si="43"/>
        <v>28.801011.-15166.9060..CLEAR SCHEDULE.</v>
      </c>
      <c r="E2703">
        <v>28</v>
      </c>
      <c r="F2703">
        <v>801011</v>
      </c>
      <c r="G2703" s="2">
        <v>-151.66</v>
      </c>
      <c r="H2703" t="s">
        <v>3101</v>
      </c>
      <c r="J2703" s="18" t="s">
        <v>4327</v>
      </c>
    </row>
    <row r="2704" spans="3:10" x14ac:dyDescent="0.25">
      <c r="C2704" s="17" t="str">
        <f t="shared" si="43"/>
        <v>28.801011.-10530.9062..CLEAR SCHEDULE.</v>
      </c>
      <c r="E2704">
        <v>28</v>
      </c>
      <c r="F2704">
        <v>801011</v>
      </c>
      <c r="G2704" s="1">
        <v>-105.3</v>
      </c>
      <c r="H2704" t="s">
        <v>3102</v>
      </c>
      <c r="J2704" s="18" t="s">
        <v>4327</v>
      </c>
    </row>
    <row r="2705" spans="3:10" x14ac:dyDescent="0.25">
      <c r="C2705" s="17" t="str">
        <f t="shared" si="43"/>
        <v>28.801011.-54181.9064..CLEAR SCHEDULE.</v>
      </c>
      <c r="E2705">
        <v>28</v>
      </c>
      <c r="F2705">
        <v>801011</v>
      </c>
      <c r="G2705" s="2">
        <v>-541.80999999999995</v>
      </c>
      <c r="H2705" t="s">
        <v>3103</v>
      </c>
      <c r="J2705" s="18" t="s">
        <v>4327</v>
      </c>
    </row>
    <row r="2706" spans="3:10" x14ac:dyDescent="0.25">
      <c r="C2706" s="17" t="str">
        <f t="shared" si="43"/>
        <v>28.801011.-54920.9065..CLEAR SCHEDULE.</v>
      </c>
      <c r="E2706">
        <v>28</v>
      </c>
      <c r="F2706">
        <v>801011</v>
      </c>
      <c r="G2706" s="1">
        <v>-549.20000000000005</v>
      </c>
      <c r="H2706" t="s">
        <v>3104</v>
      </c>
      <c r="J2706" s="18" t="s">
        <v>4327</v>
      </c>
    </row>
    <row r="2707" spans="3:10" x14ac:dyDescent="0.25">
      <c r="C2707" s="17" t="str">
        <f t="shared" si="43"/>
        <v>28.801011.-16724.9066..CLEAR SCHEDULE.</v>
      </c>
      <c r="E2707">
        <v>28</v>
      </c>
      <c r="F2707">
        <v>801011</v>
      </c>
      <c r="G2707" s="2">
        <v>-167.24</v>
      </c>
      <c r="H2707" t="s">
        <v>3105</v>
      </c>
      <c r="J2707" s="18" t="s">
        <v>4327</v>
      </c>
    </row>
    <row r="2708" spans="3:10" x14ac:dyDescent="0.25">
      <c r="C2708" s="17" t="str">
        <f t="shared" si="43"/>
        <v>28.801011.-15945.9068..CLEAR SCHEDULE.</v>
      </c>
      <c r="E2708">
        <v>28</v>
      </c>
      <c r="F2708">
        <v>801011</v>
      </c>
      <c r="G2708" s="1">
        <v>-159.44999999999999</v>
      </c>
      <c r="H2708" t="s">
        <v>3106</v>
      </c>
      <c r="J2708" s="18" t="s">
        <v>4327</v>
      </c>
    </row>
    <row r="2709" spans="3:10" x14ac:dyDescent="0.25">
      <c r="C2709" s="17" t="str">
        <f t="shared" si="43"/>
        <v>28.801011.-15945.9069..CLEAR SCHEDULE.</v>
      </c>
      <c r="E2709">
        <v>28</v>
      </c>
      <c r="F2709">
        <v>801011</v>
      </c>
      <c r="G2709" s="2">
        <v>-159.44999999999999</v>
      </c>
      <c r="H2709" t="s">
        <v>3107</v>
      </c>
      <c r="J2709" s="18" t="s">
        <v>4327</v>
      </c>
    </row>
    <row r="2710" spans="3:10" x14ac:dyDescent="0.25">
      <c r="C2710" s="17" t="str">
        <f t="shared" si="43"/>
        <v>28.801011.-73344.9070..CLEAR SCHEDULE.</v>
      </c>
      <c r="E2710">
        <v>28</v>
      </c>
      <c r="F2710">
        <v>801011</v>
      </c>
      <c r="G2710" s="1">
        <v>-733.44</v>
      </c>
      <c r="H2710" t="s">
        <v>3108</v>
      </c>
      <c r="J2710" s="18" t="s">
        <v>4327</v>
      </c>
    </row>
    <row r="2711" spans="3:10" x14ac:dyDescent="0.25">
      <c r="C2711" s="17" t="str">
        <f t="shared" si="43"/>
        <v>28.801011.-46905.9071..CLEAR SCHEDULE.</v>
      </c>
      <c r="E2711">
        <v>28</v>
      </c>
      <c r="F2711">
        <v>801011</v>
      </c>
      <c r="G2711" s="2">
        <v>-469.05</v>
      </c>
      <c r="H2711" t="s">
        <v>3109</v>
      </c>
      <c r="J2711" s="18" t="s">
        <v>4327</v>
      </c>
    </row>
    <row r="2712" spans="3:10" x14ac:dyDescent="0.25">
      <c r="C2712" s="17" t="str">
        <f t="shared" si="43"/>
        <v>28.801011.-27259.9072..CLEAR SCHEDULE.</v>
      </c>
      <c r="E2712">
        <v>28</v>
      </c>
      <c r="F2712">
        <v>801011</v>
      </c>
      <c r="G2712" s="1">
        <v>-272.58999999999997</v>
      </c>
      <c r="H2712" t="s">
        <v>3110</v>
      </c>
      <c r="J2712" s="18" t="s">
        <v>4327</v>
      </c>
    </row>
    <row r="2713" spans="3:10" x14ac:dyDescent="0.25">
      <c r="C2713" s="17" t="str">
        <f t="shared" si="43"/>
        <v>28.801011.-61401.9073..CLEAR SCHEDULE.</v>
      </c>
      <c r="E2713">
        <v>28</v>
      </c>
      <c r="F2713">
        <v>801011</v>
      </c>
      <c r="G2713" s="2">
        <v>-614.01</v>
      </c>
      <c r="H2713" t="s">
        <v>3111</v>
      </c>
      <c r="J2713" s="18" t="s">
        <v>4327</v>
      </c>
    </row>
    <row r="2714" spans="3:10" x14ac:dyDescent="0.25">
      <c r="C2714" s="17" t="str">
        <f t="shared" si="43"/>
        <v>28.801011.-236535.9074..CLEAR SCHEDULE.</v>
      </c>
      <c r="E2714">
        <v>28</v>
      </c>
      <c r="F2714">
        <v>801011</v>
      </c>
      <c r="G2714" s="1">
        <v>-2365.35</v>
      </c>
      <c r="H2714" t="s">
        <v>3112</v>
      </c>
      <c r="J2714" s="18" t="s">
        <v>4327</v>
      </c>
    </row>
    <row r="2715" spans="3:10" x14ac:dyDescent="0.25">
      <c r="C2715" s="17" t="str">
        <f t="shared" si="43"/>
        <v>28.801011.-14394.9075..CLEAR SCHEDULE.</v>
      </c>
      <c r="E2715">
        <v>28</v>
      </c>
      <c r="F2715">
        <v>801011</v>
      </c>
      <c r="G2715" s="2">
        <v>-143.94</v>
      </c>
      <c r="H2715" t="s">
        <v>3113</v>
      </c>
      <c r="J2715" s="18" t="s">
        <v>4327</v>
      </c>
    </row>
    <row r="2716" spans="3:10" x14ac:dyDescent="0.25">
      <c r="C2716" s="17" t="str">
        <f t="shared" si="43"/>
        <v>28.801011.-14387.9076..CLEAR SCHEDULE.</v>
      </c>
      <c r="E2716">
        <v>28</v>
      </c>
      <c r="F2716">
        <v>801011</v>
      </c>
      <c r="G2716" s="1">
        <v>-143.87</v>
      </c>
      <c r="H2716" t="s">
        <v>3114</v>
      </c>
      <c r="J2716" s="18" t="s">
        <v>4327</v>
      </c>
    </row>
    <row r="2717" spans="3:10" x14ac:dyDescent="0.25">
      <c r="C2717" s="17" t="str">
        <f t="shared" si="43"/>
        <v>28.801011.-23773.9078..CLEAR SCHEDULE.</v>
      </c>
      <c r="E2717">
        <v>28</v>
      </c>
      <c r="F2717">
        <v>801011</v>
      </c>
      <c r="G2717" s="2">
        <v>-237.73</v>
      </c>
      <c r="H2717" t="s">
        <v>3115</v>
      </c>
      <c r="J2717" s="18" t="s">
        <v>4327</v>
      </c>
    </row>
    <row r="2718" spans="3:10" x14ac:dyDescent="0.25">
      <c r="C2718" s="17" t="str">
        <f t="shared" si="43"/>
        <v>28.801011.-5415.9079..CLEAR SCHEDULE.</v>
      </c>
      <c r="E2718">
        <v>28</v>
      </c>
      <c r="F2718">
        <v>801011</v>
      </c>
      <c r="G2718" s="1">
        <v>-54.15</v>
      </c>
      <c r="H2718" t="s">
        <v>3116</v>
      </c>
      <c r="J2718" s="18" t="s">
        <v>4327</v>
      </c>
    </row>
    <row r="2719" spans="3:10" x14ac:dyDescent="0.25">
      <c r="C2719" s="17" t="str">
        <f t="shared" si="43"/>
        <v>28.801011.-19742.9080..CLEAR SCHEDULE.</v>
      </c>
      <c r="E2719">
        <v>28</v>
      </c>
      <c r="F2719">
        <v>801011</v>
      </c>
      <c r="G2719" s="2">
        <v>-197.42</v>
      </c>
      <c r="H2719" t="s">
        <v>3117</v>
      </c>
      <c r="J2719" s="18" t="s">
        <v>4327</v>
      </c>
    </row>
    <row r="2720" spans="3:10" x14ac:dyDescent="0.25">
      <c r="C2720" s="17" t="str">
        <f t="shared" si="43"/>
        <v>28.801011.-315954.9081..CLEAR SCHEDULE.</v>
      </c>
      <c r="E2720">
        <v>28</v>
      </c>
      <c r="F2720">
        <v>801011</v>
      </c>
      <c r="G2720" s="1">
        <v>-3159.54</v>
      </c>
      <c r="H2720" t="s">
        <v>3118</v>
      </c>
      <c r="J2720" s="18" t="s">
        <v>4327</v>
      </c>
    </row>
    <row r="2721" spans="3:10" x14ac:dyDescent="0.25">
      <c r="C2721" s="17" t="str">
        <f t="shared" si="43"/>
        <v>28.801011.-17320.9082..CLEAR SCHEDULE.</v>
      </c>
      <c r="E2721">
        <v>28</v>
      </c>
      <c r="F2721">
        <v>801011</v>
      </c>
      <c r="G2721" s="2">
        <v>-173.2</v>
      </c>
      <c r="H2721" t="s">
        <v>3119</v>
      </c>
      <c r="J2721" s="18" t="s">
        <v>4327</v>
      </c>
    </row>
    <row r="2722" spans="3:10" x14ac:dyDescent="0.25">
      <c r="C2722" s="17" t="str">
        <f t="shared" si="43"/>
        <v>28.801011.-56571.9083..CLEAR SCHEDULE.</v>
      </c>
      <c r="E2722">
        <v>28</v>
      </c>
      <c r="F2722">
        <v>801011</v>
      </c>
      <c r="G2722" s="1">
        <v>-565.71</v>
      </c>
      <c r="H2722" t="s">
        <v>3120</v>
      </c>
      <c r="J2722" s="18" t="s">
        <v>4327</v>
      </c>
    </row>
    <row r="2723" spans="3:10" x14ac:dyDescent="0.25">
      <c r="C2723" s="17" t="str">
        <f t="shared" si="43"/>
        <v>28.801011.-19742.9084..CLEAR SCHEDULE.</v>
      </c>
      <c r="E2723">
        <v>28</v>
      </c>
      <c r="F2723">
        <v>801011</v>
      </c>
      <c r="G2723" s="2">
        <v>-197.42</v>
      </c>
      <c r="H2723" t="s">
        <v>3121</v>
      </c>
      <c r="J2723" s="18" t="s">
        <v>4327</v>
      </c>
    </row>
    <row r="2724" spans="3:10" x14ac:dyDescent="0.25">
      <c r="C2724" s="17" t="str">
        <f t="shared" si="43"/>
        <v>28.801011.-14431.9089..CLEAR SCHEDULE.</v>
      </c>
      <c r="E2724">
        <v>28</v>
      </c>
      <c r="F2724">
        <v>801011</v>
      </c>
      <c r="G2724" s="1">
        <v>-144.31</v>
      </c>
      <c r="H2724" t="s">
        <v>3122</v>
      </c>
      <c r="J2724" s="18" t="s">
        <v>4327</v>
      </c>
    </row>
    <row r="2725" spans="3:10" x14ac:dyDescent="0.25">
      <c r="C2725" s="17" t="str">
        <f t="shared" si="43"/>
        <v>28.801011.-14387.9094..CLEAR SCHEDULE.</v>
      </c>
      <c r="E2725">
        <v>28</v>
      </c>
      <c r="F2725">
        <v>801011</v>
      </c>
      <c r="G2725" s="2">
        <v>-143.87</v>
      </c>
      <c r="H2725" t="s">
        <v>3123</v>
      </c>
      <c r="J2725" s="18" t="s">
        <v>4327</v>
      </c>
    </row>
    <row r="2726" spans="3:10" x14ac:dyDescent="0.25">
      <c r="C2726" s="17" t="str">
        <f t="shared" si="43"/>
        <v>28.801011.-8972.9096..CLEAR SCHEDULE.</v>
      </c>
      <c r="E2726">
        <v>28</v>
      </c>
      <c r="F2726">
        <v>801011</v>
      </c>
      <c r="G2726" s="1">
        <v>-89.72</v>
      </c>
      <c r="H2726" t="s">
        <v>3124</v>
      </c>
      <c r="J2726" s="18" t="s">
        <v>4327</v>
      </c>
    </row>
    <row r="2727" spans="3:10" x14ac:dyDescent="0.25">
      <c r="C2727" s="17" t="str">
        <f t="shared" si="43"/>
        <v>28.801011.-165487.9097..CLEAR SCHEDULE.</v>
      </c>
      <c r="E2727">
        <v>28</v>
      </c>
      <c r="F2727">
        <v>801011</v>
      </c>
      <c r="G2727" s="2">
        <v>-1654.87</v>
      </c>
      <c r="H2727" t="s">
        <v>3125</v>
      </c>
      <c r="J2727" s="18" t="s">
        <v>4327</v>
      </c>
    </row>
    <row r="2728" spans="3:10" x14ac:dyDescent="0.25">
      <c r="C2728" s="17" t="str">
        <f t="shared" si="43"/>
        <v>28.801011.-8653.9099..CLEAR SCHEDULE.</v>
      </c>
      <c r="E2728">
        <v>28</v>
      </c>
      <c r="F2728">
        <v>801011</v>
      </c>
      <c r="G2728" s="1">
        <v>-86.53</v>
      </c>
      <c r="H2728" t="s">
        <v>3126</v>
      </c>
      <c r="J2728" s="18" t="s">
        <v>4327</v>
      </c>
    </row>
    <row r="2729" spans="3:10" x14ac:dyDescent="0.25">
      <c r="C2729" s="17" t="str">
        <f t="shared" si="43"/>
        <v>28.801011.-13668.9100..CLEAR SCHEDULE.</v>
      </c>
      <c r="E2729">
        <v>28</v>
      </c>
      <c r="F2729">
        <v>801011</v>
      </c>
      <c r="G2729" s="2">
        <v>-136.68</v>
      </c>
      <c r="H2729" t="s">
        <v>3127</v>
      </c>
      <c r="J2729" s="18" t="s">
        <v>4327</v>
      </c>
    </row>
    <row r="2730" spans="3:10" x14ac:dyDescent="0.25">
      <c r="C2730" s="17" t="str">
        <f t="shared" si="43"/>
        <v>28.801011.-14387.9102..CLEAR SCHEDULE.</v>
      </c>
      <c r="E2730">
        <v>28</v>
      </c>
      <c r="F2730">
        <v>801011</v>
      </c>
      <c r="G2730" s="1">
        <v>-143.87</v>
      </c>
      <c r="H2730" t="s">
        <v>3128</v>
      </c>
      <c r="J2730" s="18" t="s">
        <v>4327</v>
      </c>
    </row>
    <row r="2731" spans="3:10" x14ac:dyDescent="0.25">
      <c r="C2731" s="17" t="str">
        <f t="shared" si="43"/>
        <v>28.801011.-95157.9103..CLEAR SCHEDULE.</v>
      </c>
      <c r="E2731">
        <v>28</v>
      </c>
      <c r="F2731">
        <v>801011</v>
      </c>
      <c r="G2731" s="2">
        <v>-951.57</v>
      </c>
      <c r="H2731" t="s">
        <v>3129</v>
      </c>
      <c r="J2731" s="18" t="s">
        <v>4327</v>
      </c>
    </row>
    <row r="2732" spans="3:10" x14ac:dyDescent="0.25">
      <c r="C2732" s="17" t="str">
        <f t="shared" si="43"/>
        <v>28.801011.-6353.9104..CLEAR SCHEDULE.</v>
      </c>
      <c r="E2732">
        <v>28</v>
      </c>
      <c r="F2732">
        <v>801011</v>
      </c>
      <c r="G2732" s="1">
        <v>-63.53</v>
      </c>
      <c r="H2732" t="s">
        <v>3130</v>
      </c>
      <c r="J2732" s="18" t="s">
        <v>4327</v>
      </c>
    </row>
    <row r="2733" spans="3:10" x14ac:dyDescent="0.25">
      <c r="C2733" s="17" t="str">
        <f t="shared" si="43"/>
        <v>28.801011.-126613.9105..CLEAR SCHEDULE.</v>
      </c>
      <c r="E2733">
        <v>28</v>
      </c>
      <c r="F2733">
        <v>801011</v>
      </c>
      <c r="G2733" s="2">
        <v>-1266.1300000000001</v>
      </c>
      <c r="H2733" t="s">
        <v>3131</v>
      </c>
      <c r="J2733" s="18" t="s">
        <v>4327</v>
      </c>
    </row>
    <row r="2734" spans="3:10" x14ac:dyDescent="0.25">
      <c r="C2734" s="17" t="str">
        <f t="shared" si="43"/>
        <v>28.801011.-98431.9106..CLEAR SCHEDULE.</v>
      </c>
      <c r="E2734">
        <v>28</v>
      </c>
      <c r="F2734">
        <v>801011</v>
      </c>
      <c r="G2734" s="1">
        <v>-984.31</v>
      </c>
      <c r="H2734" t="s">
        <v>3132</v>
      </c>
      <c r="J2734" s="18" t="s">
        <v>4327</v>
      </c>
    </row>
    <row r="2735" spans="3:10" x14ac:dyDescent="0.25">
      <c r="C2735" s="17" t="str">
        <f t="shared" si="43"/>
        <v>28.801011.-71384.9107..CLEAR SCHEDULE.</v>
      </c>
      <c r="E2735">
        <v>28</v>
      </c>
      <c r="F2735">
        <v>801011</v>
      </c>
      <c r="G2735" s="2">
        <v>-713.84</v>
      </c>
      <c r="H2735" t="s">
        <v>3133</v>
      </c>
      <c r="J2735" s="18" t="s">
        <v>4327</v>
      </c>
    </row>
    <row r="2736" spans="3:10" x14ac:dyDescent="0.25">
      <c r="C2736" s="17" t="str">
        <f t="shared" si="43"/>
        <v>28.801011.-9829.9108..CLEAR SCHEDULE.</v>
      </c>
      <c r="E2736">
        <v>28</v>
      </c>
      <c r="F2736">
        <v>801011</v>
      </c>
      <c r="G2736" s="1">
        <v>-98.29</v>
      </c>
      <c r="H2736" t="s">
        <v>3134</v>
      </c>
      <c r="J2736" s="18" t="s">
        <v>4327</v>
      </c>
    </row>
    <row r="2737" spans="3:10" x14ac:dyDescent="0.25">
      <c r="C2737" s="17" t="str">
        <f t="shared" si="43"/>
        <v>28.801011.-47122.9111..CLEAR SCHEDULE.</v>
      </c>
      <c r="E2737">
        <v>28</v>
      </c>
      <c r="F2737">
        <v>801011</v>
      </c>
      <c r="G2737" s="2">
        <v>-471.22</v>
      </c>
      <c r="H2737" t="s">
        <v>3135</v>
      </c>
      <c r="J2737" s="18" t="s">
        <v>4327</v>
      </c>
    </row>
    <row r="2738" spans="3:10" x14ac:dyDescent="0.25">
      <c r="C2738" s="17" t="str">
        <f t="shared" si="43"/>
        <v>28.801011.-95337.9112..CLEAR SCHEDULE.</v>
      </c>
      <c r="E2738">
        <v>28</v>
      </c>
      <c r="F2738">
        <v>801011</v>
      </c>
      <c r="G2738" s="1">
        <v>-953.37</v>
      </c>
      <c r="H2738" t="s">
        <v>3136</v>
      </c>
      <c r="J2738" s="18" t="s">
        <v>4327</v>
      </c>
    </row>
    <row r="2739" spans="3:10" x14ac:dyDescent="0.25">
      <c r="C2739" s="17" t="str">
        <f t="shared" si="43"/>
        <v>28.801011.-4287.9113..CLEAR SCHEDULE.</v>
      </c>
      <c r="E2739">
        <v>28</v>
      </c>
      <c r="F2739">
        <v>801011</v>
      </c>
      <c r="G2739" s="2">
        <v>-42.87</v>
      </c>
      <c r="H2739" t="s">
        <v>3137</v>
      </c>
      <c r="J2739" s="18" t="s">
        <v>4327</v>
      </c>
    </row>
    <row r="2740" spans="3:10" x14ac:dyDescent="0.25">
      <c r="C2740" s="17" t="str">
        <f t="shared" si="43"/>
        <v>28.801011.-216677.9115..CLEAR SCHEDULE.</v>
      </c>
      <c r="E2740">
        <v>28</v>
      </c>
      <c r="F2740">
        <v>801011</v>
      </c>
      <c r="G2740" s="1">
        <v>-2166.77</v>
      </c>
      <c r="H2740" t="s">
        <v>3138</v>
      </c>
      <c r="J2740" s="18" t="s">
        <v>4327</v>
      </c>
    </row>
    <row r="2741" spans="3:10" x14ac:dyDescent="0.25">
      <c r="C2741" s="17" t="str">
        <f t="shared" si="43"/>
        <v>28.801011.-56617.9116..CLEAR SCHEDULE.</v>
      </c>
      <c r="E2741">
        <v>28</v>
      </c>
      <c r="F2741">
        <v>801011</v>
      </c>
      <c r="G2741" s="2">
        <v>-566.16999999999996</v>
      </c>
      <c r="H2741" t="s">
        <v>3139</v>
      </c>
      <c r="J2741" s="18" t="s">
        <v>4327</v>
      </c>
    </row>
    <row r="2742" spans="3:10" x14ac:dyDescent="0.25">
      <c r="C2742" s="17" t="str">
        <f t="shared" si="43"/>
        <v>28.801011.-49069.9117..CLEAR SCHEDULE.</v>
      </c>
      <c r="E2742">
        <v>28</v>
      </c>
      <c r="F2742">
        <v>801011</v>
      </c>
      <c r="G2742" s="1">
        <v>-490.69</v>
      </c>
      <c r="H2742" t="s">
        <v>3140</v>
      </c>
      <c r="J2742" s="18" t="s">
        <v>4327</v>
      </c>
    </row>
    <row r="2743" spans="3:10" x14ac:dyDescent="0.25">
      <c r="C2743" s="17" t="str">
        <f t="shared" si="43"/>
        <v>28.801011.-130846.9118..CLEAR SCHEDULE.</v>
      </c>
      <c r="E2743">
        <v>28</v>
      </c>
      <c r="F2743">
        <v>801011</v>
      </c>
      <c r="G2743" s="2">
        <v>-1308.46</v>
      </c>
      <c r="H2743" t="s">
        <v>3141</v>
      </c>
      <c r="J2743" s="18" t="s">
        <v>4327</v>
      </c>
    </row>
    <row r="2744" spans="3:10" x14ac:dyDescent="0.25">
      <c r="C2744" s="17" t="str">
        <f t="shared" si="43"/>
        <v>28.801011.-70327.9119..CLEAR SCHEDULE.</v>
      </c>
      <c r="E2744">
        <v>28</v>
      </c>
      <c r="F2744">
        <v>801011</v>
      </c>
      <c r="G2744" s="1">
        <v>-703.27</v>
      </c>
      <c r="H2744" t="s">
        <v>3142</v>
      </c>
      <c r="J2744" s="18" t="s">
        <v>4327</v>
      </c>
    </row>
    <row r="2745" spans="3:10" x14ac:dyDescent="0.25">
      <c r="C2745" s="17" t="str">
        <f t="shared" si="43"/>
        <v>28.801011.-129285.9120..CLEAR SCHEDULE.</v>
      </c>
      <c r="E2745">
        <v>28</v>
      </c>
      <c r="F2745">
        <v>801011</v>
      </c>
      <c r="G2745" s="2">
        <v>-1292.8499999999999</v>
      </c>
      <c r="H2745" t="s">
        <v>3143</v>
      </c>
      <c r="J2745" s="18" t="s">
        <v>4327</v>
      </c>
    </row>
    <row r="2746" spans="3:10" x14ac:dyDescent="0.25">
      <c r="C2746" s="17" t="str">
        <f t="shared" si="43"/>
        <v>28.801011.-16426.9121..CLEAR SCHEDULE.</v>
      </c>
      <c r="E2746">
        <v>28</v>
      </c>
      <c r="F2746">
        <v>801011</v>
      </c>
      <c r="G2746" s="1">
        <v>-164.26</v>
      </c>
      <c r="H2746" t="s">
        <v>3144</v>
      </c>
      <c r="J2746" s="18" t="s">
        <v>4327</v>
      </c>
    </row>
    <row r="2747" spans="3:10" x14ac:dyDescent="0.25">
      <c r="C2747" s="17" t="str">
        <f t="shared" si="43"/>
        <v>28.801011.-52955.9123..CLEAR SCHEDULE.</v>
      </c>
      <c r="E2747">
        <v>28</v>
      </c>
      <c r="F2747">
        <v>801011</v>
      </c>
      <c r="G2747" s="2">
        <v>-529.54999999999995</v>
      </c>
      <c r="H2747" t="s">
        <v>3145</v>
      </c>
      <c r="J2747" s="18" t="s">
        <v>4327</v>
      </c>
    </row>
    <row r="2748" spans="3:10" x14ac:dyDescent="0.25">
      <c r="C2748" s="17" t="str">
        <f t="shared" si="43"/>
        <v>28.801011.-234595.9126..CLEAR SCHEDULE.</v>
      </c>
      <c r="E2748">
        <v>28</v>
      </c>
      <c r="F2748">
        <v>801011</v>
      </c>
      <c r="G2748" s="1">
        <v>-2345.9499999999998</v>
      </c>
      <c r="H2748" t="s">
        <v>3146</v>
      </c>
      <c r="J2748" s="18" t="s">
        <v>4327</v>
      </c>
    </row>
    <row r="2749" spans="3:10" x14ac:dyDescent="0.25">
      <c r="C2749" s="17" t="str">
        <f t="shared" si="43"/>
        <v>28.801011.-5415.9129..CLEAR SCHEDULE.</v>
      </c>
      <c r="E2749">
        <v>28</v>
      </c>
      <c r="F2749">
        <v>801011</v>
      </c>
      <c r="G2749" s="2">
        <v>-54.15</v>
      </c>
      <c r="H2749" t="s">
        <v>3147</v>
      </c>
      <c r="J2749" s="18" t="s">
        <v>4327</v>
      </c>
    </row>
    <row r="2750" spans="3:10" x14ac:dyDescent="0.25">
      <c r="C2750" s="17" t="str">
        <f t="shared" si="43"/>
        <v>28.801011.-9751.9130..CLEAR SCHEDULE.</v>
      </c>
      <c r="E2750">
        <v>28</v>
      </c>
      <c r="F2750">
        <v>801011</v>
      </c>
      <c r="G2750" s="1">
        <v>-97.51</v>
      </c>
      <c r="H2750" t="s">
        <v>3148</v>
      </c>
      <c r="J2750" s="18" t="s">
        <v>4327</v>
      </c>
    </row>
    <row r="2751" spans="3:10" x14ac:dyDescent="0.25">
      <c r="C2751" s="17" t="str">
        <f t="shared" si="43"/>
        <v>28.801011.-81135.9132..CLEAR SCHEDULE.</v>
      </c>
      <c r="E2751">
        <v>28</v>
      </c>
      <c r="F2751">
        <v>801011</v>
      </c>
      <c r="G2751" s="2">
        <v>-811.35</v>
      </c>
      <c r="H2751" t="s">
        <v>3149</v>
      </c>
      <c r="J2751" s="18" t="s">
        <v>4327</v>
      </c>
    </row>
    <row r="2752" spans="3:10" x14ac:dyDescent="0.25">
      <c r="C2752" s="17" t="str">
        <f t="shared" si="43"/>
        <v>28.801011.-14387.9133..CLEAR SCHEDULE.</v>
      </c>
      <c r="E2752">
        <v>28</v>
      </c>
      <c r="F2752">
        <v>801011</v>
      </c>
      <c r="G2752" s="1">
        <v>-143.87</v>
      </c>
      <c r="H2752" t="s">
        <v>3150</v>
      </c>
      <c r="J2752" s="18" t="s">
        <v>4327</v>
      </c>
    </row>
    <row r="2753" spans="3:10" x14ac:dyDescent="0.25">
      <c r="C2753" s="17" t="str">
        <f t="shared" si="43"/>
        <v>28.801011.-15488.9134..CLEAR SCHEDULE.</v>
      </c>
      <c r="E2753">
        <v>28</v>
      </c>
      <c r="F2753">
        <v>801011</v>
      </c>
      <c r="G2753" s="2">
        <v>-154.88</v>
      </c>
      <c r="H2753" t="s">
        <v>3151</v>
      </c>
      <c r="J2753" s="18" t="s">
        <v>4327</v>
      </c>
    </row>
    <row r="2754" spans="3:10" x14ac:dyDescent="0.25">
      <c r="C2754" s="17" t="str">
        <f t="shared" si="43"/>
        <v>28.801011.-23905.9138..CLEAR SCHEDULE.</v>
      </c>
      <c r="E2754">
        <v>28</v>
      </c>
      <c r="F2754">
        <v>801011</v>
      </c>
      <c r="G2754" s="1">
        <v>-239.05</v>
      </c>
      <c r="H2754" t="s">
        <v>3152</v>
      </c>
      <c r="J2754" s="18" t="s">
        <v>4327</v>
      </c>
    </row>
    <row r="2755" spans="3:10" x14ac:dyDescent="0.25">
      <c r="C2755" s="17" t="str">
        <f t="shared" si="43"/>
        <v>28.801011.-151265.9148..CLEAR SCHEDULE.</v>
      </c>
      <c r="E2755">
        <v>28</v>
      </c>
      <c r="F2755">
        <v>801011</v>
      </c>
      <c r="G2755" s="2">
        <v>-1512.65</v>
      </c>
      <c r="H2755" t="s">
        <v>3153</v>
      </c>
      <c r="J2755" s="18" t="s">
        <v>4327</v>
      </c>
    </row>
    <row r="2756" spans="3:10" x14ac:dyDescent="0.25">
      <c r="C2756" s="17" t="str">
        <f t="shared" si="43"/>
        <v>28.801011.-9751.9149..CLEAR SCHEDULE.</v>
      </c>
      <c r="E2756">
        <v>28</v>
      </c>
      <c r="F2756">
        <v>801011</v>
      </c>
      <c r="G2756" s="1">
        <v>-97.51</v>
      </c>
      <c r="H2756" t="s">
        <v>3154</v>
      </c>
      <c r="J2756" s="18" t="s">
        <v>4327</v>
      </c>
    </row>
    <row r="2757" spans="3:10" x14ac:dyDescent="0.25">
      <c r="C2757" s="17" t="str">
        <f t="shared" si="43"/>
        <v>28.801011.-51813.9151..CLEAR SCHEDULE.</v>
      </c>
      <c r="E2757">
        <v>28</v>
      </c>
      <c r="F2757">
        <v>801011</v>
      </c>
      <c r="G2757" s="2">
        <v>-518.13</v>
      </c>
      <c r="H2757" t="s">
        <v>3155</v>
      </c>
      <c r="J2757" s="18" t="s">
        <v>4327</v>
      </c>
    </row>
    <row r="2758" spans="3:10" x14ac:dyDescent="0.25">
      <c r="C2758" s="17" t="str">
        <f t="shared" si="43"/>
        <v>28.801011.-64378.9152..CLEAR SCHEDULE.</v>
      </c>
      <c r="E2758">
        <v>28</v>
      </c>
      <c r="F2758">
        <v>801011</v>
      </c>
      <c r="G2758" s="1">
        <v>-643.78</v>
      </c>
      <c r="H2758" t="s">
        <v>3156</v>
      </c>
      <c r="J2758" s="18" t="s">
        <v>4327</v>
      </c>
    </row>
    <row r="2759" spans="3:10" x14ac:dyDescent="0.25">
      <c r="C2759" s="17" t="str">
        <f t="shared" si="43"/>
        <v>28.801011.-8972.9153..CLEAR SCHEDULE.</v>
      </c>
      <c r="E2759">
        <v>28</v>
      </c>
      <c r="F2759">
        <v>801011</v>
      </c>
      <c r="G2759" s="2">
        <v>-89.72</v>
      </c>
      <c r="H2759" t="s">
        <v>3157</v>
      </c>
      <c r="J2759" s="18" t="s">
        <v>4327</v>
      </c>
    </row>
    <row r="2760" spans="3:10" x14ac:dyDescent="0.25">
      <c r="C2760" s="17" t="str">
        <f t="shared" si="43"/>
        <v>28.801011.-18987.9156..CLEAR SCHEDULE.</v>
      </c>
      <c r="E2760">
        <v>28</v>
      </c>
      <c r="F2760">
        <v>801011</v>
      </c>
      <c r="G2760" s="1">
        <v>-189.87</v>
      </c>
      <c r="H2760" t="s">
        <v>3158</v>
      </c>
      <c r="J2760" s="18" t="s">
        <v>4327</v>
      </c>
    </row>
    <row r="2761" spans="3:10" x14ac:dyDescent="0.25">
      <c r="C2761" s="17" t="str">
        <f t="shared" si="43"/>
        <v>28.801011.-10530.9157..CLEAR SCHEDULE.</v>
      </c>
      <c r="E2761">
        <v>28</v>
      </c>
      <c r="F2761">
        <v>801011</v>
      </c>
      <c r="G2761" s="2">
        <v>-105.3</v>
      </c>
      <c r="H2761" t="s">
        <v>3159</v>
      </c>
      <c r="J2761" s="18" t="s">
        <v>4327</v>
      </c>
    </row>
    <row r="2762" spans="3:10" x14ac:dyDescent="0.25">
      <c r="C2762" s="17" t="str">
        <f t="shared" si="43"/>
        <v>28.801011.-16800.9162..CLEAR SCHEDULE.</v>
      </c>
      <c r="E2762">
        <v>28</v>
      </c>
      <c r="F2762">
        <v>801011</v>
      </c>
      <c r="G2762" s="1">
        <v>-168</v>
      </c>
      <c r="H2762" t="s">
        <v>3160</v>
      </c>
      <c r="J2762" s="18" t="s">
        <v>4327</v>
      </c>
    </row>
    <row r="2763" spans="3:10" x14ac:dyDescent="0.25">
      <c r="C2763" s="17" t="str">
        <f t="shared" ref="C2763:C2826" si="44">IF(G2763=0,"",(E2763&amp;"."&amp;F2763&amp;"."&amp;G2763*100&amp;"."&amp;H2763&amp;"."&amp;I2763&amp;"."&amp;J2763&amp;"."&amp;K2763))</f>
        <v>28.801011.-43514.9163..CLEAR SCHEDULE.</v>
      </c>
      <c r="E2763">
        <v>28</v>
      </c>
      <c r="F2763">
        <v>801011</v>
      </c>
      <c r="G2763" s="2">
        <v>-435.14</v>
      </c>
      <c r="H2763" t="s">
        <v>3161</v>
      </c>
      <c r="J2763" s="18" t="s">
        <v>4327</v>
      </c>
    </row>
    <row r="2764" spans="3:10" x14ac:dyDescent="0.25">
      <c r="C2764" s="17" t="str">
        <f t="shared" si="44"/>
        <v>28.801011.-358784.9164..CLEAR SCHEDULE.</v>
      </c>
      <c r="E2764">
        <v>28</v>
      </c>
      <c r="F2764">
        <v>801011</v>
      </c>
      <c r="G2764" s="1">
        <v>-3587.84</v>
      </c>
      <c r="H2764" t="s">
        <v>3162</v>
      </c>
      <c r="J2764" s="18" t="s">
        <v>4327</v>
      </c>
    </row>
    <row r="2765" spans="3:10" x14ac:dyDescent="0.25">
      <c r="C2765" s="17" t="str">
        <f t="shared" si="44"/>
        <v>28.801011.-128658.9165..CLEAR SCHEDULE.</v>
      </c>
      <c r="E2765">
        <v>28</v>
      </c>
      <c r="F2765">
        <v>801011</v>
      </c>
      <c r="G2765" s="2">
        <v>-1286.58</v>
      </c>
      <c r="H2765" t="s">
        <v>3163</v>
      </c>
      <c r="J2765" s="18" t="s">
        <v>4327</v>
      </c>
    </row>
    <row r="2766" spans="3:10" x14ac:dyDescent="0.25">
      <c r="C2766" s="17" t="str">
        <f t="shared" si="44"/>
        <v>28.801011.-46784.9166..CLEAR SCHEDULE.</v>
      </c>
      <c r="E2766">
        <v>28</v>
      </c>
      <c r="F2766">
        <v>801011</v>
      </c>
      <c r="G2766" s="1">
        <v>-467.84</v>
      </c>
      <c r="H2766" t="s">
        <v>3164</v>
      </c>
      <c r="J2766" s="18" t="s">
        <v>4327</v>
      </c>
    </row>
    <row r="2767" spans="3:10" x14ac:dyDescent="0.25">
      <c r="C2767" s="17" t="str">
        <f t="shared" si="44"/>
        <v>28.801011.-8972.9167..CLEAR SCHEDULE.</v>
      </c>
      <c r="E2767">
        <v>28</v>
      </c>
      <c r="F2767">
        <v>801011</v>
      </c>
      <c r="G2767" s="2">
        <v>-89.72</v>
      </c>
      <c r="H2767" t="s">
        <v>3165</v>
      </c>
      <c r="J2767" s="18" t="s">
        <v>4327</v>
      </c>
    </row>
    <row r="2768" spans="3:10" x14ac:dyDescent="0.25">
      <c r="C2768" s="17" t="str">
        <f t="shared" si="44"/>
        <v>28.801011.-16724.9168..CLEAR SCHEDULE.</v>
      </c>
      <c r="E2768">
        <v>28</v>
      </c>
      <c r="F2768">
        <v>801011</v>
      </c>
      <c r="G2768" s="1">
        <v>-167.24</v>
      </c>
      <c r="H2768" t="s">
        <v>3166</v>
      </c>
      <c r="J2768" s="18" t="s">
        <v>4327</v>
      </c>
    </row>
    <row r="2769" spans="3:10" x14ac:dyDescent="0.25">
      <c r="C2769" s="17" t="str">
        <f t="shared" si="44"/>
        <v>28.801011.-68502.9169..CLEAR SCHEDULE.</v>
      </c>
      <c r="E2769">
        <v>28</v>
      </c>
      <c r="F2769">
        <v>801011</v>
      </c>
      <c r="G2769" s="2">
        <v>-685.02</v>
      </c>
      <c r="H2769" t="s">
        <v>3167</v>
      </c>
      <c r="J2769" s="18" t="s">
        <v>4327</v>
      </c>
    </row>
    <row r="2770" spans="3:10" x14ac:dyDescent="0.25">
      <c r="C2770" s="17" t="str">
        <f t="shared" si="44"/>
        <v>28.801011.-52711.9170..CLEAR SCHEDULE.</v>
      </c>
      <c r="E2770">
        <v>28</v>
      </c>
      <c r="F2770">
        <v>801011</v>
      </c>
      <c r="G2770" s="1">
        <v>-527.11</v>
      </c>
      <c r="H2770" t="s">
        <v>3168</v>
      </c>
      <c r="J2770" s="18" t="s">
        <v>4327</v>
      </c>
    </row>
    <row r="2771" spans="3:10" x14ac:dyDescent="0.25">
      <c r="C2771" s="17" t="str">
        <f t="shared" si="44"/>
        <v>28.801011.-181917.9171..CLEAR SCHEDULE.</v>
      </c>
      <c r="E2771">
        <v>28</v>
      </c>
      <c r="F2771">
        <v>801011</v>
      </c>
      <c r="G2771" s="2">
        <v>-1819.17</v>
      </c>
      <c r="H2771" t="s">
        <v>3169</v>
      </c>
      <c r="J2771" s="18" t="s">
        <v>4327</v>
      </c>
    </row>
    <row r="2772" spans="3:10" x14ac:dyDescent="0.25">
      <c r="C2772" s="17" t="str">
        <f t="shared" si="44"/>
        <v>28.801011.-10530.9172..CLEAR SCHEDULE.</v>
      </c>
      <c r="E2772">
        <v>28</v>
      </c>
      <c r="F2772">
        <v>801011</v>
      </c>
      <c r="G2772" s="1">
        <v>-105.3</v>
      </c>
      <c r="H2772" t="s">
        <v>3170</v>
      </c>
      <c r="J2772" s="18" t="s">
        <v>4327</v>
      </c>
    </row>
    <row r="2773" spans="3:10" x14ac:dyDescent="0.25">
      <c r="C2773" s="17" t="str">
        <f t="shared" si="44"/>
        <v>28.801011.-8972.9173..CLEAR SCHEDULE.</v>
      </c>
      <c r="E2773">
        <v>28</v>
      </c>
      <c r="F2773">
        <v>801011</v>
      </c>
      <c r="G2773" s="2">
        <v>-89.72</v>
      </c>
      <c r="H2773" t="s">
        <v>3171</v>
      </c>
      <c r="J2773" s="18" t="s">
        <v>4327</v>
      </c>
    </row>
    <row r="2774" spans="3:10" x14ac:dyDescent="0.25">
      <c r="C2774" s="17" t="str">
        <f t="shared" si="44"/>
        <v>28.801011.-17062.9177..CLEAR SCHEDULE.</v>
      </c>
      <c r="E2774">
        <v>28</v>
      </c>
      <c r="F2774">
        <v>801011</v>
      </c>
      <c r="G2774" s="1">
        <v>-170.62</v>
      </c>
      <c r="H2774" t="s">
        <v>3172</v>
      </c>
      <c r="J2774" s="18" t="s">
        <v>4327</v>
      </c>
    </row>
    <row r="2775" spans="3:10" x14ac:dyDescent="0.25">
      <c r="C2775" s="17" t="str">
        <f t="shared" si="44"/>
        <v>28.801011.-25000.9179..CLEAR SCHEDULE.</v>
      </c>
      <c r="E2775">
        <v>28</v>
      </c>
      <c r="F2775">
        <v>801011</v>
      </c>
      <c r="G2775" s="2">
        <v>-250</v>
      </c>
      <c r="H2775" t="s">
        <v>3173</v>
      </c>
      <c r="J2775" s="18" t="s">
        <v>4327</v>
      </c>
    </row>
    <row r="2776" spans="3:10" x14ac:dyDescent="0.25">
      <c r="C2776" s="17" t="str">
        <f t="shared" si="44"/>
        <v>28.801011.-19742.9183..CLEAR SCHEDULE.</v>
      </c>
      <c r="E2776">
        <v>28</v>
      </c>
      <c r="F2776">
        <v>801011</v>
      </c>
      <c r="G2776" s="1">
        <v>-197.42</v>
      </c>
      <c r="H2776" t="s">
        <v>3174</v>
      </c>
      <c r="J2776" s="18" t="s">
        <v>4327</v>
      </c>
    </row>
    <row r="2777" spans="3:10" x14ac:dyDescent="0.25">
      <c r="C2777" s="17" t="str">
        <f t="shared" si="44"/>
        <v>28.801011.-41577.9184..CLEAR SCHEDULE.</v>
      </c>
      <c r="E2777">
        <v>28</v>
      </c>
      <c r="F2777">
        <v>801011</v>
      </c>
      <c r="G2777" s="2">
        <v>-415.77</v>
      </c>
      <c r="H2777" t="s">
        <v>3175</v>
      </c>
      <c r="J2777" s="18" t="s">
        <v>4327</v>
      </c>
    </row>
    <row r="2778" spans="3:10" x14ac:dyDescent="0.25">
      <c r="C2778" s="17" t="str">
        <f t="shared" si="44"/>
        <v>28.801011.-8972.9186..CLEAR SCHEDULE.</v>
      </c>
      <c r="E2778">
        <v>28</v>
      </c>
      <c r="F2778">
        <v>801011</v>
      </c>
      <c r="G2778" s="1">
        <v>-89.72</v>
      </c>
      <c r="H2778" t="s">
        <v>3176</v>
      </c>
      <c r="J2778" s="18" t="s">
        <v>4327</v>
      </c>
    </row>
    <row r="2779" spans="3:10" x14ac:dyDescent="0.25">
      <c r="C2779" s="17" t="str">
        <f t="shared" si="44"/>
        <v>28.801011.-8972.9187..CLEAR SCHEDULE.</v>
      </c>
      <c r="E2779">
        <v>28</v>
      </c>
      <c r="F2779">
        <v>801011</v>
      </c>
      <c r="G2779" s="2">
        <v>-89.72</v>
      </c>
      <c r="H2779" t="s">
        <v>3177</v>
      </c>
      <c r="J2779" s="18" t="s">
        <v>4327</v>
      </c>
    </row>
    <row r="2780" spans="3:10" x14ac:dyDescent="0.25">
      <c r="C2780" s="17" t="str">
        <f t="shared" si="44"/>
        <v>28.801011.-13280.9188..CLEAR SCHEDULE.</v>
      </c>
      <c r="E2780">
        <v>28</v>
      </c>
      <c r="F2780">
        <v>801011</v>
      </c>
      <c r="G2780" s="1">
        <v>-132.80000000000001</v>
      </c>
      <c r="H2780" t="s">
        <v>3178</v>
      </c>
      <c r="J2780" s="18" t="s">
        <v>4327</v>
      </c>
    </row>
    <row r="2781" spans="3:10" x14ac:dyDescent="0.25">
      <c r="C2781" s="17" t="str">
        <f t="shared" si="44"/>
        <v>28.801011.-1601.9189..CLEAR SCHEDULE.</v>
      </c>
      <c r="E2781">
        <v>28</v>
      </c>
      <c r="F2781">
        <v>801011</v>
      </c>
      <c r="G2781" s="2">
        <v>-16.010000000000002</v>
      </c>
      <c r="H2781" t="s">
        <v>3179</v>
      </c>
      <c r="J2781" s="18" t="s">
        <v>4327</v>
      </c>
    </row>
    <row r="2782" spans="3:10" x14ac:dyDescent="0.25">
      <c r="C2782" s="17" t="str">
        <f t="shared" si="44"/>
        <v>28.801011.-21279.9190..CLEAR SCHEDULE.</v>
      </c>
      <c r="E2782">
        <v>28</v>
      </c>
      <c r="F2782">
        <v>801011</v>
      </c>
      <c r="G2782" s="1">
        <v>-212.79</v>
      </c>
      <c r="H2782" t="s">
        <v>3180</v>
      </c>
      <c r="J2782" s="18" t="s">
        <v>4327</v>
      </c>
    </row>
    <row r="2783" spans="3:10" x14ac:dyDescent="0.25">
      <c r="C2783" s="17" t="str">
        <f t="shared" si="44"/>
        <v>28.801011.-18987.9191..CLEAR SCHEDULE.</v>
      </c>
      <c r="E2783">
        <v>28</v>
      </c>
      <c r="F2783">
        <v>801011</v>
      </c>
      <c r="G2783" s="2">
        <v>-189.87</v>
      </c>
      <c r="H2783" t="s">
        <v>3181</v>
      </c>
      <c r="J2783" s="18" t="s">
        <v>4327</v>
      </c>
    </row>
    <row r="2784" spans="3:10" x14ac:dyDescent="0.25">
      <c r="C2784" s="17" t="str">
        <f t="shared" si="44"/>
        <v>28.801011.-81737.9192..CLEAR SCHEDULE.</v>
      </c>
      <c r="E2784">
        <v>28</v>
      </c>
      <c r="F2784">
        <v>801011</v>
      </c>
      <c r="G2784" s="1">
        <v>-817.37</v>
      </c>
      <c r="H2784" t="s">
        <v>3182</v>
      </c>
      <c r="J2784" s="18" t="s">
        <v>4327</v>
      </c>
    </row>
    <row r="2785" spans="3:10" x14ac:dyDescent="0.25">
      <c r="C2785" s="17" t="str">
        <f t="shared" si="44"/>
        <v>28.801011.-181148.9198..CLEAR SCHEDULE.</v>
      </c>
      <c r="E2785">
        <v>28</v>
      </c>
      <c r="F2785">
        <v>801011</v>
      </c>
      <c r="G2785" s="2">
        <v>-1811.48</v>
      </c>
      <c r="H2785" t="s">
        <v>3183</v>
      </c>
      <c r="J2785" s="18" t="s">
        <v>4327</v>
      </c>
    </row>
    <row r="2786" spans="3:10" x14ac:dyDescent="0.25">
      <c r="C2786" s="17" t="str">
        <f t="shared" si="44"/>
        <v>28.801011.-10530.9200..CLEAR SCHEDULE.</v>
      </c>
      <c r="E2786">
        <v>28</v>
      </c>
      <c r="F2786">
        <v>801011</v>
      </c>
      <c r="G2786" s="1">
        <v>-105.3</v>
      </c>
      <c r="H2786" t="s">
        <v>3184</v>
      </c>
      <c r="J2786" s="18" t="s">
        <v>4327</v>
      </c>
    </row>
    <row r="2787" spans="3:10" x14ac:dyDescent="0.25">
      <c r="C2787" s="17" t="str">
        <f t="shared" si="44"/>
        <v>28.801011.-5415.9201..CLEAR SCHEDULE.</v>
      </c>
      <c r="E2787">
        <v>28</v>
      </c>
      <c r="F2787">
        <v>801011</v>
      </c>
      <c r="G2787" s="2">
        <v>-54.15</v>
      </c>
      <c r="H2787" t="s">
        <v>3185</v>
      </c>
      <c r="J2787" s="18" t="s">
        <v>4327</v>
      </c>
    </row>
    <row r="2788" spans="3:10" x14ac:dyDescent="0.25">
      <c r="C2788" s="17" t="str">
        <f t="shared" si="44"/>
        <v>28.801011.-37753.9202..CLEAR SCHEDULE.</v>
      </c>
      <c r="E2788">
        <v>28</v>
      </c>
      <c r="F2788">
        <v>801011</v>
      </c>
      <c r="G2788" s="1">
        <v>-377.53</v>
      </c>
      <c r="H2788" t="s">
        <v>3186</v>
      </c>
      <c r="J2788" s="18" t="s">
        <v>4327</v>
      </c>
    </row>
    <row r="2789" spans="3:10" x14ac:dyDescent="0.25">
      <c r="C2789" s="17" t="str">
        <f t="shared" si="44"/>
        <v>28.801011.-10530.9204..CLEAR SCHEDULE.</v>
      </c>
      <c r="E2789">
        <v>28</v>
      </c>
      <c r="F2789">
        <v>801011</v>
      </c>
      <c r="G2789" s="2">
        <v>-105.3</v>
      </c>
      <c r="H2789" t="s">
        <v>3187</v>
      </c>
      <c r="J2789" s="18" t="s">
        <v>4327</v>
      </c>
    </row>
    <row r="2790" spans="3:10" x14ac:dyDescent="0.25">
      <c r="C2790" s="17" t="str">
        <f t="shared" si="44"/>
        <v>28.801011.-8972.9205..CLEAR SCHEDULE.</v>
      </c>
      <c r="E2790">
        <v>28</v>
      </c>
      <c r="F2790">
        <v>801011</v>
      </c>
      <c r="G2790" s="1">
        <v>-89.72</v>
      </c>
      <c r="H2790" t="s">
        <v>3188</v>
      </c>
      <c r="J2790" s="18" t="s">
        <v>4327</v>
      </c>
    </row>
    <row r="2791" spans="3:10" x14ac:dyDescent="0.25">
      <c r="C2791" s="17" t="str">
        <f t="shared" si="44"/>
        <v>28.801011.-46784.9207..CLEAR SCHEDULE.</v>
      </c>
      <c r="E2791">
        <v>28</v>
      </c>
      <c r="F2791">
        <v>801011</v>
      </c>
      <c r="G2791" s="2">
        <v>-467.84</v>
      </c>
      <c r="H2791" t="s">
        <v>3189</v>
      </c>
      <c r="J2791" s="18" t="s">
        <v>4327</v>
      </c>
    </row>
    <row r="2792" spans="3:10" x14ac:dyDescent="0.25">
      <c r="C2792" s="17" t="str">
        <f t="shared" si="44"/>
        <v>28.801011.-19866.9208..CLEAR SCHEDULE.</v>
      </c>
      <c r="E2792">
        <v>28</v>
      </c>
      <c r="F2792">
        <v>801011</v>
      </c>
      <c r="G2792" s="1">
        <v>-198.66</v>
      </c>
      <c r="H2792" t="s">
        <v>3190</v>
      </c>
      <c r="J2792" s="18" t="s">
        <v>4327</v>
      </c>
    </row>
    <row r="2793" spans="3:10" x14ac:dyDescent="0.25">
      <c r="C2793" s="17" t="str">
        <f t="shared" si="44"/>
        <v>28.801011.-114988.9209..CLEAR SCHEDULE.</v>
      </c>
      <c r="E2793">
        <v>28</v>
      </c>
      <c r="F2793">
        <v>801011</v>
      </c>
      <c r="G2793" s="2">
        <v>-1149.8800000000001</v>
      </c>
      <c r="H2793" t="s">
        <v>3191</v>
      </c>
      <c r="J2793" s="18" t="s">
        <v>4327</v>
      </c>
    </row>
    <row r="2794" spans="3:10" x14ac:dyDescent="0.25">
      <c r="C2794" s="17" t="str">
        <f t="shared" si="44"/>
        <v>28.801011.-51776.9211..CLEAR SCHEDULE.</v>
      </c>
      <c r="E2794">
        <v>28</v>
      </c>
      <c r="F2794">
        <v>801011</v>
      </c>
      <c r="G2794" s="1">
        <v>-517.76</v>
      </c>
      <c r="H2794" t="s">
        <v>3192</v>
      </c>
      <c r="J2794" s="18" t="s">
        <v>4327</v>
      </c>
    </row>
    <row r="2795" spans="3:10" x14ac:dyDescent="0.25">
      <c r="C2795" s="17" t="str">
        <f t="shared" si="44"/>
        <v>28.801011.-10530.9213..CLEAR SCHEDULE.</v>
      </c>
      <c r="E2795">
        <v>28</v>
      </c>
      <c r="F2795">
        <v>801011</v>
      </c>
      <c r="G2795" s="2">
        <v>-105.3</v>
      </c>
      <c r="H2795" t="s">
        <v>3193</v>
      </c>
      <c r="J2795" s="18" t="s">
        <v>4327</v>
      </c>
    </row>
    <row r="2796" spans="3:10" x14ac:dyDescent="0.25">
      <c r="C2796" s="17" t="str">
        <f t="shared" si="44"/>
        <v>28.801011.-14387.9215..CLEAR SCHEDULE.</v>
      </c>
      <c r="E2796">
        <v>28</v>
      </c>
      <c r="F2796">
        <v>801011</v>
      </c>
      <c r="G2796" s="1">
        <v>-143.87</v>
      </c>
      <c r="H2796" t="s">
        <v>3194</v>
      </c>
      <c r="J2796" s="18" t="s">
        <v>4327</v>
      </c>
    </row>
    <row r="2797" spans="3:10" x14ac:dyDescent="0.25">
      <c r="C2797" s="17" t="str">
        <f t="shared" si="44"/>
        <v>28.801011.-10004.9216..CLEAR SCHEDULE.</v>
      </c>
      <c r="E2797">
        <v>28</v>
      </c>
      <c r="F2797">
        <v>801011</v>
      </c>
      <c r="G2797" s="2">
        <v>-100.04</v>
      </c>
      <c r="H2797" t="s">
        <v>3195</v>
      </c>
      <c r="J2797" s="18" t="s">
        <v>4327</v>
      </c>
    </row>
    <row r="2798" spans="3:10" x14ac:dyDescent="0.25">
      <c r="C2798" s="17" t="str">
        <f t="shared" si="44"/>
        <v>28.801011.-117059.9217..CLEAR SCHEDULE.</v>
      </c>
      <c r="E2798">
        <v>28</v>
      </c>
      <c r="F2798">
        <v>801011</v>
      </c>
      <c r="G2798" s="1">
        <v>-1170.5899999999999</v>
      </c>
      <c r="H2798" t="s">
        <v>3196</v>
      </c>
      <c r="J2798" s="18" t="s">
        <v>4327</v>
      </c>
    </row>
    <row r="2799" spans="3:10" x14ac:dyDescent="0.25">
      <c r="C2799" s="17" t="str">
        <f t="shared" si="44"/>
        <v>28.801011.-25834.9218..CLEAR SCHEDULE.</v>
      </c>
      <c r="E2799">
        <v>28</v>
      </c>
      <c r="F2799">
        <v>801011</v>
      </c>
      <c r="G2799" s="2">
        <v>-258.33999999999997</v>
      </c>
      <c r="H2799" t="s">
        <v>3197</v>
      </c>
      <c r="J2799" s="18" t="s">
        <v>4327</v>
      </c>
    </row>
    <row r="2800" spans="3:10" x14ac:dyDescent="0.25">
      <c r="C2800" s="17" t="str">
        <f t="shared" si="44"/>
        <v>28.801011.-24981.9219..CLEAR SCHEDULE.</v>
      </c>
      <c r="E2800">
        <v>28</v>
      </c>
      <c r="F2800">
        <v>801011</v>
      </c>
      <c r="G2800" s="1">
        <v>-249.81</v>
      </c>
      <c r="H2800" t="s">
        <v>3198</v>
      </c>
      <c r="J2800" s="18" t="s">
        <v>4327</v>
      </c>
    </row>
    <row r="2801" spans="3:10" x14ac:dyDescent="0.25">
      <c r="C2801" s="17" t="str">
        <f t="shared" si="44"/>
        <v>28.801011.-8972.9220..CLEAR SCHEDULE.</v>
      </c>
      <c r="E2801">
        <v>28</v>
      </c>
      <c r="F2801">
        <v>801011</v>
      </c>
      <c r="G2801" s="2">
        <v>-89.72</v>
      </c>
      <c r="H2801" t="s">
        <v>3199</v>
      </c>
      <c r="J2801" s="18" t="s">
        <v>4327</v>
      </c>
    </row>
    <row r="2802" spans="3:10" x14ac:dyDescent="0.25">
      <c r="C2802" s="17" t="str">
        <f t="shared" si="44"/>
        <v>28.801011.-8972.9221..CLEAR SCHEDULE.</v>
      </c>
      <c r="E2802">
        <v>28</v>
      </c>
      <c r="F2802">
        <v>801011</v>
      </c>
      <c r="G2802" s="1">
        <v>-89.72</v>
      </c>
      <c r="H2802" t="s">
        <v>3200</v>
      </c>
      <c r="J2802" s="18" t="s">
        <v>4327</v>
      </c>
    </row>
    <row r="2803" spans="3:10" x14ac:dyDescent="0.25">
      <c r="C2803" s="17" t="str">
        <f t="shared" si="44"/>
        <v>28.801011.-14387.9222..CLEAR SCHEDULE.</v>
      </c>
      <c r="E2803">
        <v>28</v>
      </c>
      <c r="F2803">
        <v>801011</v>
      </c>
      <c r="G2803" s="2">
        <v>-143.87</v>
      </c>
      <c r="H2803" t="s">
        <v>3201</v>
      </c>
      <c r="J2803" s="18" t="s">
        <v>4327</v>
      </c>
    </row>
    <row r="2804" spans="3:10" x14ac:dyDescent="0.25">
      <c r="C2804" s="17" t="str">
        <f t="shared" si="44"/>
        <v>28.801011.-23366.9223..CLEAR SCHEDULE.</v>
      </c>
      <c r="E2804">
        <v>28</v>
      </c>
      <c r="F2804">
        <v>801011</v>
      </c>
      <c r="G2804" s="1">
        <v>-233.66</v>
      </c>
      <c r="H2804" t="s">
        <v>3202</v>
      </c>
      <c r="J2804" s="18" t="s">
        <v>4327</v>
      </c>
    </row>
    <row r="2805" spans="3:10" x14ac:dyDescent="0.25">
      <c r="C2805" s="17" t="str">
        <f t="shared" si="44"/>
        <v>28.801011.-21505.9224..CLEAR SCHEDULE.</v>
      </c>
      <c r="E2805">
        <v>28</v>
      </c>
      <c r="F2805">
        <v>801011</v>
      </c>
      <c r="G2805" s="2">
        <v>-215.05</v>
      </c>
      <c r="H2805" t="s">
        <v>3203</v>
      </c>
      <c r="J2805" s="18" t="s">
        <v>4327</v>
      </c>
    </row>
    <row r="2806" spans="3:10" x14ac:dyDescent="0.25">
      <c r="C2806" s="17" t="str">
        <f t="shared" si="44"/>
        <v>28.801011.-36849.9225..CLEAR SCHEDULE.</v>
      </c>
      <c r="E2806">
        <v>28</v>
      </c>
      <c r="F2806">
        <v>801011</v>
      </c>
      <c r="G2806" s="1">
        <v>-368.49</v>
      </c>
      <c r="H2806" t="s">
        <v>3204</v>
      </c>
      <c r="J2806" s="18" t="s">
        <v>4327</v>
      </c>
    </row>
    <row r="2807" spans="3:10" x14ac:dyDescent="0.25">
      <c r="C2807" s="17" t="str">
        <f t="shared" si="44"/>
        <v>28.801011.-26343.9226..CLEAR SCHEDULE.</v>
      </c>
      <c r="E2807">
        <v>28</v>
      </c>
      <c r="F2807">
        <v>801011</v>
      </c>
      <c r="G2807" s="2">
        <v>-263.43</v>
      </c>
      <c r="H2807" t="s">
        <v>3205</v>
      </c>
      <c r="J2807" s="18" t="s">
        <v>4327</v>
      </c>
    </row>
    <row r="2808" spans="3:10" x14ac:dyDescent="0.25">
      <c r="C2808" s="17" t="str">
        <f t="shared" si="44"/>
        <v>28.801011.-14387.9228..CLEAR SCHEDULE.</v>
      </c>
      <c r="E2808">
        <v>28</v>
      </c>
      <c r="F2808">
        <v>801011</v>
      </c>
      <c r="G2808" s="1">
        <v>-143.87</v>
      </c>
      <c r="H2808" t="s">
        <v>3206</v>
      </c>
      <c r="J2808" s="18" t="s">
        <v>4327</v>
      </c>
    </row>
    <row r="2809" spans="3:10" x14ac:dyDescent="0.25">
      <c r="C2809" s="17" t="str">
        <f t="shared" si="44"/>
        <v>28.801011.-22994.9229..CLEAR SCHEDULE.</v>
      </c>
      <c r="E2809">
        <v>28</v>
      </c>
      <c r="F2809">
        <v>801011</v>
      </c>
      <c r="G2809" s="2">
        <v>-229.94</v>
      </c>
      <c r="H2809" t="s">
        <v>3207</v>
      </c>
      <c r="J2809" s="18" t="s">
        <v>4327</v>
      </c>
    </row>
    <row r="2810" spans="3:10" x14ac:dyDescent="0.25">
      <c r="C2810" s="17" t="str">
        <f t="shared" si="44"/>
        <v>28.801011.-9871.9230..CLEAR SCHEDULE.</v>
      </c>
      <c r="E2810">
        <v>28</v>
      </c>
      <c r="F2810">
        <v>801011</v>
      </c>
      <c r="G2810" s="1">
        <v>-98.71</v>
      </c>
      <c r="H2810" t="s">
        <v>3208</v>
      </c>
      <c r="J2810" s="18" t="s">
        <v>4327</v>
      </c>
    </row>
    <row r="2811" spans="3:10" x14ac:dyDescent="0.25">
      <c r="C2811" s="17" t="str">
        <f t="shared" si="44"/>
        <v>28.801011.-47122.9232..CLEAR SCHEDULE.</v>
      </c>
      <c r="E2811">
        <v>28</v>
      </c>
      <c r="F2811">
        <v>801011</v>
      </c>
      <c r="G2811" s="2">
        <v>-471.22</v>
      </c>
      <c r="H2811" t="s">
        <v>3209</v>
      </c>
      <c r="J2811" s="18" t="s">
        <v>4327</v>
      </c>
    </row>
    <row r="2812" spans="3:10" x14ac:dyDescent="0.25">
      <c r="C2812" s="17" t="str">
        <f t="shared" si="44"/>
        <v>28.801011.-117192.9234..CLEAR SCHEDULE.</v>
      </c>
      <c r="E2812">
        <v>28</v>
      </c>
      <c r="F2812">
        <v>801011</v>
      </c>
      <c r="G2812" s="1">
        <v>-1171.92</v>
      </c>
      <c r="H2812" t="s">
        <v>3210</v>
      </c>
      <c r="J2812" s="18" t="s">
        <v>4327</v>
      </c>
    </row>
    <row r="2813" spans="3:10" x14ac:dyDescent="0.25">
      <c r="C2813" s="17" t="str">
        <f t="shared" si="44"/>
        <v>28.801011.-6769.9235..CLEAR SCHEDULE.</v>
      </c>
      <c r="E2813">
        <v>28</v>
      </c>
      <c r="F2813">
        <v>801011</v>
      </c>
      <c r="G2813" s="2">
        <v>-67.69</v>
      </c>
      <c r="H2813" t="s">
        <v>3211</v>
      </c>
      <c r="J2813" s="18" t="s">
        <v>4327</v>
      </c>
    </row>
    <row r="2814" spans="3:10" x14ac:dyDescent="0.25">
      <c r="C2814" s="17" t="str">
        <f t="shared" si="44"/>
        <v>28.801011.-17579.9237..CLEAR SCHEDULE.</v>
      </c>
      <c r="E2814">
        <v>28</v>
      </c>
      <c r="F2814">
        <v>801011</v>
      </c>
      <c r="G2814" s="1">
        <v>-175.79</v>
      </c>
      <c r="H2814" t="s">
        <v>3212</v>
      </c>
      <c r="J2814" s="18" t="s">
        <v>4327</v>
      </c>
    </row>
    <row r="2815" spans="3:10" x14ac:dyDescent="0.25">
      <c r="C2815" s="17" t="str">
        <f t="shared" si="44"/>
        <v>28.801011.-9751.9238..CLEAR SCHEDULE.</v>
      </c>
      <c r="E2815">
        <v>28</v>
      </c>
      <c r="F2815">
        <v>801011</v>
      </c>
      <c r="G2815" s="2">
        <v>-97.51</v>
      </c>
      <c r="H2815" t="s">
        <v>3213</v>
      </c>
      <c r="J2815" s="18" t="s">
        <v>4327</v>
      </c>
    </row>
    <row r="2816" spans="3:10" x14ac:dyDescent="0.25">
      <c r="C2816" s="17" t="str">
        <f t="shared" si="44"/>
        <v>28.801011.-15945.9240..CLEAR SCHEDULE.</v>
      </c>
      <c r="E2816">
        <v>28</v>
      </c>
      <c r="F2816">
        <v>801011</v>
      </c>
      <c r="G2816" s="1">
        <v>-159.44999999999999</v>
      </c>
      <c r="H2816" t="s">
        <v>3214</v>
      </c>
      <c r="J2816" s="18" t="s">
        <v>4327</v>
      </c>
    </row>
    <row r="2817" spans="3:10" x14ac:dyDescent="0.25">
      <c r="C2817" s="17" t="str">
        <f t="shared" si="44"/>
        <v>28.801011.-14387.9241..CLEAR SCHEDULE.</v>
      </c>
      <c r="E2817">
        <v>28</v>
      </c>
      <c r="F2817">
        <v>801011</v>
      </c>
      <c r="G2817" s="2">
        <v>-143.87</v>
      </c>
      <c r="H2817" t="s">
        <v>3215</v>
      </c>
      <c r="J2817" s="18" t="s">
        <v>4327</v>
      </c>
    </row>
    <row r="2818" spans="3:10" x14ac:dyDescent="0.25">
      <c r="C2818" s="17" t="str">
        <f t="shared" si="44"/>
        <v>28.801011.-61490.9242..CLEAR SCHEDULE.</v>
      </c>
      <c r="E2818">
        <v>28</v>
      </c>
      <c r="F2818">
        <v>801011</v>
      </c>
      <c r="G2818" s="1">
        <v>-614.9</v>
      </c>
      <c r="H2818" t="s">
        <v>3216</v>
      </c>
      <c r="J2818" s="18" t="s">
        <v>4327</v>
      </c>
    </row>
    <row r="2819" spans="3:10" x14ac:dyDescent="0.25">
      <c r="C2819" s="17" t="str">
        <f t="shared" si="44"/>
        <v>28.801011.-385333.9243..CLEAR SCHEDULE.</v>
      </c>
      <c r="E2819">
        <v>28</v>
      </c>
      <c r="F2819">
        <v>801011</v>
      </c>
      <c r="G2819" s="2">
        <v>-3853.33</v>
      </c>
      <c r="H2819" t="s">
        <v>3217</v>
      </c>
      <c r="J2819" s="18" t="s">
        <v>4327</v>
      </c>
    </row>
    <row r="2820" spans="3:10" x14ac:dyDescent="0.25">
      <c r="C2820" s="17" t="str">
        <f t="shared" si="44"/>
        <v>28.801011.-1905.9244..CLEAR SCHEDULE.</v>
      </c>
      <c r="E2820">
        <v>28</v>
      </c>
      <c r="F2820">
        <v>801011</v>
      </c>
      <c r="G2820" s="1">
        <v>-19.05</v>
      </c>
      <c r="H2820" t="s">
        <v>3218</v>
      </c>
      <c r="J2820" s="18" t="s">
        <v>4327</v>
      </c>
    </row>
    <row r="2821" spans="3:10" x14ac:dyDescent="0.25">
      <c r="C2821" s="17" t="str">
        <f t="shared" si="44"/>
        <v>28.801011.-198095.9246..CLEAR SCHEDULE.</v>
      </c>
      <c r="E2821">
        <v>28</v>
      </c>
      <c r="F2821">
        <v>801011</v>
      </c>
      <c r="G2821" s="2">
        <v>-1980.95</v>
      </c>
      <c r="H2821" t="s">
        <v>3219</v>
      </c>
      <c r="J2821" s="18" t="s">
        <v>4327</v>
      </c>
    </row>
    <row r="2822" spans="3:10" x14ac:dyDescent="0.25">
      <c r="C2822" s="17" t="str">
        <f t="shared" si="44"/>
        <v>28.801011.-212769.9247..CLEAR SCHEDULE.</v>
      </c>
      <c r="E2822">
        <v>28</v>
      </c>
      <c r="F2822">
        <v>801011</v>
      </c>
      <c r="G2822" s="1">
        <v>-2127.69</v>
      </c>
      <c r="H2822" t="s">
        <v>3220</v>
      </c>
      <c r="J2822" s="18" t="s">
        <v>4327</v>
      </c>
    </row>
    <row r="2823" spans="3:10" x14ac:dyDescent="0.25">
      <c r="C2823" s="17" t="str">
        <f t="shared" si="44"/>
        <v>28.801011.-38891.9250..CLEAR SCHEDULE.</v>
      </c>
      <c r="E2823">
        <v>28</v>
      </c>
      <c r="F2823">
        <v>801011</v>
      </c>
      <c r="G2823" s="2">
        <v>-388.91</v>
      </c>
      <c r="H2823" t="s">
        <v>3221</v>
      </c>
      <c r="J2823" s="18" t="s">
        <v>4327</v>
      </c>
    </row>
    <row r="2824" spans="3:10" x14ac:dyDescent="0.25">
      <c r="C2824" s="17" t="str">
        <f t="shared" si="44"/>
        <v>28.801011.-10530.9251..CLEAR SCHEDULE.</v>
      </c>
      <c r="E2824">
        <v>28</v>
      </c>
      <c r="F2824">
        <v>801011</v>
      </c>
      <c r="G2824" s="1">
        <v>-105.3</v>
      </c>
      <c r="H2824" t="s">
        <v>3222</v>
      </c>
      <c r="J2824" s="18" t="s">
        <v>4327</v>
      </c>
    </row>
    <row r="2825" spans="3:10" x14ac:dyDescent="0.25">
      <c r="C2825" s="17" t="str">
        <f t="shared" si="44"/>
        <v>28.801011.-15945.9252..CLEAR SCHEDULE.</v>
      </c>
      <c r="E2825">
        <v>28</v>
      </c>
      <c r="F2825">
        <v>801011</v>
      </c>
      <c r="G2825" s="2">
        <v>-159.44999999999999</v>
      </c>
      <c r="H2825" t="s">
        <v>3223</v>
      </c>
      <c r="J2825" s="18" t="s">
        <v>4327</v>
      </c>
    </row>
    <row r="2826" spans="3:10" x14ac:dyDescent="0.25">
      <c r="C2826" s="17" t="str">
        <f t="shared" si="44"/>
        <v>28.801011.-53980.9253..CLEAR SCHEDULE.</v>
      </c>
      <c r="E2826">
        <v>28</v>
      </c>
      <c r="F2826">
        <v>801011</v>
      </c>
      <c r="G2826" s="1">
        <v>-539.79999999999995</v>
      </c>
      <c r="H2826" t="s">
        <v>3224</v>
      </c>
      <c r="J2826" s="18" t="s">
        <v>4327</v>
      </c>
    </row>
    <row r="2827" spans="3:10" x14ac:dyDescent="0.25">
      <c r="C2827" s="17" t="str">
        <f t="shared" ref="C2827:C2890" si="45">IF(G2827=0,"",(E2827&amp;"."&amp;F2827&amp;"."&amp;G2827*100&amp;"."&amp;H2827&amp;"."&amp;I2827&amp;"."&amp;J2827&amp;"."&amp;K2827))</f>
        <v>28.801011.-5415.9257..CLEAR SCHEDULE.</v>
      </c>
      <c r="E2827">
        <v>28</v>
      </c>
      <c r="F2827">
        <v>801011</v>
      </c>
      <c r="G2827" s="2">
        <v>-54.15</v>
      </c>
      <c r="H2827" t="s">
        <v>3225</v>
      </c>
      <c r="J2827" s="18" t="s">
        <v>4327</v>
      </c>
    </row>
    <row r="2828" spans="3:10" x14ac:dyDescent="0.25">
      <c r="C2828" s="17" t="str">
        <f t="shared" si="45"/>
        <v>28.801011.-13773.9259..CLEAR SCHEDULE.</v>
      </c>
      <c r="E2828">
        <v>28</v>
      </c>
      <c r="F2828">
        <v>801011</v>
      </c>
      <c r="G2828" s="1">
        <v>-137.72999999999999</v>
      </c>
      <c r="H2828" t="s">
        <v>3226</v>
      </c>
      <c r="J2828" s="18" t="s">
        <v>4327</v>
      </c>
    </row>
    <row r="2829" spans="3:10" x14ac:dyDescent="0.25">
      <c r="C2829" s="17" t="str">
        <f t="shared" si="45"/>
        <v>28.801011.-8972.9260..CLEAR SCHEDULE.</v>
      </c>
      <c r="E2829">
        <v>28</v>
      </c>
      <c r="F2829">
        <v>801011</v>
      </c>
      <c r="G2829" s="2">
        <v>-89.72</v>
      </c>
      <c r="H2829" t="s">
        <v>3227</v>
      </c>
      <c r="J2829" s="18" t="s">
        <v>4327</v>
      </c>
    </row>
    <row r="2830" spans="3:10" x14ac:dyDescent="0.25">
      <c r="C2830" s="17" t="str">
        <f t="shared" si="45"/>
        <v>28.801011.-9751.9261..CLEAR SCHEDULE.</v>
      </c>
      <c r="E2830">
        <v>28</v>
      </c>
      <c r="F2830">
        <v>801011</v>
      </c>
      <c r="G2830" s="1">
        <v>-97.51</v>
      </c>
      <c r="H2830" t="s">
        <v>3228</v>
      </c>
      <c r="J2830" s="18" t="s">
        <v>4327</v>
      </c>
    </row>
    <row r="2831" spans="3:10" x14ac:dyDescent="0.25">
      <c r="C2831" s="17" t="str">
        <f t="shared" si="45"/>
        <v>28.801011.-80301.9262..CLEAR SCHEDULE.</v>
      </c>
      <c r="E2831">
        <v>28</v>
      </c>
      <c r="F2831">
        <v>801011</v>
      </c>
      <c r="G2831" s="2">
        <v>-803.01</v>
      </c>
      <c r="H2831" t="s">
        <v>3229</v>
      </c>
      <c r="J2831" s="18" t="s">
        <v>4327</v>
      </c>
    </row>
    <row r="2832" spans="3:10" x14ac:dyDescent="0.25">
      <c r="C2832" s="17" t="str">
        <f t="shared" si="45"/>
        <v>28.801011.-35046.9266..CLEAR SCHEDULE.</v>
      </c>
      <c r="E2832">
        <v>28</v>
      </c>
      <c r="F2832">
        <v>801011</v>
      </c>
      <c r="G2832" s="1">
        <v>-350.46</v>
      </c>
      <c r="H2832" t="s">
        <v>3230</v>
      </c>
      <c r="J2832" s="18" t="s">
        <v>4327</v>
      </c>
    </row>
    <row r="2833" spans="3:10" x14ac:dyDescent="0.25">
      <c r="C2833" s="17" t="str">
        <f t="shared" si="45"/>
        <v>28.801011.-8972.9268..CLEAR SCHEDULE.</v>
      </c>
      <c r="E2833">
        <v>28</v>
      </c>
      <c r="F2833">
        <v>801011</v>
      </c>
      <c r="G2833" s="2">
        <v>-89.72</v>
      </c>
      <c r="H2833" t="s">
        <v>3231</v>
      </c>
      <c r="J2833" s="18" t="s">
        <v>4327</v>
      </c>
    </row>
    <row r="2834" spans="3:10" x14ac:dyDescent="0.25">
      <c r="C2834" s="17" t="str">
        <f t="shared" si="45"/>
        <v>28.801011.-10530.9269..CLEAR SCHEDULE.</v>
      </c>
      <c r="E2834">
        <v>28</v>
      </c>
      <c r="F2834">
        <v>801011</v>
      </c>
      <c r="G2834" s="1">
        <v>-105.3</v>
      </c>
      <c r="H2834" t="s">
        <v>3232</v>
      </c>
      <c r="J2834" s="18" t="s">
        <v>4327</v>
      </c>
    </row>
    <row r="2835" spans="3:10" x14ac:dyDescent="0.25">
      <c r="C2835" s="17" t="str">
        <f t="shared" si="45"/>
        <v>28.801011.-26910.9273..CLEAR SCHEDULE.</v>
      </c>
      <c r="E2835">
        <v>28</v>
      </c>
      <c r="F2835">
        <v>801011</v>
      </c>
      <c r="G2835" s="2">
        <v>-269.10000000000002</v>
      </c>
      <c r="H2835" t="s">
        <v>3233</v>
      </c>
      <c r="J2835" s="18" t="s">
        <v>4327</v>
      </c>
    </row>
    <row r="2836" spans="3:10" x14ac:dyDescent="0.25">
      <c r="C2836" s="17" t="str">
        <f t="shared" si="45"/>
        <v>28.801011.-19335.9276..CLEAR SCHEDULE.</v>
      </c>
      <c r="E2836">
        <v>28</v>
      </c>
      <c r="F2836">
        <v>801011</v>
      </c>
      <c r="G2836" s="1">
        <v>-193.35</v>
      </c>
      <c r="H2836" t="s">
        <v>3234</v>
      </c>
      <c r="J2836" s="18" t="s">
        <v>4327</v>
      </c>
    </row>
    <row r="2837" spans="3:10" x14ac:dyDescent="0.25">
      <c r="C2837" s="17" t="str">
        <f t="shared" si="45"/>
        <v>28.801011.-15945.9279..CLEAR SCHEDULE.</v>
      </c>
      <c r="E2837">
        <v>28</v>
      </c>
      <c r="F2837">
        <v>801011</v>
      </c>
      <c r="G2837" s="2">
        <v>-159.44999999999999</v>
      </c>
      <c r="H2837" t="s">
        <v>3235</v>
      </c>
      <c r="J2837" s="18" t="s">
        <v>4327</v>
      </c>
    </row>
    <row r="2838" spans="3:10" x14ac:dyDescent="0.25">
      <c r="C2838" s="17" t="str">
        <f t="shared" si="45"/>
        <v>28.801011.-37804.9280..CLEAR SCHEDULE.</v>
      </c>
      <c r="E2838">
        <v>28</v>
      </c>
      <c r="F2838">
        <v>801011</v>
      </c>
      <c r="G2838" s="1">
        <v>-378.04</v>
      </c>
      <c r="H2838" t="s">
        <v>3236</v>
      </c>
      <c r="J2838" s="18" t="s">
        <v>4327</v>
      </c>
    </row>
    <row r="2839" spans="3:10" x14ac:dyDescent="0.25">
      <c r="C2839" s="17" t="str">
        <f t="shared" si="45"/>
        <v>28.801011.-15945.9283..CLEAR SCHEDULE.</v>
      </c>
      <c r="E2839">
        <v>28</v>
      </c>
      <c r="F2839">
        <v>801011</v>
      </c>
      <c r="G2839" s="2">
        <v>-159.44999999999999</v>
      </c>
      <c r="H2839" t="s">
        <v>3237</v>
      </c>
      <c r="J2839" s="18" t="s">
        <v>4327</v>
      </c>
    </row>
    <row r="2840" spans="3:10" x14ac:dyDescent="0.25">
      <c r="C2840" s="17" t="str">
        <f t="shared" si="45"/>
        <v>28.801011.-37190.9284..CLEAR SCHEDULE.</v>
      </c>
      <c r="E2840">
        <v>28</v>
      </c>
      <c r="F2840">
        <v>801011</v>
      </c>
      <c r="G2840" s="1">
        <v>-371.9</v>
      </c>
      <c r="H2840" t="s">
        <v>3238</v>
      </c>
      <c r="J2840" s="18" t="s">
        <v>4327</v>
      </c>
    </row>
    <row r="2841" spans="3:10" x14ac:dyDescent="0.25">
      <c r="C2841" s="17" t="str">
        <f t="shared" si="45"/>
        <v>28.801011.-9751.9286..CLEAR SCHEDULE.</v>
      </c>
      <c r="E2841">
        <v>28</v>
      </c>
      <c r="F2841">
        <v>801011</v>
      </c>
      <c r="G2841" s="2">
        <v>-97.51</v>
      </c>
      <c r="H2841" t="s">
        <v>3239</v>
      </c>
      <c r="J2841" s="18" t="s">
        <v>4327</v>
      </c>
    </row>
    <row r="2842" spans="3:10" x14ac:dyDescent="0.25">
      <c r="C2842" s="17" t="str">
        <f t="shared" si="45"/>
        <v>28.801011.-28099.9287..CLEAR SCHEDULE.</v>
      </c>
      <c r="E2842">
        <v>28</v>
      </c>
      <c r="F2842">
        <v>801011</v>
      </c>
      <c r="G2842" s="1">
        <v>-280.99</v>
      </c>
      <c r="H2842" t="s">
        <v>3240</v>
      </c>
      <c r="J2842" s="18" t="s">
        <v>4327</v>
      </c>
    </row>
    <row r="2843" spans="3:10" x14ac:dyDescent="0.25">
      <c r="C2843" s="17" t="str">
        <f t="shared" si="45"/>
        <v>28.801011.-84197.9288..CLEAR SCHEDULE.</v>
      </c>
      <c r="E2843">
        <v>28</v>
      </c>
      <c r="F2843">
        <v>801011</v>
      </c>
      <c r="G2843" s="2">
        <v>-841.97</v>
      </c>
      <c r="H2843" t="s">
        <v>3241</v>
      </c>
      <c r="J2843" s="18" t="s">
        <v>4327</v>
      </c>
    </row>
    <row r="2844" spans="3:10" x14ac:dyDescent="0.25">
      <c r="C2844" s="17" t="str">
        <f t="shared" si="45"/>
        <v>28.801011.-19742.9289..CLEAR SCHEDULE.</v>
      </c>
      <c r="E2844">
        <v>28</v>
      </c>
      <c r="F2844">
        <v>801011</v>
      </c>
      <c r="G2844" s="1">
        <v>-197.42</v>
      </c>
      <c r="H2844" t="s">
        <v>3242</v>
      </c>
      <c r="J2844" s="18" t="s">
        <v>4327</v>
      </c>
    </row>
    <row r="2845" spans="3:10" x14ac:dyDescent="0.25">
      <c r="C2845" s="17" t="str">
        <f t="shared" si="45"/>
        <v>28.801011.-113797.9290..CLEAR SCHEDULE.</v>
      </c>
      <c r="E2845">
        <v>28</v>
      </c>
      <c r="F2845">
        <v>801011</v>
      </c>
      <c r="G2845" s="2">
        <v>-1137.97</v>
      </c>
      <c r="H2845" t="s">
        <v>3243</v>
      </c>
      <c r="J2845" s="18" t="s">
        <v>4327</v>
      </c>
    </row>
    <row r="2846" spans="3:10" x14ac:dyDescent="0.25">
      <c r="C2846" s="17" t="str">
        <f t="shared" si="45"/>
        <v>28.801011.-19742.9291..CLEAR SCHEDULE.</v>
      </c>
      <c r="E2846">
        <v>28</v>
      </c>
      <c r="F2846">
        <v>801011</v>
      </c>
      <c r="G2846" s="1">
        <v>-197.42</v>
      </c>
      <c r="H2846" t="s">
        <v>3244</v>
      </c>
      <c r="J2846" s="18" t="s">
        <v>4327</v>
      </c>
    </row>
    <row r="2847" spans="3:10" x14ac:dyDescent="0.25">
      <c r="C2847" s="17" t="str">
        <f t="shared" si="45"/>
        <v>28.801011.-10530.9292..CLEAR SCHEDULE.</v>
      </c>
      <c r="E2847">
        <v>28</v>
      </c>
      <c r="F2847">
        <v>801011</v>
      </c>
      <c r="G2847" s="2">
        <v>-105.3</v>
      </c>
      <c r="H2847" t="s">
        <v>3245</v>
      </c>
      <c r="J2847" s="18" t="s">
        <v>4327</v>
      </c>
    </row>
    <row r="2848" spans="3:10" x14ac:dyDescent="0.25">
      <c r="C2848" s="17" t="str">
        <f t="shared" si="45"/>
        <v>28.801011.-8972.9294..CLEAR SCHEDULE.</v>
      </c>
      <c r="E2848">
        <v>28</v>
      </c>
      <c r="F2848">
        <v>801011</v>
      </c>
      <c r="G2848" s="1">
        <v>-89.72</v>
      </c>
      <c r="H2848" t="s">
        <v>3246</v>
      </c>
      <c r="J2848" s="18" t="s">
        <v>4327</v>
      </c>
    </row>
    <row r="2849" spans="3:10" x14ac:dyDescent="0.25">
      <c r="C2849" s="17" t="str">
        <f t="shared" si="45"/>
        <v>28.801011.-10728.9297..CLEAR SCHEDULE.</v>
      </c>
      <c r="E2849">
        <v>28</v>
      </c>
      <c r="F2849">
        <v>801011</v>
      </c>
      <c r="G2849" s="2">
        <v>-107.28</v>
      </c>
      <c r="H2849" t="s">
        <v>3247</v>
      </c>
      <c r="J2849" s="18" t="s">
        <v>4327</v>
      </c>
    </row>
    <row r="2850" spans="3:10" x14ac:dyDescent="0.25">
      <c r="C2850" s="17" t="str">
        <f t="shared" si="45"/>
        <v>28.801011.-54877.9298..CLEAR SCHEDULE.</v>
      </c>
      <c r="E2850">
        <v>28</v>
      </c>
      <c r="F2850">
        <v>801011</v>
      </c>
      <c r="G2850" s="1">
        <v>-548.77</v>
      </c>
      <c r="H2850" t="s">
        <v>3248</v>
      </c>
      <c r="J2850" s="18" t="s">
        <v>4327</v>
      </c>
    </row>
    <row r="2851" spans="3:10" x14ac:dyDescent="0.25">
      <c r="C2851" s="17" t="str">
        <f t="shared" si="45"/>
        <v>28.801011.-8972.9299..CLEAR SCHEDULE.</v>
      </c>
      <c r="E2851">
        <v>28</v>
      </c>
      <c r="F2851">
        <v>801011</v>
      </c>
      <c r="G2851" s="2">
        <v>-89.72</v>
      </c>
      <c r="H2851" t="s">
        <v>3249</v>
      </c>
      <c r="J2851" s="18" t="s">
        <v>4327</v>
      </c>
    </row>
    <row r="2852" spans="3:10" x14ac:dyDescent="0.25">
      <c r="C2852" s="17" t="str">
        <f t="shared" si="45"/>
        <v>28.801011.-61170.9300..CLEAR SCHEDULE.</v>
      </c>
      <c r="E2852">
        <v>28</v>
      </c>
      <c r="F2852">
        <v>801011</v>
      </c>
      <c r="G2852" s="1">
        <v>-611.70000000000005</v>
      </c>
      <c r="H2852" t="s">
        <v>3250</v>
      </c>
      <c r="J2852" s="18" t="s">
        <v>4327</v>
      </c>
    </row>
    <row r="2853" spans="3:10" x14ac:dyDescent="0.25">
      <c r="C2853" s="17" t="str">
        <f t="shared" si="45"/>
        <v>28.801011.-15166.9302..CLEAR SCHEDULE.</v>
      </c>
      <c r="E2853">
        <v>28</v>
      </c>
      <c r="F2853">
        <v>801011</v>
      </c>
      <c r="G2853" s="2">
        <v>-151.66</v>
      </c>
      <c r="H2853" t="s">
        <v>3251</v>
      </c>
      <c r="J2853" s="18" t="s">
        <v>4327</v>
      </c>
    </row>
    <row r="2854" spans="3:10" x14ac:dyDescent="0.25">
      <c r="C2854" s="17" t="str">
        <f t="shared" si="45"/>
        <v>28.801011.-105297.9303..CLEAR SCHEDULE.</v>
      </c>
      <c r="E2854">
        <v>28</v>
      </c>
      <c r="F2854">
        <v>801011</v>
      </c>
      <c r="G2854" s="1">
        <v>-1052.97</v>
      </c>
      <c r="H2854" t="s">
        <v>3252</v>
      </c>
      <c r="J2854" s="18" t="s">
        <v>4327</v>
      </c>
    </row>
    <row r="2855" spans="3:10" x14ac:dyDescent="0.25">
      <c r="C2855" s="17" t="str">
        <f t="shared" si="45"/>
        <v>28.801011.-37753.9304..CLEAR SCHEDULE.</v>
      </c>
      <c r="E2855">
        <v>28</v>
      </c>
      <c r="F2855">
        <v>801011</v>
      </c>
      <c r="G2855" s="2">
        <v>-377.53</v>
      </c>
      <c r="H2855" t="s">
        <v>3253</v>
      </c>
      <c r="J2855" s="18" t="s">
        <v>4327</v>
      </c>
    </row>
    <row r="2856" spans="3:10" x14ac:dyDescent="0.25">
      <c r="C2856" s="17" t="str">
        <f t="shared" si="45"/>
        <v>28.801011.-40159.9305..CLEAR SCHEDULE.</v>
      </c>
      <c r="E2856">
        <v>28</v>
      </c>
      <c r="F2856">
        <v>801011</v>
      </c>
      <c r="G2856" s="1">
        <v>-401.59</v>
      </c>
      <c r="H2856" t="s">
        <v>3254</v>
      </c>
      <c r="J2856" s="18" t="s">
        <v>4327</v>
      </c>
    </row>
    <row r="2857" spans="3:10" x14ac:dyDescent="0.25">
      <c r="C2857" s="17" t="str">
        <f t="shared" si="45"/>
        <v>28.801011.-19742.9310..CLEAR SCHEDULE.</v>
      </c>
      <c r="E2857">
        <v>28</v>
      </c>
      <c r="F2857">
        <v>801011</v>
      </c>
      <c r="G2857" s="2">
        <v>-197.42</v>
      </c>
      <c r="H2857" t="s">
        <v>3255</v>
      </c>
      <c r="J2857" s="18" t="s">
        <v>4327</v>
      </c>
    </row>
    <row r="2858" spans="3:10" x14ac:dyDescent="0.25">
      <c r="C2858" s="17" t="str">
        <f t="shared" si="45"/>
        <v>28.801011.-8972.9312..CLEAR SCHEDULE.</v>
      </c>
      <c r="E2858">
        <v>28</v>
      </c>
      <c r="F2858">
        <v>801011</v>
      </c>
      <c r="G2858" s="1">
        <v>-89.72</v>
      </c>
      <c r="H2858" t="s">
        <v>3256</v>
      </c>
      <c r="J2858" s="18" t="s">
        <v>4327</v>
      </c>
    </row>
    <row r="2859" spans="3:10" x14ac:dyDescent="0.25">
      <c r="C2859" s="17" t="str">
        <f t="shared" si="45"/>
        <v>28.801011.-70930.9313..CLEAR SCHEDULE.</v>
      </c>
      <c r="E2859">
        <v>28</v>
      </c>
      <c r="F2859">
        <v>801011</v>
      </c>
      <c r="G2859" s="2">
        <v>-709.3</v>
      </c>
      <c r="H2859" t="s">
        <v>3257</v>
      </c>
      <c r="J2859" s="18" t="s">
        <v>4327</v>
      </c>
    </row>
    <row r="2860" spans="3:10" x14ac:dyDescent="0.25">
      <c r="C2860" s="17" t="str">
        <f t="shared" si="45"/>
        <v>28.801011.-14387.9314..CLEAR SCHEDULE.</v>
      </c>
      <c r="E2860">
        <v>28</v>
      </c>
      <c r="F2860">
        <v>801011</v>
      </c>
      <c r="G2860" s="1">
        <v>-143.87</v>
      </c>
      <c r="H2860" t="s">
        <v>3258</v>
      </c>
      <c r="J2860" s="18" t="s">
        <v>4327</v>
      </c>
    </row>
    <row r="2861" spans="3:10" x14ac:dyDescent="0.25">
      <c r="C2861" s="17" t="str">
        <f t="shared" si="45"/>
        <v>28.801011.-258929.9315..CLEAR SCHEDULE.</v>
      </c>
      <c r="E2861">
        <v>28</v>
      </c>
      <c r="F2861">
        <v>801011</v>
      </c>
      <c r="G2861" s="2">
        <v>-2589.29</v>
      </c>
      <c r="H2861" t="s">
        <v>3259</v>
      </c>
      <c r="J2861" s="18" t="s">
        <v>4327</v>
      </c>
    </row>
    <row r="2862" spans="3:10" x14ac:dyDescent="0.25">
      <c r="C2862" s="17" t="str">
        <f t="shared" si="45"/>
        <v>28.801011.-21749.9316..CLEAR SCHEDULE.</v>
      </c>
      <c r="E2862">
        <v>28</v>
      </c>
      <c r="F2862">
        <v>801011</v>
      </c>
      <c r="G2862" s="1">
        <v>-217.49</v>
      </c>
      <c r="H2862" t="s">
        <v>3260</v>
      </c>
      <c r="J2862" s="18" t="s">
        <v>4327</v>
      </c>
    </row>
    <row r="2863" spans="3:10" x14ac:dyDescent="0.25">
      <c r="C2863" s="17" t="str">
        <f t="shared" si="45"/>
        <v>28.801011.-30491.9318..CLEAR SCHEDULE.</v>
      </c>
      <c r="E2863">
        <v>28</v>
      </c>
      <c r="F2863">
        <v>801011</v>
      </c>
      <c r="G2863" s="2">
        <v>-304.91000000000003</v>
      </c>
      <c r="H2863" t="s">
        <v>3261</v>
      </c>
      <c r="J2863" s="18" t="s">
        <v>4327</v>
      </c>
    </row>
    <row r="2864" spans="3:10" x14ac:dyDescent="0.25">
      <c r="C2864" s="17" t="str">
        <f t="shared" si="45"/>
        <v>28.801011.-75906.9319..CLEAR SCHEDULE.</v>
      </c>
      <c r="E2864">
        <v>28</v>
      </c>
      <c r="F2864">
        <v>801011</v>
      </c>
      <c r="G2864" s="1">
        <v>-759.06</v>
      </c>
      <c r="H2864" t="s">
        <v>3262</v>
      </c>
      <c r="J2864" s="18" t="s">
        <v>4327</v>
      </c>
    </row>
    <row r="2865" spans="3:10" x14ac:dyDescent="0.25">
      <c r="C2865" s="17" t="str">
        <f t="shared" si="45"/>
        <v>28.801011.-31637.9321..CLEAR SCHEDULE.</v>
      </c>
      <c r="E2865">
        <v>28</v>
      </c>
      <c r="F2865">
        <v>801011</v>
      </c>
      <c r="G2865" s="2">
        <v>-316.37</v>
      </c>
      <c r="H2865" t="s">
        <v>3263</v>
      </c>
      <c r="J2865" s="18" t="s">
        <v>4327</v>
      </c>
    </row>
    <row r="2866" spans="3:10" x14ac:dyDescent="0.25">
      <c r="C2866" s="17" t="str">
        <f t="shared" si="45"/>
        <v>28.801011.-8972.9322..CLEAR SCHEDULE.</v>
      </c>
      <c r="E2866">
        <v>28</v>
      </c>
      <c r="F2866">
        <v>801011</v>
      </c>
      <c r="G2866" s="1">
        <v>-89.72</v>
      </c>
      <c r="H2866" t="s">
        <v>3264</v>
      </c>
      <c r="J2866" s="18" t="s">
        <v>4327</v>
      </c>
    </row>
    <row r="2867" spans="3:10" x14ac:dyDescent="0.25">
      <c r="C2867" s="17" t="str">
        <f t="shared" si="45"/>
        <v>28.801011.-9590.9324..CLEAR SCHEDULE.</v>
      </c>
      <c r="E2867">
        <v>28</v>
      </c>
      <c r="F2867">
        <v>801011</v>
      </c>
      <c r="G2867" s="2">
        <v>-95.9</v>
      </c>
      <c r="H2867" t="s">
        <v>3265</v>
      </c>
      <c r="J2867" s="18" t="s">
        <v>4327</v>
      </c>
    </row>
    <row r="2868" spans="3:10" x14ac:dyDescent="0.25">
      <c r="C2868" s="17" t="str">
        <f t="shared" si="45"/>
        <v>28.801011.-39231.9325..CLEAR SCHEDULE.</v>
      </c>
      <c r="E2868">
        <v>28</v>
      </c>
      <c r="F2868">
        <v>801011</v>
      </c>
      <c r="G2868" s="1">
        <v>-392.31</v>
      </c>
      <c r="H2868" t="s">
        <v>3266</v>
      </c>
      <c r="J2868" s="18" t="s">
        <v>4327</v>
      </c>
    </row>
    <row r="2869" spans="3:10" x14ac:dyDescent="0.25">
      <c r="C2869" s="17" t="str">
        <f t="shared" si="45"/>
        <v>28.801011.-15945.9326..CLEAR SCHEDULE.</v>
      </c>
      <c r="E2869">
        <v>28</v>
      </c>
      <c r="F2869">
        <v>801011</v>
      </c>
      <c r="G2869" s="2">
        <v>-159.44999999999999</v>
      </c>
      <c r="H2869" t="s">
        <v>3267</v>
      </c>
      <c r="J2869" s="18" t="s">
        <v>4327</v>
      </c>
    </row>
    <row r="2870" spans="3:10" x14ac:dyDescent="0.25">
      <c r="C2870" s="17" t="str">
        <f t="shared" si="45"/>
        <v>28.801011.-7878.9328..CLEAR SCHEDULE.</v>
      </c>
      <c r="E2870">
        <v>28</v>
      </c>
      <c r="F2870">
        <v>801011</v>
      </c>
      <c r="G2870" s="1">
        <v>-78.78</v>
      </c>
      <c r="H2870" t="s">
        <v>3268</v>
      </c>
      <c r="J2870" s="18" t="s">
        <v>4327</v>
      </c>
    </row>
    <row r="2871" spans="3:10" x14ac:dyDescent="0.25">
      <c r="C2871" s="17" t="str">
        <f t="shared" si="45"/>
        <v>28.801011.-14387.9332..CLEAR SCHEDULE.</v>
      </c>
      <c r="E2871">
        <v>28</v>
      </c>
      <c r="F2871">
        <v>801011</v>
      </c>
      <c r="G2871" s="2">
        <v>-143.87</v>
      </c>
      <c r="H2871" t="s">
        <v>3269</v>
      </c>
      <c r="J2871" s="18" t="s">
        <v>4327</v>
      </c>
    </row>
    <row r="2872" spans="3:10" x14ac:dyDescent="0.25">
      <c r="C2872" s="17" t="str">
        <f t="shared" si="45"/>
        <v>28.801011.-10530.9336..CLEAR SCHEDULE.</v>
      </c>
      <c r="E2872">
        <v>28</v>
      </c>
      <c r="F2872">
        <v>801011</v>
      </c>
      <c r="G2872" s="1">
        <v>-105.3</v>
      </c>
      <c r="H2872" t="s">
        <v>3270</v>
      </c>
      <c r="J2872" s="18" t="s">
        <v>4327</v>
      </c>
    </row>
    <row r="2873" spans="3:10" x14ac:dyDescent="0.25">
      <c r="C2873" s="17" t="str">
        <f t="shared" si="45"/>
        <v>28.801011.-117512.9337..CLEAR SCHEDULE.</v>
      </c>
      <c r="E2873">
        <v>28</v>
      </c>
      <c r="F2873">
        <v>801011</v>
      </c>
      <c r="G2873" s="2">
        <v>-1175.1199999999999</v>
      </c>
      <c r="H2873" t="s">
        <v>3271</v>
      </c>
      <c r="J2873" s="18" t="s">
        <v>4327</v>
      </c>
    </row>
    <row r="2874" spans="3:10" x14ac:dyDescent="0.25">
      <c r="C2874" s="17" t="str">
        <f t="shared" si="45"/>
        <v>28.801011.-137987.9339..CLEAR SCHEDULE.</v>
      </c>
      <c r="E2874">
        <v>28</v>
      </c>
      <c r="F2874">
        <v>801011</v>
      </c>
      <c r="G2874" s="1">
        <v>-1379.87</v>
      </c>
      <c r="H2874" t="s">
        <v>3272</v>
      </c>
      <c r="J2874" s="18" t="s">
        <v>4327</v>
      </c>
    </row>
    <row r="2875" spans="3:10" x14ac:dyDescent="0.25">
      <c r="C2875" s="17" t="str">
        <f t="shared" si="45"/>
        <v>28.801011.-68089.9340..CLEAR SCHEDULE.</v>
      </c>
      <c r="E2875">
        <v>28</v>
      </c>
      <c r="F2875">
        <v>801011</v>
      </c>
      <c r="G2875" s="2">
        <v>-680.89</v>
      </c>
      <c r="H2875" t="s">
        <v>3273</v>
      </c>
      <c r="J2875" s="18" t="s">
        <v>4327</v>
      </c>
    </row>
    <row r="2876" spans="3:10" x14ac:dyDescent="0.25">
      <c r="C2876" s="17" t="str">
        <f t="shared" si="45"/>
        <v>28.801011.-8972.9341..CLEAR SCHEDULE.</v>
      </c>
      <c r="E2876">
        <v>28</v>
      </c>
      <c r="F2876">
        <v>801011</v>
      </c>
      <c r="G2876" s="1">
        <v>-89.72</v>
      </c>
      <c r="H2876" t="s">
        <v>3274</v>
      </c>
      <c r="J2876" s="18" t="s">
        <v>4327</v>
      </c>
    </row>
    <row r="2877" spans="3:10" x14ac:dyDescent="0.25">
      <c r="C2877" s="17" t="str">
        <f t="shared" si="45"/>
        <v>28.801011.-9379.9342..CLEAR SCHEDULE.</v>
      </c>
      <c r="E2877">
        <v>28</v>
      </c>
      <c r="F2877">
        <v>801011</v>
      </c>
      <c r="G2877" s="2">
        <v>-93.79</v>
      </c>
      <c r="H2877" t="s">
        <v>3275</v>
      </c>
      <c r="J2877" s="18" t="s">
        <v>4327</v>
      </c>
    </row>
    <row r="2878" spans="3:10" x14ac:dyDescent="0.25">
      <c r="C2878" s="17" t="str">
        <f t="shared" si="45"/>
        <v>28.801011.-8972.9343..CLEAR SCHEDULE.</v>
      </c>
      <c r="E2878">
        <v>28</v>
      </c>
      <c r="F2878">
        <v>801011</v>
      </c>
      <c r="G2878" s="1">
        <v>-89.72</v>
      </c>
      <c r="H2878" t="s">
        <v>3276</v>
      </c>
      <c r="J2878" s="18" t="s">
        <v>4327</v>
      </c>
    </row>
    <row r="2879" spans="3:10" x14ac:dyDescent="0.25">
      <c r="C2879" s="17" t="str">
        <f t="shared" si="45"/>
        <v>28.801011.-81577.9344..CLEAR SCHEDULE.</v>
      </c>
      <c r="E2879">
        <v>28</v>
      </c>
      <c r="F2879">
        <v>801011</v>
      </c>
      <c r="G2879" s="2">
        <v>-815.77</v>
      </c>
      <c r="H2879" t="s">
        <v>3277</v>
      </c>
      <c r="J2879" s="18" t="s">
        <v>4327</v>
      </c>
    </row>
    <row r="2880" spans="3:10" x14ac:dyDescent="0.25">
      <c r="C2880" s="17" t="str">
        <f t="shared" si="45"/>
        <v>28.801011.-14062.9345..CLEAR SCHEDULE.</v>
      </c>
      <c r="E2880">
        <v>28</v>
      </c>
      <c r="F2880">
        <v>801011</v>
      </c>
      <c r="G2880" s="1">
        <v>-140.62</v>
      </c>
      <c r="H2880" t="s">
        <v>3278</v>
      </c>
      <c r="J2880" s="18" t="s">
        <v>4327</v>
      </c>
    </row>
    <row r="2881" spans="3:10" x14ac:dyDescent="0.25">
      <c r="C2881" s="17" t="str">
        <f t="shared" si="45"/>
        <v>28.801011.-12435.9346..CLEAR SCHEDULE.</v>
      </c>
      <c r="E2881">
        <v>28</v>
      </c>
      <c r="F2881">
        <v>801011</v>
      </c>
      <c r="G2881" s="2">
        <v>-124.35</v>
      </c>
      <c r="H2881" t="s">
        <v>3279</v>
      </c>
      <c r="J2881" s="18" t="s">
        <v>4327</v>
      </c>
    </row>
    <row r="2882" spans="3:10" x14ac:dyDescent="0.25">
      <c r="C2882" s="17" t="str">
        <f t="shared" si="45"/>
        <v>28.801011.-36538.9347..CLEAR SCHEDULE.</v>
      </c>
      <c r="E2882">
        <v>28</v>
      </c>
      <c r="F2882">
        <v>801011</v>
      </c>
      <c r="G2882" s="1">
        <v>-365.38</v>
      </c>
      <c r="H2882" t="s">
        <v>3280</v>
      </c>
      <c r="J2882" s="18" t="s">
        <v>4327</v>
      </c>
    </row>
    <row r="2883" spans="3:10" x14ac:dyDescent="0.25">
      <c r="C2883" s="17" t="str">
        <f t="shared" si="45"/>
        <v>28.801011.-8972.9349..CLEAR SCHEDULE.</v>
      </c>
      <c r="E2883">
        <v>28</v>
      </c>
      <c r="F2883">
        <v>801011</v>
      </c>
      <c r="G2883" s="2">
        <v>-89.72</v>
      </c>
      <c r="H2883" t="s">
        <v>3281</v>
      </c>
      <c r="J2883" s="18" t="s">
        <v>4327</v>
      </c>
    </row>
    <row r="2884" spans="3:10" x14ac:dyDescent="0.25">
      <c r="C2884" s="17" t="str">
        <f t="shared" si="45"/>
        <v>28.801011.-106093.9352..CLEAR SCHEDULE.</v>
      </c>
      <c r="E2884">
        <v>28</v>
      </c>
      <c r="F2884">
        <v>801011</v>
      </c>
      <c r="G2884" s="1">
        <v>-1060.93</v>
      </c>
      <c r="H2884" t="s">
        <v>3282</v>
      </c>
      <c r="J2884" s="18" t="s">
        <v>4327</v>
      </c>
    </row>
    <row r="2885" spans="3:10" x14ac:dyDescent="0.25">
      <c r="C2885" s="17" t="str">
        <f t="shared" si="45"/>
        <v>28.801011.-55598.9353..CLEAR SCHEDULE.</v>
      </c>
      <c r="E2885">
        <v>28</v>
      </c>
      <c r="F2885">
        <v>801011</v>
      </c>
      <c r="G2885" s="2">
        <v>-555.98</v>
      </c>
      <c r="H2885" t="s">
        <v>3283</v>
      </c>
      <c r="J2885" s="18" t="s">
        <v>4327</v>
      </c>
    </row>
    <row r="2886" spans="3:10" x14ac:dyDescent="0.25">
      <c r="C2886" s="17" t="str">
        <f t="shared" si="45"/>
        <v>28.801011.-14387.9355..CLEAR SCHEDULE.</v>
      </c>
      <c r="E2886">
        <v>28</v>
      </c>
      <c r="F2886">
        <v>801011</v>
      </c>
      <c r="G2886" s="1">
        <v>-143.87</v>
      </c>
      <c r="H2886" t="s">
        <v>3284</v>
      </c>
      <c r="J2886" s="18" t="s">
        <v>4327</v>
      </c>
    </row>
    <row r="2887" spans="3:10" x14ac:dyDescent="0.25">
      <c r="C2887" s="17" t="str">
        <f t="shared" si="45"/>
        <v>28.801011.-4800.9359..CLEAR SCHEDULE.</v>
      </c>
      <c r="E2887">
        <v>28</v>
      </c>
      <c r="F2887">
        <v>801011</v>
      </c>
      <c r="G2887" s="2">
        <v>-48</v>
      </c>
      <c r="H2887" t="s">
        <v>3285</v>
      </c>
      <c r="J2887" s="18" t="s">
        <v>4327</v>
      </c>
    </row>
    <row r="2888" spans="3:10" x14ac:dyDescent="0.25">
      <c r="C2888" s="17" t="str">
        <f t="shared" si="45"/>
        <v>28.801011.-31531.9362..CLEAR SCHEDULE.</v>
      </c>
      <c r="E2888">
        <v>28</v>
      </c>
      <c r="F2888">
        <v>801011</v>
      </c>
      <c r="G2888" s="1">
        <v>-315.31</v>
      </c>
      <c r="H2888" t="s">
        <v>3286</v>
      </c>
      <c r="J2888" s="18" t="s">
        <v>4327</v>
      </c>
    </row>
    <row r="2889" spans="3:10" x14ac:dyDescent="0.25">
      <c r="C2889" s="17" t="str">
        <f t="shared" si="45"/>
        <v>28.801011.-1909.9366..CLEAR SCHEDULE.</v>
      </c>
      <c r="E2889">
        <v>28</v>
      </c>
      <c r="F2889">
        <v>801011</v>
      </c>
      <c r="G2889" s="2">
        <v>-19.09</v>
      </c>
      <c r="H2889" t="s">
        <v>3287</v>
      </c>
      <c r="J2889" s="18" t="s">
        <v>4327</v>
      </c>
    </row>
    <row r="2890" spans="3:10" x14ac:dyDescent="0.25">
      <c r="C2890" s="17" t="str">
        <f t="shared" si="45"/>
        <v>28.801011.-36836.9367..CLEAR SCHEDULE.</v>
      </c>
      <c r="E2890">
        <v>28</v>
      </c>
      <c r="F2890">
        <v>801011</v>
      </c>
      <c r="G2890" s="1">
        <v>-368.36</v>
      </c>
      <c r="H2890" t="s">
        <v>3288</v>
      </c>
      <c r="J2890" s="18" t="s">
        <v>4327</v>
      </c>
    </row>
    <row r="2891" spans="3:10" x14ac:dyDescent="0.25">
      <c r="C2891" s="17" t="str">
        <f t="shared" ref="C2891:C2954" si="46">IF(G2891=0,"",(E2891&amp;"."&amp;F2891&amp;"."&amp;G2891*100&amp;"."&amp;H2891&amp;"."&amp;I2891&amp;"."&amp;J2891&amp;"."&amp;K2891))</f>
        <v>28.801011.-26654.9370..CLEAR SCHEDULE.</v>
      </c>
      <c r="E2891">
        <v>28</v>
      </c>
      <c r="F2891">
        <v>801011</v>
      </c>
      <c r="G2891" s="2">
        <v>-266.54000000000002</v>
      </c>
      <c r="H2891" t="s">
        <v>3289</v>
      </c>
      <c r="J2891" s="18" t="s">
        <v>4327</v>
      </c>
    </row>
    <row r="2892" spans="3:10" x14ac:dyDescent="0.25">
      <c r="C2892" s="17" t="str">
        <f t="shared" si="46"/>
        <v>28.801011.-28805.9372..CLEAR SCHEDULE.</v>
      </c>
      <c r="E2892">
        <v>28</v>
      </c>
      <c r="F2892">
        <v>801011</v>
      </c>
      <c r="G2892" s="1">
        <v>-288.05</v>
      </c>
      <c r="H2892" t="s">
        <v>3290</v>
      </c>
      <c r="J2892" s="18" t="s">
        <v>4327</v>
      </c>
    </row>
    <row r="2893" spans="3:10" x14ac:dyDescent="0.25">
      <c r="C2893" s="17" t="str">
        <f t="shared" si="46"/>
        <v>28.801011.-39966.9373..CLEAR SCHEDULE.</v>
      </c>
      <c r="E2893">
        <v>28</v>
      </c>
      <c r="F2893">
        <v>801011</v>
      </c>
      <c r="G2893" s="2">
        <v>-399.66</v>
      </c>
      <c r="H2893" t="s">
        <v>3291</v>
      </c>
      <c r="J2893" s="18" t="s">
        <v>4327</v>
      </c>
    </row>
    <row r="2894" spans="3:10" x14ac:dyDescent="0.25">
      <c r="C2894" s="17" t="str">
        <f t="shared" si="46"/>
        <v>28.801011.-2820.9376..CLEAR SCHEDULE.</v>
      </c>
      <c r="E2894">
        <v>28</v>
      </c>
      <c r="F2894">
        <v>801011</v>
      </c>
      <c r="G2894" s="1">
        <v>-28.2</v>
      </c>
      <c r="H2894" t="s">
        <v>3292</v>
      </c>
      <c r="J2894" s="18" t="s">
        <v>4327</v>
      </c>
    </row>
    <row r="2895" spans="3:10" x14ac:dyDescent="0.25">
      <c r="C2895" s="17" t="str">
        <f t="shared" si="46"/>
        <v>28.801011.-23704.9377..CLEAR SCHEDULE.</v>
      </c>
      <c r="E2895">
        <v>28</v>
      </c>
      <c r="F2895">
        <v>801011</v>
      </c>
      <c r="G2895" s="2">
        <v>-237.04</v>
      </c>
      <c r="H2895" t="s">
        <v>3293</v>
      </c>
      <c r="J2895" s="18" t="s">
        <v>4327</v>
      </c>
    </row>
    <row r="2896" spans="3:10" x14ac:dyDescent="0.25">
      <c r="C2896" s="17" t="str">
        <f t="shared" si="46"/>
        <v>28.801011.-15945.9378..CLEAR SCHEDULE.</v>
      </c>
      <c r="E2896">
        <v>28</v>
      </c>
      <c r="F2896">
        <v>801011</v>
      </c>
      <c r="G2896" s="1">
        <v>-159.44999999999999</v>
      </c>
      <c r="H2896" t="s">
        <v>3294</v>
      </c>
      <c r="J2896" s="18" t="s">
        <v>4327</v>
      </c>
    </row>
    <row r="2897" spans="3:10" x14ac:dyDescent="0.25">
      <c r="C2897" s="17" t="str">
        <f t="shared" si="46"/>
        <v>28.801011.-91401.9379..CLEAR SCHEDULE.</v>
      </c>
      <c r="E2897">
        <v>28</v>
      </c>
      <c r="F2897">
        <v>801011</v>
      </c>
      <c r="G2897" s="2">
        <v>-914.01</v>
      </c>
      <c r="H2897" t="s">
        <v>3295</v>
      </c>
      <c r="J2897" s="18" t="s">
        <v>4327</v>
      </c>
    </row>
    <row r="2898" spans="3:10" x14ac:dyDescent="0.25">
      <c r="C2898" s="17" t="str">
        <f t="shared" si="46"/>
        <v>28.801011.-31072.9380..CLEAR SCHEDULE.</v>
      </c>
      <c r="E2898">
        <v>28</v>
      </c>
      <c r="F2898">
        <v>801011</v>
      </c>
      <c r="G2898" s="1">
        <v>-310.72000000000003</v>
      </c>
      <c r="H2898" t="s">
        <v>3296</v>
      </c>
      <c r="J2898" s="18" t="s">
        <v>4327</v>
      </c>
    </row>
    <row r="2899" spans="3:10" x14ac:dyDescent="0.25">
      <c r="C2899" s="17" t="str">
        <f t="shared" si="46"/>
        <v>28.801011.-35962.9381..CLEAR SCHEDULE.</v>
      </c>
      <c r="E2899">
        <v>28</v>
      </c>
      <c r="F2899">
        <v>801011</v>
      </c>
      <c r="G2899" s="2">
        <v>-359.62</v>
      </c>
      <c r="H2899" t="s">
        <v>3297</v>
      </c>
      <c r="J2899" s="18" t="s">
        <v>4327</v>
      </c>
    </row>
    <row r="2900" spans="3:10" x14ac:dyDescent="0.25">
      <c r="C2900" s="17" t="str">
        <f t="shared" si="46"/>
        <v>28.801011.-45219.9382..CLEAR SCHEDULE.</v>
      </c>
      <c r="E2900">
        <v>28</v>
      </c>
      <c r="F2900">
        <v>801011</v>
      </c>
      <c r="G2900" s="1">
        <v>-452.19</v>
      </c>
      <c r="H2900" t="s">
        <v>3298</v>
      </c>
      <c r="J2900" s="18" t="s">
        <v>4327</v>
      </c>
    </row>
    <row r="2901" spans="3:10" x14ac:dyDescent="0.25">
      <c r="C2901" s="17" t="str">
        <f t="shared" si="46"/>
        <v>28.801011.-25540.9383..CLEAR SCHEDULE.</v>
      </c>
      <c r="E2901">
        <v>28</v>
      </c>
      <c r="F2901">
        <v>801011</v>
      </c>
      <c r="G2901" s="2">
        <v>-255.4</v>
      </c>
      <c r="H2901" t="s">
        <v>3299</v>
      </c>
      <c r="J2901" s="18" t="s">
        <v>4327</v>
      </c>
    </row>
    <row r="2902" spans="3:10" x14ac:dyDescent="0.25">
      <c r="C2902" s="17" t="str">
        <f t="shared" si="46"/>
        <v>28.801011.-14387.9385..CLEAR SCHEDULE.</v>
      </c>
      <c r="E2902">
        <v>28</v>
      </c>
      <c r="F2902">
        <v>801011</v>
      </c>
      <c r="G2902" s="1">
        <v>-143.87</v>
      </c>
      <c r="H2902" t="s">
        <v>3300</v>
      </c>
      <c r="J2902" s="18" t="s">
        <v>4327</v>
      </c>
    </row>
    <row r="2903" spans="3:10" x14ac:dyDescent="0.25">
      <c r="C2903" s="17" t="str">
        <f t="shared" si="46"/>
        <v>28.801011.-40399.9386..CLEAR SCHEDULE.</v>
      </c>
      <c r="E2903">
        <v>28</v>
      </c>
      <c r="F2903">
        <v>801011</v>
      </c>
      <c r="G2903" s="2">
        <v>-403.99</v>
      </c>
      <c r="H2903" t="s">
        <v>3301</v>
      </c>
      <c r="J2903" s="18" t="s">
        <v>4327</v>
      </c>
    </row>
    <row r="2904" spans="3:10" x14ac:dyDescent="0.25">
      <c r="C2904" s="17" t="str">
        <f t="shared" si="46"/>
        <v>28.801011.-29613.9388..CLEAR SCHEDULE.</v>
      </c>
      <c r="E2904">
        <v>28</v>
      </c>
      <c r="F2904">
        <v>801011</v>
      </c>
      <c r="G2904" s="1">
        <v>-296.13</v>
      </c>
      <c r="H2904" t="s">
        <v>3302</v>
      </c>
      <c r="J2904" s="18" t="s">
        <v>4327</v>
      </c>
    </row>
    <row r="2905" spans="3:10" x14ac:dyDescent="0.25">
      <c r="C2905" s="17" t="str">
        <f t="shared" si="46"/>
        <v>28.801011.-19742.9389..CLEAR SCHEDULE.</v>
      </c>
      <c r="E2905">
        <v>28</v>
      </c>
      <c r="F2905">
        <v>801011</v>
      </c>
      <c r="G2905" s="2">
        <v>-197.42</v>
      </c>
      <c r="H2905" t="s">
        <v>3303</v>
      </c>
      <c r="J2905" s="18" t="s">
        <v>4327</v>
      </c>
    </row>
    <row r="2906" spans="3:10" x14ac:dyDescent="0.25">
      <c r="C2906" s="17" t="str">
        <f t="shared" si="46"/>
        <v>28.801011.-14387.9391..CLEAR SCHEDULE.</v>
      </c>
      <c r="E2906">
        <v>28</v>
      </c>
      <c r="F2906">
        <v>801011</v>
      </c>
      <c r="G2906" s="1">
        <v>-143.87</v>
      </c>
      <c r="H2906" t="s">
        <v>3304</v>
      </c>
      <c r="J2906" s="18" t="s">
        <v>4327</v>
      </c>
    </row>
    <row r="2907" spans="3:10" x14ac:dyDescent="0.25">
      <c r="C2907" s="17" t="str">
        <f t="shared" si="46"/>
        <v>28.801011.-57456.9393..CLEAR SCHEDULE.</v>
      </c>
      <c r="E2907">
        <v>28</v>
      </c>
      <c r="F2907">
        <v>801011</v>
      </c>
      <c r="G2907" s="2">
        <v>-574.55999999999995</v>
      </c>
      <c r="H2907" t="s">
        <v>3305</v>
      </c>
      <c r="J2907" s="18" t="s">
        <v>4327</v>
      </c>
    </row>
    <row r="2908" spans="3:10" x14ac:dyDescent="0.25">
      <c r="C2908" s="17" t="str">
        <f t="shared" si="46"/>
        <v>28.801011.-45798.9394..CLEAR SCHEDULE.</v>
      </c>
      <c r="E2908">
        <v>28</v>
      </c>
      <c r="F2908">
        <v>801011</v>
      </c>
      <c r="G2908" s="1">
        <v>-457.98</v>
      </c>
      <c r="H2908" t="s">
        <v>3306</v>
      </c>
      <c r="J2908" s="18" t="s">
        <v>4327</v>
      </c>
    </row>
    <row r="2909" spans="3:10" x14ac:dyDescent="0.25">
      <c r="C2909" s="17" t="str">
        <f t="shared" si="46"/>
        <v>28.801011.-25321.9395..CLEAR SCHEDULE.</v>
      </c>
      <c r="E2909">
        <v>28</v>
      </c>
      <c r="F2909">
        <v>801011</v>
      </c>
      <c r="G2909" s="2">
        <v>-253.21</v>
      </c>
      <c r="H2909" t="s">
        <v>3307</v>
      </c>
      <c r="J2909" s="18" t="s">
        <v>4327</v>
      </c>
    </row>
    <row r="2910" spans="3:10" x14ac:dyDescent="0.25">
      <c r="C2910" s="17" t="str">
        <f t="shared" si="46"/>
        <v>28.801011.-76150.9396..CLEAR SCHEDULE.</v>
      </c>
      <c r="E2910">
        <v>28</v>
      </c>
      <c r="F2910">
        <v>801011</v>
      </c>
      <c r="G2910" s="1">
        <v>-761.5</v>
      </c>
      <c r="H2910" t="s">
        <v>3308</v>
      </c>
      <c r="J2910" s="18" t="s">
        <v>4327</v>
      </c>
    </row>
    <row r="2911" spans="3:10" x14ac:dyDescent="0.25">
      <c r="C2911" s="17" t="str">
        <f t="shared" si="46"/>
        <v>28.801011.-14015.9397..CLEAR SCHEDULE.</v>
      </c>
      <c r="E2911">
        <v>28</v>
      </c>
      <c r="F2911">
        <v>801011</v>
      </c>
      <c r="G2911" s="2">
        <v>-140.15</v>
      </c>
      <c r="H2911" t="s">
        <v>3309</v>
      </c>
      <c r="J2911" s="18" t="s">
        <v>4327</v>
      </c>
    </row>
    <row r="2912" spans="3:10" x14ac:dyDescent="0.25">
      <c r="C2912" s="17" t="str">
        <f t="shared" si="46"/>
        <v>28.801011.-13280.9400..CLEAR SCHEDULE.</v>
      </c>
      <c r="E2912">
        <v>28</v>
      </c>
      <c r="F2912">
        <v>801011</v>
      </c>
      <c r="G2912" s="1">
        <v>-132.80000000000001</v>
      </c>
      <c r="H2912" t="s">
        <v>3310</v>
      </c>
      <c r="J2912" s="18" t="s">
        <v>4327</v>
      </c>
    </row>
    <row r="2913" spans="3:10" x14ac:dyDescent="0.25">
      <c r="C2913" s="17" t="str">
        <f t="shared" si="46"/>
        <v>28.801011.-57514.9401..CLEAR SCHEDULE.</v>
      </c>
      <c r="E2913">
        <v>28</v>
      </c>
      <c r="F2913">
        <v>801011</v>
      </c>
      <c r="G2913" s="2">
        <v>-575.14</v>
      </c>
      <c r="H2913" t="s">
        <v>3311</v>
      </c>
      <c r="J2913" s="18" t="s">
        <v>4327</v>
      </c>
    </row>
    <row r="2914" spans="3:10" x14ac:dyDescent="0.25">
      <c r="C2914" s="17" t="str">
        <f t="shared" si="46"/>
        <v>28.801011.-28714.9402..CLEAR SCHEDULE.</v>
      </c>
      <c r="E2914">
        <v>28</v>
      </c>
      <c r="F2914">
        <v>801011</v>
      </c>
      <c r="G2914" s="1">
        <v>-287.14</v>
      </c>
      <c r="H2914" t="s">
        <v>3312</v>
      </c>
      <c r="J2914" s="18" t="s">
        <v>4327</v>
      </c>
    </row>
    <row r="2915" spans="3:10" x14ac:dyDescent="0.25">
      <c r="C2915" s="17" t="str">
        <f t="shared" si="46"/>
        <v>28.801011.-15541.9403..CLEAR SCHEDULE.</v>
      </c>
      <c r="E2915">
        <v>28</v>
      </c>
      <c r="F2915">
        <v>801011</v>
      </c>
      <c r="G2915" s="2">
        <v>-155.41</v>
      </c>
      <c r="H2915" t="s">
        <v>3313</v>
      </c>
      <c r="J2915" s="18" t="s">
        <v>4327</v>
      </c>
    </row>
    <row r="2916" spans="3:10" x14ac:dyDescent="0.25">
      <c r="C2916" s="17" t="str">
        <f t="shared" si="46"/>
        <v>28.801011.-21747.9404..CLEAR SCHEDULE.</v>
      </c>
      <c r="E2916">
        <v>28</v>
      </c>
      <c r="F2916">
        <v>801011</v>
      </c>
      <c r="G2916" s="1">
        <v>-217.47</v>
      </c>
      <c r="H2916" t="s">
        <v>3314</v>
      </c>
      <c r="J2916" s="18" t="s">
        <v>4327</v>
      </c>
    </row>
    <row r="2917" spans="3:10" x14ac:dyDescent="0.25">
      <c r="C2917" s="17" t="str">
        <f t="shared" si="46"/>
        <v>28.801011.-10530.9405..CLEAR SCHEDULE.</v>
      </c>
      <c r="E2917">
        <v>28</v>
      </c>
      <c r="F2917">
        <v>801011</v>
      </c>
      <c r="G2917" s="2">
        <v>-105.3</v>
      </c>
      <c r="H2917" t="s">
        <v>3315</v>
      </c>
      <c r="J2917" s="18" t="s">
        <v>4327</v>
      </c>
    </row>
    <row r="2918" spans="3:10" x14ac:dyDescent="0.25">
      <c r="C2918" s="17" t="str">
        <f t="shared" si="46"/>
        <v>28.801011.-19742.9406..CLEAR SCHEDULE.</v>
      </c>
      <c r="E2918">
        <v>28</v>
      </c>
      <c r="F2918">
        <v>801011</v>
      </c>
      <c r="G2918" s="1">
        <v>-197.42</v>
      </c>
      <c r="H2918" t="s">
        <v>3316</v>
      </c>
      <c r="J2918" s="18" t="s">
        <v>4327</v>
      </c>
    </row>
    <row r="2919" spans="3:10" x14ac:dyDescent="0.25">
      <c r="C2919" s="17" t="str">
        <f t="shared" si="46"/>
        <v>28.801011.-22371.9409..CLEAR SCHEDULE.</v>
      </c>
      <c r="E2919">
        <v>28</v>
      </c>
      <c r="F2919">
        <v>801011</v>
      </c>
      <c r="G2919" s="2">
        <v>-223.71</v>
      </c>
      <c r="H2919" t="s">
        <v>3317</v>
      </c>
      <c r="J2919" s="18" t="s">
        <v>4327</v>
      </c>
    </row>
    <row r="2920" spans="3:10" x14ac:dyDescent="0.25">
      <c r="C2920" s="17" t="str">
        <f t="shared" si="46"/>
        <v>28.801011.-6784.9412..CLEAR SCHEDULE.</v>
      </c>
      <c r="E2920">
        <v>28</v>
      </c>
      <c r="F2920">
        <v>801011</v>
      </c>
      <c r="G2920" s="1">
        <v>-67.84</v>
      </c>
      <c r="H2920" t="s">
        <v>3318</v>
      </c>
      <c r="J2920" s="18" t="s">
        <v>4327</v>
      </c>
    </row>
    <row r="2921" spans="3:10" x14ac:dyDescent="0.25">
      <c r="C2921" s="17" t="str">
        <f t="shared" si="46"/>
        <v>28.801011.-31128.9413..CLEAR SCHEDULE.</v>
      </c>
      <c r="E2921">
        <v>28</v>
      </c>
      <c r="F2921">
        <v>801011</v>
      </c>
      <c r="G2921" s="2">
        <v>-311.27999999999997</v>
      </c>
      <c r="H2921" t="s">
        <v>3319</v>
      </c>
      <c r="J2921" s="18" t="s">
        <v>4327</v>
      </c>
    </row>
    <row r="2922" spans="3:10" x14ac:dyDescent="0.25">
      <c r="C2922" s="17" t="str">
        <f t="shared" si="46"/>
        <v>28.801011.-5415.9414..CLEAR SCHEDULE.</v>
      </c>
      <c r="E2922">
        <v>28</v>
      </c>
      <c r="F2922">
        <v>801011</v>
      </c>
      <c r="G2922" s="1">
        <v>-54.15</v>
      </c>
      <c r="H2922" t="s">
        <v>3320</v>
      </c>
      <c r="J2922" s="18" t="s">
        <v>4327</v>
      </c>
    </row>
    <row r="2923" spans="3:10" x14ac:dyDescent="0.25">
      <c r="C2923" s="17" t="str">
        <f t="shared" si="46"/>
        <v>28.801011.-40719.9416..CLEAR SCHEDULE.</v>
      </c>
      <c r="E2923">
        <v>28</v>
      </c>
      <c r="F2923">
        <v>801011</v>
      </c>
      <c r="G2923" s="2">
        <v>-407.19</v>
      </c>
      <c r="H2923" t="s">
        <v>3321</v>
      </c>
      <c r="J2923" s="18" t="s">
        <v>4327</v>
      </c>
    </row>
    <row r="2924" spans="3:10" x14ac:dyDescent="0.25">
      <c r="C2924" s="17" t="str">
        <f t="shared" si="46"/>
        <v>28.801011.-19742.9418..CLEAR SCHEDULE.</v>
      </c>
      <c r="E2924">
        <v>28</v>
      </c>
      <c r="F2924">
        <v>801011</v>
      </c>
      <c r="G2924" s="1">
        <v>-197.42</v>
      </c>
      <c r="H2924" t="s">
        <v>3322</v>
      </c>
      <c r="J2924" s="18" t="s">
        <v>4327</v>
      </c>
    </row>
    <row r="2925" spans="3:10" x14ac:dyDescent="0.25">
      <c r="C2925" s="17" t="str">
        <f t="shared" si="46"/>
        <v>28.801011.-8972.9422..CLEAR SCHEDULE.</v>
      </c>
      <c r="E2925">
        <v>28</v>
      </c>
      <c r="F2925">
        <v>801011</v>
      </c>
      <c r="G2925" s="2">
        <v>-89.72</v>
      </c>
      <c r="H2925" t="s">
        <v>3323</v>
      </c>
      <c r="J2925" s="18" t="s">
        <v>4327</v>
      </c>
    </row>
    <row r="2926" spans="3:10" x14ac:dyDescent="0.25">
      <c r="C2926" s="17" t="str">
        <f t="shared" si="46"/>
        <v>28.801011.-19250.9424..CLEAR SCHEDULE.</v>
      </c>
      <c r="E2926">
        <v>28</v>
      </c>
      <c r="F2926">
        <v>801011</v>
      </c>
      <c r="G2926" s="1">
        <v>-192.5</v>
      </c>
      <c r="H2926" t="s">
        <v>3324</v>
      </c>
      <c r="J2926" s="18" t="s">
        <v>4327</v>
      </c>
    </row>
    <row r="2927" spans="3:10" x14ac:dyDescent="0.25">
      <c r="C2927" s="17" t="str">
        <f t="shared" si="46"/>
        <v>28.801011.-12451.9425..CLEAR SCHEDULE.</v>
      </c>
      <c r="E2927">
        <v>28</v>
      </c>
      <c r="F2927">
        <v>801011</v>
      </c>
      <c r="G2927" s="2">
        <v>-124.51</v>
      </c>
      <c r="H2927" t="s">
        <v>3325</v>
      </c>
      <c r="J2927" s="18" t="s">
        <v>4327</v>
      </c>
    </row>
    <row r="2928" spans="3:10" x14ac:dyDescent="0.25">
      <c r="C2928" s="17" t="str">
        <f t="shared" si="46"/>
        <v>28.801011.-164192.9426..CLEAR SCHEDULE.</v>
      </c>
      <c r="E2928">
        <v>28</v>
      </c>
      <c r="F2928">
        <v>801011</v>
      </c>
      <c r="G2928" s="1">
        <v>-1641.92</v>
      </c>
      <c r="H2928" t="s">
        <v>3326</v>
      </c>
      <c r="J2928" s="18" t="s">
        <v>4327</v>
      </c>
    </row>
    <row r="2929" spans="3:10" x14ac:dyDescent="0.25">
      <c r="C2929" s="17" t="str">
        <f t="shared" si="46"/>
        <v>28.801011.-122147.9428..CLEAR SCHEDULE.</v>
      </c>
      <c r="E2929">
        <v>28</v>
      </c>
      <c r="F2929">
        <v>801011</v>
      </c>
      <c r="G2929" s="2">
        <v>-1221.47</v>
      </c>
      <c r="H2929" t="s">
        <v>3327</v>
      </c>
      <c r="J2929" s="18" t="s">
        <v>4327</v>
      </c>
    </row>
    <row r="2930" spans="3:10" x14ac:dyDescent="0.25">
      <c r="C2930" s="17" t="str">
        <f t="shared" si="46"/>
        <v>28.801011.-43119.9432..CLEAR SCHEDULE.</v>
      </c>
      <c r="E2930">
        <v>28</v>
      </c>
      <c r="F2930">
        <v>801011</v>
      </c>
      <c r="G2930" s="1">
        <v>-431.19</v>
      </c>
      <c r="H2930" t="s">
        <v>3328</v>
      </c>
      <c r="J2930" s="18" t="s">
        <v>4327</v>
      </c>
    </row>
    <row r="2931" spans="3:10" x14ac:dyDescent="0.25">
      <c r="C2931" s="17" t="str">
        <f t="shared" si="46"/>
        <v>28.801011.-22304.9433..CLEAR SCHEDULE.</v>
      </c>
      <c r="E2931">
        <v>28</v>
      </c>
      <c r="F2931">
        <v>801011</v>
      </c>
      <c r="G2931" s="2">
        <v>-223.04</v>
      </c>
      <c r="H2931" t="s">
        <v>3329</v>
      </c>
      <c r="J2931" s="18" t="s">
        <v>4327</v>
      </c>
    </row>
    <row r="2932" spans="3:10" x14ac:dyDescent="0.25">
      <c r="C2932" s="17" t="str">
        <f t="shared" si="46"/>
        <v>28.801011.-70924.9436..CLEAR SCHEDULE.</v>
      </c>
      <c r="E2932">
        <v>28</v>
      </c>
      <c r="F2932">
        <v>801011</v>
      </c>
      <c r="G2932" s="1">
        <v>-709.24</v>
      </c>
      <c r="H2932" t="s">
        <v>3330</v>
      </c>
      <c r="J2932" s="18" t="s">
        <v>4327</v>
      </c>
    </row>
    <row r="2933" spans="3:10" x14ac:dyDescent="0.25">
      <c r="C2933" s="17" t="str">
        <f t="shared" si="46"/>
        <v>28.801011.-17255.9439..CLEAR SCHEDULE.</v>
      </c>
      <c r="E2933">
        <v>28</v>
      </c>
      <c r="F2933">
        <v>801011</v>
      </c>
      <c r="G2933" s="2">
        <v>-172.55</v>
      </c>
      <c r="H2933" t="s">
        <v>3331</v>
      </c>
      <c r="J2933" s="18" t="s">
        <v>4327</v>
      </c>
    </row>
    <row r="2934" spans="3:10" x14ac:dyDescent="0.25">
      <c r="C2934" s="17" t="str">
        <f t="shared" si="46"/>
        <v>28.801011.-32662.9440..CLEAR SCHEDULE.</v>
      </c>
      <c r="E2934">
        <v>28</v>
      </c>
      <c r="F2934">
        <v>801011</v>
      </c>
      <c r="G2934" s="1">
        <v>-326.62</v>
      </c>
      <c r="H2934" t="s">
        <v>3332</v>
      </c>
      <c r="J2934" s="18" t="s">
        <v>4327</v>
      </c>
    </row>
    <row r="2935" spans="3:10" x14ac:dyDescent="0.25">
      <c r="C2935" s="17" t="str">
        <f t="shared" si="46"/>
        <v>28.801011.-16724.9441..CLEAR SCHEDULE.</v>
      </c>
      <c r="E2935">
        <v>28</v>
      </c>
      <c r="F2935">
        <v>801011</v>
      </c>
      <c r="G2935" s="2">
        <v>-167.24</v>
      </c>
      <c r="H2935" t="s">
        <v>3333</v>
      </c>
      <c r="J2935" s="18" t="s">
        <v>4327</v>
      </c>
    </row>
    <row r="2936" spans="3:10" x14ac:dyDescent="0.25">
      <c r="C2936" s="17" t="str">
        <f t="shared" si="46"/>
        <v>28.801011.-8972.9442..CLEAR SCHEDULE.</v>
      </c>
      <c r="E2936">
        <v>28</v>
      </c>
      <c r="F2936">
        <v>801011</v>
      </c>
      <c r="G2936" s="1">
        <v>-89.72</v>
      </c>
      <c r="H2936" t="s">
        <v>3334</v>
      </c>
      <c r="J2936" s="18" t="s">
        <v>4327</v>
      </c>
    </row>
    <row r="2937" spans="3:10" x14ac:dyDescent="0.25">
      <c r="C2937" s="17" t="str">
        <f t="shared" si="46"/>
        <v>28.801011.-15624.9443..CLEAR SCHEDULE.</v>
      </c>
      <c r="E2937">
        <v>28</v>
      </c>
      <c r="F2937">
        <v>801011</v>
      </c>
      <c r="G2937" s="2">
        <v>-156.24</v>
      </c>
      <c r="H2937" t="s">
        <v>3335</v>
      </c>
      <c r="J2937" s="18" t="s">
        <v>4327</v>
      </c>
    </row>
    <row r="2938" spans="3:10" x14ac:dyDescent="0.25">
      <c r="C2938" s="17" t="str">
        <f t="shared" si="46"/>
        <v>28.801011.-15166.9445..CLEAR SCHEDULE.</v>
      </c>
      <c r="E2938">
        <v>28</v>
      </c>
      <c r="F2938">
        <v>801011</v>
      </c>
      <c r="G2938" s="1">
        <v>-151.66</v>
      </c>
      <c r="H2938" t="s">
        <v>3336</v>
      </c>
      <c r="J2938" s="18" t="s">
        <v>4327</v>
      </c>
    </row>
    <row r="2939" spans="3:10" x14ac:dyDescent="0.25">
      <c r="C2939" s="17" t="str">
        <f t="shared" si="46"/>
        <v>28.801011.-168383.9446..CLEAR SCHEDULE.</v>
      </c>
      <c r="E2939">
        <v>28</v>
      </c>
      <c r="F2939">
        <v>801011</v>
      </c>
      <c r="G2939" s="2">
        <v>-1683.83</v>
      </c>
      <c r="H2939" t="s">
        <v>3337</v>
      </c>
      <c r="J2939" s="18" t="s">
        <v>4327</v>
      </c>
    </row>
    <row r="2940" spans="3:10" x14ac:dyDescent="0.25">
      <c r="C2940" s="17" t="str">
        <f t="shared" si="46"/>
        <v>28.801011.-12951.9447..CLEAR SCHEDULE.</v>
      </c>
      <c r="E2940">
        <v>28</v>
      </c>
      <c r="F2940">
        <v>801011</v>
      </c>
      <c r="G2940" s="1">
        <v>-129.51</v>
      </c>
      <c r="H2940" t="s">
        <v>3338</v>
      </c>
      <c r="J2940" s="18" t="s">
        <v>4327</v>
      </c>
    </row>
    <row r="2941" spans="3:10" x14ac:dyDescent="0.25">
      <c r="C2941" s="17" t="str">
        <f t="shared" si="46"/>
        <v>28.801011.-23000.9448..CLEAR SCHEDULE.</v>
      </c>
      <c r="E2941">
        <v>28</v>
      </c>
      <c r="F2941">
        <v>801011</v>
      </c>
      <c r="G2941" s="2">
        <v>-230</v>
      </c>
      <c r="H2941" t="s">
        <v>3339</v>
      </c>
      <c r="J2941" s="18" t="s">
        <v>4327</v>
      </c>
    </row>
    <row r="2942" spans="3:10" x14ac:dyDescent="0.25">
      <c r="C2942" s="17" t="str">
        <f t="shared" si="46"/>
        <v>28.801011.-15166.9449..CLEAR SCHEDULE.</v>
      </c>
      <c r="E2942">
        <v>28</v>
      </c>
      <c r="F2942">
        <v>801011</v>
      </c>
      <c r="G2942" s="1">
        <v>-151.66</v>
      </c>
      <c r="H2942" t="s">
        <v>3340</v>
      </c>
      <c r="J2942" s="18" t="s">
        <v>4327</v>
      </c>
    </row>
    <row r="2943" spans="3:10" x14ac:dyDescent="0.25">
      <c r="C2943" s="17" t="str">
        <f t="shared" si="46"/>
        <v>28.801011.-8192.9450..CLEAR SCHEDULE.</v>
      </c>
      <c r="E2943">
        <v>28</v>
      </c>
      <c r="F2943">
        <v>801011</v>
      </c>
      <c r="G2943" s="2">
        <v>-81.92</v>
      </c>
      <c r="H2943" t="s">
        <v>3341</v>
      </c>
      <c r="J2943" s="18" t="s">
        <v>4327</v>
      </c>
    </row>
    <row r="2944" spans="3:10" x14ac:dyDescent="0.25">
      <c r="C2944" s="17" t="str">
        <f t="shared" si="46"/>
        <v>28.801011.-6136.9454..CLEAR SCHEDULE.</v>
      </c>
      <c r="E2944">
        <v>28</v>
      </c>
      <c r="F2944">
        <v>801011</v>
      </c>
      <c r="G2944" s="1">
        <v>-61.36</v>
      </c>
      <c r="H2944" t="s">
        <v>3342</v>
      </c>
      <c r="J2944" s="18" t="s">
        <v>4327</v>
      </c>
    </row>
    <row r="2945" spans="3:10" x14ac:dyDescent="0.25">
      <c r="C2945" s="17" t="str">
        <f t="shared" si="46"/>
        <v>28.801011.-14387.9456..CLEAR SCHEDULE.</v>
      </c>
      <c r="E2945">
        <v>28</v>
      </c>
      <c r="F2945">
        <v>801011</v>
      </c>
      <c r="G2945" s="2">
        <v>-143.87</v>
      </c>
      <c r="H2945" t="s">
        <v>3343</v>
      </c>
      <c r="J2945" s="18" t="s">
        <v>4327</v>
      </c>
    </row>
    <row r="2946" spans="3:10" x14ac:dyDescent="0.25">
      <c r="C2946" s="17" t="str">
        <f t="shared" si="46"/>
        <v>28.801011.-23078.9458..CLEAR SCHEDULE.</v>
      </c>
      <c r="E2946">
        <v>28</v>
      </c>
      <c r="F2946">
        <v>801011</v>
      </c>
      <c r="G2946" s="1">
        <v>-230.78</v>
      </c>
      <c r="H2946" t="s">
        <v>3344</v>
      </c>
      <c r="J2946" s="18" t="s">
        <v>4327</v>
      </c>
    </row>
    <row r="2947" spans="3:10" x14ac:dyDescent="0.25">
      <c r="C2947" s="17" t="str">
        <f t="shared" si="46"/>
        <v>28.801011.-271087.9460..CLEAR SCHEDULE.</v>
      </c>
      <c r="E2947">
        <v>28</v>
      </c>
      <c r="F2947">
        <v>801011</v>
      </c>
      <c r="G2947" s="2">
        <v>-2710.87</v>
      </c>
      <c r="H2947" t="s">
        <v>3345</v>
      </c>
      <c r="J2947" s="18" t="s">
        <v>4327</v>
      </c>
    </row>
    <row r="2948" spans="3:10" x14ac:dyDescent="0.25">
      <c r="C2948" s="17" t="str">
        <f t="shared" si="46"/>
        <v>28.801011.-8972.9464..CLEAR SCHEDULE.</v>
      </c>
      <c r="E2948">
        <v>28</v>
      </c>
      <c r="F2948">
        <v>801011</v>
      </c>
      <c r="G2948" s="1">
        <v>-89.72</v>
      </c>
      <c r="H2948" t="s">
        <v>3346</v>
      </c>
      <c r="J2948" s="18" t="s">
        <v>4327</v>
      </c>
    </row>
    <row r="2949" spans="3:10" x14ac:dyDescent="0.25">
      <c r="C2949" s="17" t="str">
        <f t="shared" si="46"/>
        <v>28.801011.-15945.9465..CLEAR SCHEDULE.</v>
      </c>
      <c r="E2949">
        <v>28</v>
      </c>
      <c r="F2949">
        <v>801011</v>
      </c>
      <c r="G2949" s="2">
        <v>-159.44999999999999</v>
      </c>
      <c r="H2949" t="s">
        <v>3347</v>
      </c>
      <c r="J2949" s="18" t="s">
        <v>4327</v>
      </c>
    </row>
    <row r="2950" spans="3:10" x14ac:dyDescent="0.25">
      <c r="C2950" s="17" t="str">
        <f t="shared" si="46"/>
        <v>28.801011.-14387.9466..CLEAR SCHEDULE.</v>
      </c>
      <c r="E2950">
        <v>28</v>
      </c>
      <c r="F2950">
        <v>801011</v>
      </c>
      <c r="G2950" s="1">
        <v>-143.87</v>
      </c>
      <c r="H2950" t="s">
        <v>3348</v>
      </c>
      <c r="J2950" s="18" t="s">
        <v>4327</v>
      </c>
    </row>
    <row r="2951" spans="3:10" x14ac:dyDescent="0.25">
      <c r="C2951" s="17" t="str">
        <f t="shared" si="46"/>
        <v>28.801011.-32089.9467..CLEAR SCHEDULE.</v>
      </c>
      <c r="E2951">
        <v>28</v>
      </c>
      <c r="F2951">
        <v>801011</v>
      </c>
      <c r="G2951" s="2">
        <v>-320.89</v>
      </c>
      <c r="H2951" t="s">
        <v>3349</v>
      </c>
      <c r="J2951" s="18" t="s">
        <v>4327</v>
      </c>
    </row>
    <row r="2952" spans="3:10" x14ac:dyDescent="0.25">
      <c r="C2952" s="17" t="str">
        <f t="shared" si="46"/>
        <v>28.801011.-28781.9468..CLEAR SCHEDULE.</v>
      </c>
      <c r="E2952">
        <v>28</v>
      </c>
      <c r="F2952">
        <v>801011</v>
      </c>
      <c r="G2952" s="1">
        <v>-287.81</v>
      </c>
      <c r="H2952" t="s">
        <v>3350</v>
      </c>
      <c r="J2952" s="18" t="s">
        <v>4327</v>
      </c>
    </row>
    <row r="2953" spans="3:10" x14ac:dyDescent="0.25">
      <c r="C2953" s="17" t="str">
        <f t="shared" si="46"/>
        <v>28.801011.-10922.9469..CLEAR SCHEDULE.</v>
      </c>
      <c r="E2953">
        <v>28</v>
      </c>
      <c r="F2953">
        <v>801011</v>
      </c>
      <c r="G2953" s="2">
        <v>-109.22</v>
      </c>
      <c r="H2953" t="s">
        <v>3351</v>
      </c>
      <c r="J2953" s="18" t="s">
        <v>4327</v>
      </c>
    </row>
    <row r="2954" spans="3:10" x14ac:dyDescent="0.25">
      <c r="C2954" s="17" t="str">
        <f t="shared" si="46"/>
        <v>28.801011.-21579.9470..CLEAR SCHEDULE.</v>
      </c>
      <c r="E2954">
        <v>28</v>
      </c>
      <c r="F2954">
        <v>801011</v>
      </c>
      <c r="G2954" s="1">
        <v>-215.79</v>
      </c>
      <c r="H2954" t="s">
        <v>3352</v>
      </c>
      <c r="J2954" s="18" t="s">
        <v>4327</v>
      </c>
    </row>
    <row r="2955" spans="3:10" x14ac:dyDescent="0.25">
      <c r="C2955" s="17" t="str">
        <f t="shared" ref="C2955:C3018" si="47">IF(G2955=0,"",(E2955&amp;"."&amp;F2955&amp;"."&amp;G2955*100&amp;"."&amp;H2955&amp;"."&amp;I2955&amp;"."&amp;J2955&amp;"."&amp;K2955))</f>
        <v>28.801011.-97103.9471..CLEAR SCHEDULE.</v>
      </c>
      <c r="E2955">
        <v>28</v>
      </c>
      <c r="F2955">
        <v>801011</v>
      </c>
      <c r="G2955" s="2">
        <v>-971.03</v>
      </c>
      <c r="H2955" t="s">
        <v>3353</v>
      </c>
      <c r="J2955" s="18" t="s">
        <v>4327</v>
      </c>
    </row>
    <row r="2956" spans="3:10" x14ac:dyDescent="0.25">
      <c r="C2956" s="17" t="str">
        <f t="shared" si="47"/>
        <v>28.801011.-46056.9472..CLEAR SCHEDULE.</v>
      </c>
      <c r="E2956">
        <v>28</v>
      </c>
      <c r="F2956">
        <v>801011</v>
      </c>
      <c r="G2956" s="1">
        <v>-460.56</v>
      </c>
      <c r="H2956" t="s">
        <v>3354</v>
      </c>
      <c r="J2956" s="18" t="s">
        <v>4327</v>
      </c>
    </row>
    <row r="2957" spans="3:10" x14ac:dyDescent="0.25">
      <c r="C2957" s="17" t="str">
        <f t="shared" si="47"/>
        <v>28.801011.-9261.9474..CLEAR SCHEDULE.</v>
      </c>
      <c r="E2957">
        <v>28</v>
      </c>
      <c r="F2957">
        <v>801011</v>
      </c>
      <c r="G2957" s="2">
        <v>-92.61</v>
      </c>
      <c r="H2957" t="s">
        <v>3355</v>
      </c>
      <c r="J2957" s="18" t="s">
        <v>4327</v>
      </c>
    </row>
    <row r="2958" spans="3:10" x14ac:dyDescent="0.25">
      <c r="C2958" s="17" t="str">
        <f t="shared" si="47"/>
        <v>28.801011.-25577.9475..CLEAR SCHEDULE.</v>
      </c>
      <c r="E2958">
        <v>28</v>
      </c>
      <c r="F2958">
        <v>801011</v>
      </c>
      <c r="G2958" s="1">
        <v>-255.77</v>
      </c>
      <c r="H2958" t="s">
        <v>3356</v>
      </c>
      <c r="J2958" s="18" t="s">
        <v>4327</v>
      </c>
    </row>
    <row r="2959" spans="3:10" x14ac:dyDescent="0.25">
      <c r="C2959" s="17" t="str">
        <f t="shared" si="47"/>
        <v>28.801011.-15166.9476..CLEAR SCHEDULE.</v>
      </c>
      <c r="E2959">
        <v>28</v>
      </c>
      <c r="F2959">
        <v>801011</v>
      </c>
      <c r="G2959" s="2">
        <v>-151.66</v>
      </c>
      <c r="H2959" t="s">
        <v>3357</v>
      </c>
      <c r="J2959" s="18" t="s">
        <v>4327</v>
      </c>
    </row>
    <row r="2960" spans="3:10" x14ac:dyDescent="0.25">
      <c r="C2960" s="17" t="str">
        <f t="shared" si="47"/>
        <v>28.801011.-14387.9477..CLEAR SCHEDULE.</v>
      </c>
      <c r="E2960">
        <v>28</v>
      </c>
      <c r="F2960">
        <v>801011</v>
      </c>
      <c r="G2960" s="1">
        <v>-143.87</v>
      </c>
      <c r="H2960" t="s">
        <v>3358</v>
      </c>
      <c r="J2960" s="18" t="s">
        <v>4327</v>
      </c>
    </row>
    <row r="2961" spans="3:10" x14ac:dyDescent="0.25">
      <c r="C2961" s="17" t="str">
        <f t="shared" si="47"/>
        <v>28.801011.-8972.9479..CLEAR SCHEDULE.</v>
      </c>
      <c r="E2961">
        <v>28</v>
      </c>
      <c r="F2961">
        <v>801011</v>
      </c>
      <c r="G2961" s="2">
        <v>-89.72</v>
      </c>
      <c r="H2961" t="s">
        <v>3359</v>
      </c>
      <c r="J2961" s="18" t="s">
        <v>4327</v>
      </c>
    </row>
    <row r="2962" spans="3:10" x14ac:dyDescent="0.25">
      <c r="C2962" s="17" t="str">
        <f t="shared" si="47"/>
        <v>28.801011.-45532.9482..CLEAR SCHEDULE.</v>
      </c>
      <c r="E2962">
        <v>28</v>
      </c>
      <c r="F2962">
        <v>801011</v>
      </c>
      <c r="G2962" s="1">
        <v>-455.32</v>
      </c>
      <c r="H2962" t="s">
        <v>3360</v>
      </c>
      <c r="J2962" s="18" t="s">
        <v>4327</v>
      </c>
    </row>
    <row r="2963" spans="3:10" x14ac:dyDescent="0.25">
      <c r="C2963" s="17" t="str">
        <f t="shared" si="47"/>
        <v>28.801011.-8972.9485..CLEAR SCHEDULE.</v>
      </c>
      <c r="E2963">
        <v>28</v>
      </c>
      <c r="F2963">
        <v>801011</v>
      </c>
      <c r="G2963" s="2">
        <v>-89.72</v>
      </c>
      <c r="H2963" t="s">
        <v>3361</v>
      </c>
      <c r="J2963" s="18" t="s">
        <v>4327</v>
      </c>
    </row>
    <row r="2964" spans="3:10" x14ac:dyDescent="0.25">
      <c r="C2964" s="17" t="str">
        <f t="shared" si="47"/>
        <v>28.801011.-132083.9486..CLEAR SCHEDULE.</v>
      </c>
      <c r="E2964">
        <v>28</v>
      </c>
      <c r="F2964">
        <v>801011</v>
      </c>
      <c r="G2964" s="1">
        <v>-1320.83</v>
      </c>
      <c r="H2964" t="s">
        <v>3362</v>
      </c>
      <c r="J2964" s="18" t="s">
        <v>4327</v>
      </c>
    </row>
    <row r="2965" spans="3:10" x14ac:dyDescent="0.25">
      <c r="C2965" s="17" t="str">
        <f t="shared" si="47"/>
        <v>28.801011.-5415.9487..CLEAR SCHEDULE.</v>
      </c>
      <c r="E2965">
        <v>28</v>
      </c>
      <c r="F2965">
        <v>801011</v>
      </c>
      <c r="G2965" s="2">
        <v>-54.15</v>
      </c>
      <c r="H2965" t="s">
        <v>3363</v>
      </c>
      <c r="J2965" s="18" t="s">
        <v>4327</v>
      </c>
    </row>
    <row r="2966" spans="3:10" x14ac:dyDescent="0.25">
      <c r="C2966" s="17" t="str">
        <f t="shared" si="47"/>
        <v>28.801011.-29164.9488..CLEAR SCHEDULE.</v>
      </c>
      <c r="E2966">
        <v>28</v>
      </c>
      <c r="F2966">
        <v>801011</v>
      </c>
      <c r="G2966" s="1">
        <v>-291.64</v>
      </c>
      <c r="H2966" t="s">
        <v>3364</v>
      </c>
      <c r="J2966" s="18" t="s">
        <v>4327</v>
      </c>
    </row>
    <row r="2967" spans="3:10" x14ac:dyDescent="0.25">
      <c r="C2967" s="17" t="str">
        <f t="shared" si="47"/>
        <v>28.801011.-56328.9490..CLEAR SCHEDULE.</v>
      </c>
      <c r="E2967">
        <v>28</v>
      </c>
      <c r="F2967">
        <v>801011</v>
      </c>
      <c r="G2967" s="2">
        <v>-563.28</v>
      </c>
      <c r="H2967" t="s">
        <v>3365</v>
      </c>
      <c r="J2967" s="18" t="s">
        <v>4327</v>
      </c>
    </row>
    <row r="2968" spans="3:10" x14ac:dyDescent="0.25">
      <c r="C2968" s="17" t="str">
        <f t="shared" si="47"/>
        <v>28.801011.-46784.9493..CLEAR SCHEDULE.</v>
      </c>
      <c r="E2968">
        <v>28</v>
      </c>
      <c r="F2968">
        <v>801011</v>
      </c>
      <c r="G2968" s="1">
        <v>-467.84</v>
      </c>
      <c r="H2968" t="s">
        <v>3366</v>
      </c>
      <c r="J2968" s="18" t="s">
        <v>4327</v>
      </c>
    </row>
    <row r="2969" spans="3:10" x14ac:dyDescent="0.25">
      <c r="C2969" s="17" t="str">
        <f t="shared" si="47"/>
        <v>28.801011.-15945.9494..CLEAR SCHEDULE.</v>
      </c>
      <c r="E2969">
        <v>28</v>
      </c>
      <c r="F2969">
        <v>801011</v>
      </c>
      <c r="G2969" s="2">
        <v>-159.44999999999999</v>
      </c>
      <c r="H2969" t="s">
        <v>3367</v>
      </c>
      <c r="J2969" s="18" t="s">
        <v>4327</v>
      </c>
    </row>
    <row r="2970" spans="3:10" x14ac:dyDescent="0.25">
      <c r="C2970" s="17" t="str">
        <f t="shared" si="47"/>
        <v>28.801011.-9751.9495..CLEAR SCHEDULE.</v>
      </c>
      <c r="E2970">
        <v>28</v>
      </c>
      <c r="F2970">
        <v>801011</v>
      </c>
      <c r="G2970" s="1">
        <v>-97.51</v>
      </c>
      <c r="H2970" t="s">
        <v>3368</v>
      </c>
      <c r="J2970" s="18" t="s">
        <v>4327</v>
      </c>
    </row>
    <row r="2971" spans="3:10" x14ac:dyDescent="0.25">
      <c r="C2971" s="17" t="str">
        <f t="shared" si="47"/>
        <v>28.801011.-13491.9496..CLEAR SCHEDULE.</v>
      </c>
      <c r="E2971">
        <v>28</v>
      </c>
      <c r="F2971">
        <v>801011</v>
      </c>
      <c r="G2971" s="2">
        <v>-134.91</v>
      </c>
      <c r="H2971" t="s">
        <v>3369</v>
      </c>
      <c r="J2971" s="18" t="s">
        <v>4327</v>
      </c>
    </row>
    <row r="2972" spans="3:10" x14ac:dyDescent="0.25">
      <c r="C2972" s="17" t="str">
        <f t="shared" si="47"/>
        <v>28.801011.-14387.9497..CLEAR SCHEDULE.</v>
      </c>
      <c r="E2972">
        <v>28</v>
      </c>
      <c r="F2972">
        <v>801011</v>
      </c>
      <c r="G2972" s="1">
        <v>-143.87</v>
      </c>
      <c r="H2972" t="s">
        <v>3370</v>
      </c>
      <c r="J2972" s="18" t="s">
        <v>4327</v>
      </c>
    </row>
    <row r="2973" spans="3:10" x14ac:dyDescent="0.25">
      <c r="C2973" s="17" t="str">
        <f t="shared" si="47"/>
        <v>28.801011.-5415.9498..CLEAR SCHEDULE.</v>
      </c>
      <c r="E2973">
        <v>28</v>
      </c>
      <c r="F2973">
        <v>801011</v>
      </c>
      <c r="G2973" s="2">
        <v>-54.15</v>
      </c>
      <c r="H2973" t="s">
        <v>3371</v>
      </c>
      <c r="J2973" s="18" t="s">
        <v>4327</v>
      </c>
    </row>
    <row r="2974" spans="3:10" x14ac:dyDescent="0.25">
      <c r="C2974" s="17" t="str">
        <f t="shared" si="47"/>
        <v>28.801011.-15945.9499..CLEAR SCHEDULE.</v>
      </c>
      <c r="E2974">
        <v>28</v>
      </c>
      <c r="F2974">
        <v>801011</v>
      </c>
      <c r="G2974" s="1">
        <v>-159.44999999999999</v>
      </c>
      <c r="H2974" t="s">
        <v>3372</v>
      </c>
      <c r="J2974" s="18" t="s">
        <v>4327</v>
      </c>
    </row>
    <row r="2975" spans="3:10" x14ac:dyDescent="0.25">
      <c r="C2975" s="17" t="str">
        <f t="shared" si="47"/>
        <v>28.801011.-14387.9500..CLEAR SCHEDULE.</v>
      </c>
      <c r="E2975">
        <v>28</v>
      </c>
      <c r="F2975">
        <v>801011</v>
      </c>
      <c r="G2975" s="2">
        <v>-143.87</v>
      </c>
      <c r="H2975" t="s">
        <v>3373</v>
      </c>
      <c r="J2975" s="18" t="s">
        <v>4327</v>
      </c>
    </row>
    <row r="2976" spans="3:10" x14ac:dyDescent="0.25">
      <c r="C2976" s="17" t="str">
        <f t="shared" si="47"/>
        <v>28.801011.-13668.9504..CLEAR SCHEDULE.</v>
      </c>
      <c r="E2976">
        <v>28</v>
      </c>
      <c r="F2976">
        <v>801011</v>
      </c>
      <c r="G2976" s="1">
        <v>-136.68</v>
      </c>
      <c r="H2976" t="s">
        <v>3374</v>
      </c>
      <c r="J2976" s="18" t="s">
        <v>4327</v>
      </c>
    </row>
    <row r="2977" spans="3:10" x14ac:dyDescent="0.25">
      <c r="C2977" s="17" t="str">
        <f t="shared" si="47"/>
        <v>28.801011.-22779.9505..CLEAR SCHEDULE.</v>
      </c>
      <c r="E2977">
        <v>28</v>
      </c>
      <c r="F2977">
        <v>801011</v>
      </c>
      <c r="G2977" s="2">
        <v>-227.79</v>
      </c>
      <c r="H2977" t="s">
        <v>3375</v>
      </c>
      <c r="J2977" s="18" t="s">
        <v>4327</v>
      </c>
    </row>
    <row r="2978" spans="3:10" x14ac:dyDescent="0.25">
      <c r="C2978" s="17" t="str">
        <f t="shared" si="47"/>
        <v>28.801011.-9146.9507..CLEAR SCHEDULE.</v>
      </c>
      <c r="E2978">
        <v>28</v>
      </c>
      <c r="F2978">
        <v>801011</v>
      </c>
      <c r="G2978" s="1">
        <v>-91.46</v>
      </c>
      <c r="H2978" t="s">
        <v>3376</v>
      </c>
      <c r="J2978" s="18" t="s">
        <v>4327</v>
      </c>
    </row>
    <row r="2979" spans="3:10" x14ac:dyDescent="0.25">
      <c r="C2979" s="17" t="str">
        <f t="shared" si="47"/>
        <v>28.801011.-13668.9508..CLEAR SCHEDULE.</v>
      </c>
      <c r="E2979">
        <v>28</v>
      </c>
      <c r="F2979">
        <v>801011</v>
      </c>
      <c r="G2979" s="2">
        <v>-136.68</v>
      </c>
      <c r="H2979" t="s">
        <v>3377</v>
      </c>
      <c r="J2979" s="18" t="s">
        <v>4327</v>
      </c>
    </row>
    <row r="2980" spans="3:10" x14ac:dyDescent="0.25">
      <c r="C2980" s="17" t="str">
        <f t="shared" si="47"/>
        <v>28.801011.-19742.9509..CLEAR SCHEDULE.</v>
      </c>
      <c r="E2980">
        <v>28</v>
      </c>
      <c r="F2980">
        <v>801011</v>
      </c>
      <c r="G2980" s="1">
        <v>-197.42</v>
      </c>
      <c r="H2980" t="s">
        <v>3378</v>
      </c>
      <c r="J2980" s="18" t="s">
        <v>4327</v>
      </c>
    </row>
    <row r="2981" spans="3:10" x14ac:dyDescent="0.25">
      <c r="C2981" s="17" t="str">
        <f t="shared" si="47"/>
        <v>28.801011.-70206.9513..CLEAR SCHEDULE.</v>
      </c>
      <c r="E2981">
        <v>28</v>
      </c>
      <c r="F2981">
        <v>801011</v>
      </c>
      <c r="G2981" s="2">
        <v>-702.06</v>
      </c>
      <c r="H2981" t="s">
        <v>3379</v>
      </c>
      <c r="J2981" s="18" t="s">
        <v>4327</v>
      </c>
    </row>
    <row r="2982" spans="3:10" x14ac:dyDescent="0.25">
      <c r="C2982" s="17" t="str">
        <f t="shared" si="47"/>
        <v>28.801011.-9751.9514..CLEAR SCHEDULE.</v>
      </c>
      <c r="E2982">
        <v>28</v>
      </c>
      <c r="F2982">
        <v>801011</v>
      </c>
      <c r="G2982" s="1">
        <v>-97.51</v>
      </c>
      <c r="H2982" t="s">
        <v>3380</v>
      </c>
      <c r="J2982" s="18" t="s">
        <v>4327</v>
      </c>
    </row>
    <row r="2983" spans="3:10" x14ac:dyDescent="0.25">
      <c r="C2983" s="17" t="str">
        <f t="shared" si="47"/>
        <v>28.801011.-247369.9515..CLEAR SCHEDULE.</v>
      </c>
      <c r="E2983">
        <v>28</v>
      </c>
      <c r="F2983">
        <v>801011</v>
      </c>
      <c r="G2983" s="2">
        <v>-2473.69</v>
      </c>
      <c r="H2983" t="s">
        <v>3381</v>
      </c>
      <c r="J2983" s="18" t="s">
        <v>4327</v>
      </c>
    </row>
    <row r="2984" spans="3:10" x14ac:dyDescent="0.25">
      <c r="C2984" s="17" t="str">
        <f t="shared" si="47"/>
        <v>28.801011.-80588.9516..CLEAR SCHEDULE.</v>
      </c>
      <c r="E2984">
        <v>28</v>
      </c>
      <c r="F2984">
        <v>801011</v>
      </c>
      <c r="G2984" s="1">
        <v>-805.88</v>
      </c>
      <c r="H2984" t="s">
        <v>3382</v>
      </c>
      <c r="J2984" s="18" t="s">
        <v>4327</v>
      </c>
    </row>
    <row r="2985" spans="3:10" x14ac:dyDescent="0.25">
      <c r="C2985" s="17" t="str">
        <f t="shared" si="47"/>
        <v>28.801011.-40474.9520..CLEAR SCHEDULE.</v>
      </c>
      <c r="E2985">
        <v>28</v>
      </c>
      <c r="F2985">
        <v>801011</v>
      </c>
      <c r="G2985" s="2">
        <v>-404.74</v>
      </c>
      <c r="H2985" t="s">
        <v>3383</v>
      </c>
      <c r="J2985" s="18" t="s">
        <v>4327</v>
      </c>
    </row>
    <row r="2986" spans="3:10" x14ac:dyDescent="0.25">
      <c r="C2986" s="17" t="str">
        <f t="shared" si="47"/>
        <v>28.801011.-19742.9521..CLEAR SCHEDULE.</v>
      </c>
      <c r="E2986">
        <v>28</v>
      </c>
      <c r="F2986">
        <v>801011</v>
      </c>
      <c r="G2986" s="1">
        <v>-197.42</v>
      </c>
      <c r="H2986" t="s">
        <v>3384</v>
      </c>
      <c r="J2986" s="18" t="s">
        <v>4327</v>
      </c>
    </row>
    <row r="2987" spans="3:10" x14ac:dyDescent="0.25">
      <c r="C2987" s="17" t="str">
        <f t="shared" si="47"/>
        <v>28.801011.-35000.9526..CLEAR SCHEDULE.</v>
      </c>
      <c r="E2987">
        <v>28</v>
      </c>
      <c r="F2987">
        <v>801011</v>
      </c>
      <c r="G2987" s="2">
        <v>-350</v>
      </c>
      <c r="H2987" t="s">
        <v>3385</v>
      </c>
      <c r="J2987" s="18" t="s">
        <v>4327</v>
      </c>
    </row>
    <row r="2988" spans="3:10" x14ac:dyDescent="0.25">
      <c r="C2988" s="17" t="str">
        <f t="shared" si="47"/>
        <v>28.801011.-38559.9527..CLEAR SCHEDULE.</v>
      </c>
      <c r="E2988">
        <v>28</v>
      </c>
      <c r="F2988">
        <v>801011</v>
      </c>
      <c r="G2988" s="1">
        <v>-385.59</v>
      </c>
      <c r="H2988" t="s">
        <v>3386</v>
      </c>
      <c r="J2988" s="18" t="s">
        <v>4327</v>
      </c>
    </row>
    <row r="2989" spans="3:10" x14ac:dyDescent="0.25">
      <c r="C2989" s="17" t="str">
        <f t="shared" si="47"/>
        <v>28.801011.-39500.9528..CLEAR SCHEDULE.</v>
      </c>
      <c r="E2989">
        <v>28</v>
      </c>
      <c r="F2989">
        <v>801011</v>
      </c>
      <c r="G2989" s="2">
        <v>-395</v>
      </c>
      <c r="H2989" t="s">
        <v>3387</v>
      </c>
      <c r="J2989" s="18" t="s">
        <v>4327</v>
      </c>
    </row>
    <row r="2990" spans="3:10" x14ac:dyDescent="0.25">
      <c r="C2990" s="17" t="str">
        <f t="shared" si="47"/>
        <v>28.801011.-8972.9529..CLEAR SCHEDULE.</v>
      </c>
      <c r="E2990">
        <v>28</v>
      </c>
      <c r="F2990">
        <v>801011</v>
      </c>
      <c r="G2990" s="1">
        <v>-89.72</v>
      </c>
      <c r="H2990" t="s">
        <v>3388</v>
      </c>
      <c r="J2990" s="18" t="s">
        <v>4327</v>
      </c>
    </row>
    <row r="2991" spans="3:10" x14ac:dyDescent="0.25">
      <c r="C2991" s="17" t="str">
        <f t="shared" si="47"/>
        <v>28.801011.-15945.9530..CLEAR SCHEDULE.</v>
      </c>
      <c r="E2991">
        <v>28</v>
      </c>
      <c r="F2991">
        <v>801011</v>
      </c>
      <c r="G2991" s="2">
        <v>-159.44999999999999</v>
      </c>
      <c r="H2991" t="s">
        <v>3389</v>
      </c>
      <c r="J2991" s="18" t="s">
        <v>4327</v>
      </c>
    </row>
    <row r="2992" spans="3:10" x14ac:dyDescent="0.25">
      <c r="C2992" s="17" t="str">
        <f t="shared" si="47"/>
        <v>28.801011.-14387.9532..CLEAR SCHEDULE.</v>
      </c>
      <c r="E2992">
        <v>28</v>
      </c>
      <c r="F2992">
        <v>801011</v>
      </c>
      <c r="G2992" s="1">
        <v>-143.87</v>
      </c>
      <c r="H2992" t="s">
        <v>3390</v>
      </c>
      <c r="J2992" s="18" t="s">
        <v>4327</v>
      </c>
    </row>
    <row r="2993" spans="3:10" x14ac:dyDescent="0.25">
      <c r="C2993" s="17" t="str">
        <f t="shared" si="47"/>
        <v>28.801011.-10530.9533..CLEAR SCHEDULE.</v>
      </c>
      <c r="E2993">
        <v>28</v>
      </c>
      <c r="F2993">
        <v>801011</v>
      </c>
      <c r="G2993" s="2">
        <v>-105.3</v>
      </c>
      <c r="H2993" t="s">
        <v>3391</v>
      </c>
      <c r="J2993" s="18" t="s">
        <v>4327</v>
      </c>
    </row>
    <row r="2994" spans="3:10" x14ac:dyDescent="0.25">
      <c r="C2994" s="17" t="str">
        <f t="shared" si="47"/>
        <v>28.801011.-15286.9535..CLEAR SCHEDULE.</v>
      </c>
      <c r="E2994">
        <v>28</v>
      </c>
      <c r="F2994">
        <v>801011</v>
      </c>
      <c r="G2994" s="1">
        <v>-152.86000000000001</v>
      </c>
      <c r="H2994" t="s">
        <v>3392</v>
      </c>
      <c r="J2994" s="18" t="s">
        <v>4327</v>
      </c>
    </row>
    <row r="2995" spans="3:10" x14ac:dyDescent="0.25">
      <c r="C2995" s="17" t="str">
        <f t="shared" si="47"/>
        <v>28.801011.-87549.9536..CLEAR SCHEDULE.</v>
      </c>
      <c r="E2995">
        <v>28</v>
      </c>
      <c r="F2995">
        <v>801011</v>
      </c>
      <c r="G2995" s="2">
        <v>-875.49</v>
      </c>
      <c r="H2995" t="s">
        <v>3393</v>
      </c>
      <c r="J2995" s="18" t="s">
        <v>4327</v>
      </c>
    </row>
    <row r="2996" spans="3:10" x14ac:dyDescent="0.25">
      <c r="C2996" s="17" t="str">
        <f t="shared" si="47"/>
        <v>28.801011.-42597.9538..CLEAR SCHEDULE.</v>
      </c>
      <c r="E2996">
        <v>28</v>
      </c>
      <c r="F2996">
        <v>801011</v>
      </c>
      <c r="G2996" s="1">
        <v>-425.97</v>
      </c>
      <c r="H2996" t="s">
        <v>3394</v>
      </c>
      <c r="J2996" s="18" t="s">
        <v>4327</v>
      </c>
    </row>
    <row r="2997" spans="3:10" x14ac:dyDescent="0.25">
      <c r="C2997" s="17" t="str">
        <f t="shared" si="47"/>
        <v>28.801011.-16037.9539..CLEAR SCHEDULE.</v>
      </c>
      <c r="E2997">
        <v>28</v>
      </c>
      <c r="F2997">
        <v>801011</v>
      </c>
      <c r="G2997" s="2">
        <v>-160.37</v>
      </c>
      <c r="H2997" t="s">
        <v>3395</v>
      </c>
      <c r="J2997" s="18" t="s">
        <v>4327</v>
      </c>
    </row>
    <row r="2998" spans="3:10" x14ac:dyDescent="0.25">
      <c r="C2998" s="17" t="str">
        <f t="shared" si="47"/>
        <v>28.801011.-8972.9541..CLEAR SCHEDULE.</v>
      </c>
      <c r="E2998">
        <v>28</v>
      </c>
      <c r="F2998">
        <v>801011</v>
      </c>
      <c r="G2998" s="1">
        <v>-89.72</v>
      </c>
      <c r="H2998" t="s">
        <v>3396</v>
      </c>
      <c r="J2998" s="18" t="s">
        <v>4327</v>
      </c>
    </row>
    <row r="2999" spans="3:10" x14ac:dyDescent="0.25">
      <c r="C2999" s="17" t="str">
        <f t="shared" si="47"/>
        <v>28.801011.-216778.9546..CLEAR SCHEDULE.</v>
      </c>
      <c r="E2999">
        <v>28</v>
      </c>
      <c r="F2999">
        <v>801011</v>
      </c>
      <c r="G2999" s="2">
        <v>-2167.7800000000002</v>
      </c>
      <c r="H2999" t="s">
        <v>3397</v>
      </c>
      <c r="J2999" s="18" t="s">
        <v>4327</v>
      </c>
    </row>
    <row r="3000" spans="3:10" x14ac:dyDescent="0.25">
      <c r="C3000" s="17" t="str">
        <f t="shared" si="47"/>
        <v>28.801011.-14387.9547..CLEAR SCHEDULE.</v>
      </c>
      <c r="E3000">
        <v>28</v>
      </c>
      <c r="F3000">
        <v>801011</v>
      </c>
      <c r="G3000" s="1">
        <v>-143.87</v>
      </c>
      <c r="H3000" t="s">
        <v>3398</v>
      </c>
      <c r="J3000" s="18" t="s">
        <v>4327</v>
      </c>
    </row>
    <row r="3001" spans="3:10" x14ac:dyDescent="0.25">
      <c r="C3001" s="17" t="str">
        <f t="shared" si="47"/>
        <v>28.801011.-25000.9549..CLEAR SCHEDULE.</v>
      </c>
      <c r="E3001">
        <v>28</v>
      </c>
      <c r="F3001">
        <v>801011</v>
      </c>
      <c r="G3001" s="2">
        <v>-250</v>
      </c>
      <c r="H3001" t="s">
        <v>3399</v>
      </c>
      <c r="J3001" s="18" t="s">
        <v>4327</v>
      </c>
    </row>
    <row r="3002" spans="3:10" x14ac:dyDescent="0.25">
      <c r="C3002" s="17" t="str">
        <f t="shared" si="47"/>
        <v>28.801011.-24164.9550..CLEAR SCHEDULE.</v>
      </c>
      <c r="E3002">
        <v>28</v>
      </c>
      <c r="F3002">
        <v>801011</v>
      </c>
      <c r="G3002" s="1">
        <v>-241.64</v>
      </c>
      <c r="H3002" t="s">
        <v>3400</v>
      </c>
      <c r="J3002" s="18" t="s">
        <v>4327</v>
      </c>
    </row>
    <row r="3003" spans="3:10" x14ac:dyDescent="0.25">
      <c r="C3003" s="17" t="str">
        <f t="shared" si="47"/>
        <v>28.801011.-212555.9553..CLEAR SCHEDULE.</v>
      </c>
      <c r="E3003">
        <v>28</v>
      </c>
      <c r="F3003">
        <v>801011</v>
      </c>
      <c r="G3003" s="2">
        <v>-2125.5500000000002</v>
      </c>
      <c r="H3003" t="s">
        <v>3401</v>
      </c>
      <c r="J3003" s="18" t="s">
        <v>4327</v>
      </c>
    </row>
    <row r="3004" spans="3:10" x14ac:dyDescent="0.25">
      <c r="C3004" s="17" t="str">
        <f t="shared" si="47"/>
        <v>28.801011.-23417.9557..CLEAR SCHEDULE.</v>
      </c>
      <c r="E3004">
        <v>28</v>
      </c>
      <c r="F3004">
        <v>801011</v>
      </c>
      <c r="G3004" s="1">
        <v>-234.17</v>
      </c>
      <c r="H3004" t="s">
        <v>3402</v>
      </c>
      <c r="J3004" s="18" t="s">
        <v>4327</v>
      </c>
    </row>
    <row r="3005" spans="3:10" x14ac:dyDescent="0.25">
      <c r="C3005" s="17" t="str">
        <f t="shared" si="47"/>
        <v>28.801011.-95699.9558..CLEAR SCHEDULE.</v>
      </c>
      <c r="E3005">
        <v>28</v>
      </c>
      <c r="F3005">
        <v>801011</v>
      </c>
      <c r="G3005" s="2">
        <v>-956.99</v>
      </c>
      <c r="H3005" t="s">
        <v>3403</v>
      </c>
      <c r="J3005" s="18" t="s">
        <v>4327</v>
      </c>
    </row>
    <row r="3006" spans="3:10" x14ac:dyDescent="0.25">
      <c r="C3006" s="17" t="str">
        <f t="shared" si="47"/>
        <v>28.801011.-38240.9559..CLEAR SCHEDULE.</v>
      </c>
      <c r="E3006">
        <v>28</v>
      </c>
      <c r="F3006">
        <v>801011</v>
      </c>
      <c r="G3006" s="1">
        <v>-382.4</v>
      </c>
      <c r="H3006" t="s">
        <v>3404</v>
      </c>
      <c r="J3006" s="18" t="s">
        <v>4327</v>
      </c>
    </row>
    <row r="3007" spans="3:10" x14ac:dyDescent="0.25">
      <c r="C3007" s="17" t="str">
        <f t="shared" si="47"/>
        <v>28.801011.-53391.9560..CLEAR SCHEDULE.</v>
      </c>
      <c r="E3007">
        <v>28</v>
      </c>
      <c r="F3007">
        <v>801011</v>
      </c>
      <c r="G3007" s="2">
        <v>-533.91</v>
      </c>
      <c r="H3007" t="s">
        <v>3405</v>
      </c>
      <c r="J3007" s="18" t="s">
        <v>4327</v>
      </c>
    </row>
    <row r="3008" spans="3:10" x14ac:dyDescent="0.25">
      <c r="C3008" s="17" t="str">
        <f t="shared" si="47"/>
        <v>28.801011.-24456.9562..CLEAR SCHEDULE.</v>
      </c>
      <c r="E3008">
        <v>28</v>
      </c>
      <c r="F3008">
        <v>801011</v>
      </c>
      <c r="G3008" s="1">
        <v>-244.56</v>
      </c>
      <c r="H3008" t="s">
        <v>3406</v>
      </c>
      <c r="J3008" s="18" t="s">
        <v>4327</v>
      </c>
    </row>
    <row r="3009" spans="3:10" x14ac:dyDescent="0.25">
      <c r="C3009" s="17" t="str">
        <f t="shared" si="47"/>
        <v>28.801011.-14387.9563..CLEAR SCHEDULE.</v>
      </c>
      <c r="E3009">
        <v>28</v>
      </c>
      <c r="F3009">
        <v>801011</v>
      </c>
      <c r="G3009" s="2">
        <v>-143.87</v>
      </c>
      <c r="H3009" t="s">
        <v>3407</v>
      </c>
      <c r="J3009" s="18" t="s">
        <v>4327</v>
      </c>
    </row>
    <row r="3010" spans="3:10" x14ac:dyDescent="0.25">
      <c r="C3010" s="17" t="str">
        <f t="shared" si="47"/>
        <v>28.801011.-3948.9564..CLEAR SCHEDULE.</v>
      </c>
      <c r="E3010">
        <v>28</v>
      </c>
      <c r="F3010">
        <v>801011</v>
      </c>
      <c r="G3010" s="1">
        <v>-39.479999999999997</v>
      </c>
      <c r="H3010" t="s">
        <v>3408</v>
      </c>
      <c r="J3010" s="18" t="s">
        <v>4327</v>
      </c>
    </row>
    <row r="3011" spans="3:10" x14ac:dyDescent="0.25">
      <c r="C3011" s="17" t="str">
        <f t="shared" si="47"/>
        <v>28.801011.-128139.9566..CLEAR SCHEDULE.</v>
      </c>
      <c r="E3011">
        <v>28</v>
      </c>
      <c r="F3011">
        <v>801011</v>
      </c>
      <c r="G3011" s="2">
        <v>-1281.3900000000001</v>
      </c>
      <c r="H3011" t="s">
        <v>3409</v>
      </c>
      <c r="J3011" s="18" t="s">
        <v>4327</v>
      </c>
    </row>
    <row r="3012" spans="3:10" x14ac:dyDescent="0.25">
      <c r="C3012" s="17" t="str">
        <f t="shared" si="47"/>
        <v>28.801011.-5415.9568..CLEAR SCHEDULE.</v>
      </c>
      <c r="E3012">
        <v>28</v>
      </c>
      <c r="F3012">
        <v>801011</v>
      </c>
      <c r="G3012" s="1">
        <v>-54.15</v>
      </c>
      <c r="H3012" t="s">
        <v>3410</v>
      </c>
      <c r="J3012" s="18" t="s">
        <v>4327</v>
      </c>
    </row>
    <row r="3013" spans="3:10" x14ac:dyDescent="0.25">
      <c r="C3013" s="17" t="str">
        <f t="shared" si="47"/>
        <v>28.801011.-14387.9569..CLEAR SCHEDULE.</v>
      </c>
      <c r="E3013">
        <v>28</v>
      </c>
      <c r="F3013">
        <v>801011</v>
      </c>
      <c r="G3013" s="2">
        <v>-143.87</v>
      </c>
      <c r="H3013" t="s">
        <v>3411</v>
      </c>
      <c r="J3013" s="18" t="s">
        <v>4327</v>
      </c>
    </row>
    <row r="3014" spans="3:10" x14ac:dyDescent="0.25">
      <c r="C3014" s="17" t="str">
        <f t="shared" si="47"/>
        <v>28.801011.-20543.9570..CLEAR SCHEDULE.</v>
      </c>
      <c r="E3014">
        <v>28</v>
      </c>
      <c r="F3014">
        <v>801011</v>
      </c>
      <c r="G3014" s="1">
        <v>-205.43</v>
      </c>
      <c r="H3014" t="s">
        <v>3412</v>
      </c>
      <c r="J3014" s="18" t="s">
        <v>4327</v>
      </c>
    </row>
    <row r="3015" spans="3:10" x14ac:dyDescent="0.25">
      <c r="C3015" s="17" t="str">
        <f t="shared" si="47"/>
        <v>28.801011.-8972.9572..CLEAR SCHEDULE.</v>
      </c>
      <c r="E3015">
        <v>28</v>
      </c>
      <c r="F3015">
        <v>801011</v>
      </c>
      <c r="G3015" s="2">
        <v>-89.72</v>
      </c>
      <c r="H3015" t="s">
        <v>3413</v>
      </c>
      <c r="J3015" s="18" t="s">
        <v>4327</v>
      </c>
    </row>
    <row r="3016" spans="3:10" x14ac:dyDescent="0.25">
      <c r="C3016" s="17" t="str">
        <f t="shared" si="47"/>
        <v>28.801011.-22991.9574..CLEAR SCHEDULE.</v>
      </c>
      <c r="E3016">
        <v>28</v>
      </c>
      <c r="F3016">
        <v>801011</v>
      </c>
      <c r="G3016" s="1">
        <v>-229.91</v>
      </c>
      <c r="H3016" t="s">
        <v>3414</v>
      </c>
      <c r="J3016" s="18" t="s">
        <v>4327</v>
      </c>
    </row>
    <row r="3017" spans="3:10" x14ac:dyDescent="0.25">
      <c r="C3017" s="17" t="str">
        <f t="shared" si="47"/>
        <v>28.801011.-8678.9575..CLEAR SCHEDULE.</v>
      </c>
      <c r="E3017">
        <v>28</v>
      </c>
      <c r="F3017">
        <v>801011</v>
      </c>
      <c r="G3017" s="2">
        <v>-86.78</v>
      </c>
      <c r="H3017" t="s">
        <v>3415</v>
      </c>
      <c r="J3017" s="18" t="s">
        <v>4327</v>
      </c>
    </row>
    <row r="3018" spans="3:10" x14ac:dyDescent="0.25">
      <c r="C3018" s="17" t="str">
        <f t="shared" si="47"/>
        <v>28.801011.-13668.9576..CLEAR SCHEDULE.</v>
      </c>
      <c r="E3018">
        <v>28</v>
      </c>
      <c r="F3018">
        <v>801011</v>
      </c>
      <c r="G3018" s="1">
        <v>-136.68</v>
      </c>
      <c r="H3018" t="s">
        <v>3416</v>
      </c>
      <c r="J3018" s="18" t="s">
        <v>4327</v>
      </c>
    </row>
    <row r="3019" spans="3:10" x14ac:dyDescent="0.25">
      <c r="C3019" s="17" t="str">
        <f t="shared" ref="C3019:C3082" si="48">IF(G3019=0,"",(E3019&amp;"."&amp;F3019&amp;"."&amp;G3019*100&amp;"."&amp;H3019&amp;"."&amp;I3019&amp;"."&amp;J3019&amp;"."&amp;K3019))</f>
        <v>28.801011.-57731.9584..CLEAR SCHEDULE.</v>
      </c>
      <c r="E3019">
        <v>28</v>
      </c>
      <c r="F3019">
        <v>801011</v>
      </c>
      <c r="G3019" s="2">
        <v>-577.30999999999995</v>
      </c>
      <c r="H3019" t="s">
        <v>3417</v>
      </c>
      <c r="J3019" s="18" t="s">
        <v>4327</v>
      </c>
    </row>
    <row r="3020" spans="3:10" x14ac:dyDescent="0.25">
      <c r="C3020" s="17" t="str">
        <f t="shared" si="48"/>
        <v>28.801011.-11309.9585..CLEAR SCHEDULE.</v>
      </c>
      <c r="E3020">
        <v>28</v>
      </c>
      <c r="F3020">
        <v>801011</v>
      </c>
      <c r="G3020" s="1">
        <v>-113.09</v>
      </c>
      <c r="H3020" t="s">
        <v>3418</v>
      </c>
      <c r="J3020" s="18" t="s">
        <v>4327</v>
      </c>
    </row>
    <row r="3021" spans="3:10" x14ac:dyDescent="0.25">
      <c r="C3021" s="17" t="str">
        <f t="shared" si="48"/>
        <v>28.801011.-15945.9586..CLEAR SCHEDULE.</v>
      </c>
      <c r="E3021">
        <v>28</v>
      </c>
      <c r="F3021">
        <v>801011</v>
      </c>
      <c r="G3021" s="2">
        <v>-159.44999999999999</v>
      </c>
      <c r="H3021" t="s">
        <v>3419</v>
      </c>
      <c r="J3021" s="18" t="s">
        <v>4327</v>
      </c>
    </row>
    <row r="3022" spans="3:10" x14ac:dyDescent="0.25">
      <c r="C3022" s="17" t="str">
        <f t="shared" si="48"/>
        <v>28.801011.-4439.9588..CLEAR SCHEDULE.</v>
      </c>
      <c r="E3022">
        <v>28</v>
      </c>
      <c r="F3022">
        <v>801011</v>
      </c>
      <c r="G3022" s="1">
        <v>-44.39</v>
      </c>
      <c r="H3022" t="s">
        <v>3420</v>
      </c>
      <c r="J3022" s="18" t="s">
        <v>4327</v>
      </c>
    </row>
    <row r="3023" spans="3:10" x14ac:dyDescent="0.25">
      <c r="C3023" s="17" t="str">
        <f t="shared" si="48"/>
        <v>28.801011.-14387.9589..CLEAR SCHEDULE.</v>
      </c>
      <c r="E3023">
        <v>28</v>
      </c>
      <c r="F3023">
        <v>801011</v>
      </c>
      <c r="G3023" s="2">
        <v>-143.87</v>
      </c>
      <c r="H3023" t="s">
        <v>3421</v>
      </c>
      <c r="J3023" s="18" t="s">
        <v>4327</v>
      </c>
    </row>
    <row r="3024" spans="3:10" x14ac:dyDescent="0.25">
      <c r="C3024" s="17" t="str">
        <f t="shared" si="48"/>
        <v>28.801011.-8972.9591..CLEAR SCHEDULE.</v>
      </c>
      <c r="E3024">
        <v>28</v>
      </c>
      <c r="F3024">
        <v>801011</v>
      </c>
      <c r="G3024" s="1">
        <v>-89.72</v>
      </c>
      <c r="H3024" t="s">
        <v>3422</v>
      </c>
      <c r="J3024" s="18" t="s">
        <v>4327</v>
      </c>
    </row>
    <row r="3025" spans="3:10" x14ac:dyDescent="0.25">
      <c r="C3025" s="17" t="str">
        <f t="shared" si="48"/>
        <v>28.801011.-8972.9592..CLEAR SCHEDULE.</v>
      </c>
      <c r="E3025">
        <v>28</v>
      </c>
      <c r="F3025">
        <v>801011</v>
      </c>
      <c r="G3025" s="2">
        <v>-89.72</v>
      </c>
      <c r="H3025" t="s">
        <v>3423</v>
      </c>
      <c r="J3025" s="18" t="s">
        <v>4327</v>
      </c>
    </row>
    <row r="3026" spans="3:10" x14ac:dyDescent="0.25">
      <c r="C3026" s="17" t="str">
        <f t="shared" si="48"/>
        <v>28.801011.-43978.9593..CLEAR SCHEDULE.</v>
      </c>
      <c r="E3026">
        <v>28</v>
      </c>
      <c r="F3026">
        <v>801011</v>
      </c>
      <c r="G3026" s="1">
        <v>-439.78</v>
      </c>
      <c r="H3026" t="s">
        <v>3424</v>
      </c>
      <c r="J3026" s="18" t="s">
        <v>4327</v>
      </c>
    </row>
    <row r="3027" spans="3:10" x14ac:dyDescent="0.25">
      <c r="C3027" s="17" t="str">
        <f t="shared" si="48"/>
        <v>28.801011.-239362.9596..CLEAR SCHEDULE.</v>
      </c>
      <c r="E3027">
        <v>28</v>
      </c>
      <c r="F3027">
        <v>801011</v>
      </c>
      <c r="G3027" s="2">
        <v>-2393.62</v>
      </c>
      <c r="H3027" t="s">
        <v>3425</v>
      </c>
      <c r="J3027" s="18" t="s">
        <v>4327</v>
      </c>
    </row>
    <row r="3028" spans="3:10" x14ac:dyDescent="0.25">
      <c r="C3028" s="17" t="str">
        <f t="shared" si="48"/>
        <v>28.801011.-70962.9597..CLEAR SCHEDULE.</v>
      </c>
      <c r="E3028">
        <v>28</v>
      </c>
      <c r="F3028">
        <v>801011</v>
      </c>
      <c r="G3028" s="1">
        <v>-709.62</v>
      </c>
      <c r="H3028" t="s">
        <v>3426</v>
      </c>
      <c r="J3028" s="18" t="s">
        <v>4327</v>
      </c>
    </row>
    <row r="3029" spans="3:10" x14ac:dyDescent="0.25">
      <c r="C3029" s="17" t="str">
        <f t="shared" si="48"/>
        <v>28.801011.-15203.9598..CLEAR SCHEDULE.</v>
      </c>
      <c r="E3029">
        <v>28</v>
      </c>
      <c r="F3029">
        <v>801011</v>
      </c>
      <c r="G3029" s="2">
        <v>-152.03</v>
      </c>
      <c r="H3029" t="s">
        <v>3427</v>
      </c>
      <c r="J3029" s="18" t="s">
        <v>4327</v>
      </c>
    </row>
    <row r="3030" spans="3:10" x14ac:dyDescent="0.25">
      <c r="C3030" s="17" t="str">
        <f t="shared" si="48"/>
        <v>28.801011.-29504.9601..CLEAR SCHEDULE.</v>
      </c>
      <c r="E3030">
        <v>28</v>
      </c>
      <c r="F3030">
        <v>801011</v>
      </c>
      <c r="G3030" s="1">
        <v>-295.04000000000002</v>
      </c>
      <c r="H3030" t="s">
        <v>3428</v>
      </c>
      <c r="J3030" s="18" t="s">
        <v>4327</v>
      </c>
    </row>
    <row r="3031" spans="3:10" x14ac:dyDescent="0.25">
      <c r="C3031" s="17" t="str">
        <f t="shared" si="48"/>
        <v>28.801011.-50961.9604..CLEAR SCHEDULE.</v>
      </c>
      <c r="E3031">
        <v>28</v>
      </c>
      <c r="F3031">
        <v>801011</v>
      </c>
      <c r="G3031" s="2">
        <v>-509.61</v>
      </c>
      <c r="H3031" t="s">
        <v>3429</v>
      </c>
      <c r="J3031" s="18" t="s">
        <v>4327</v>
      </c>
    </row>
    <row r="3032" spans="3:10" x14ac:dyDescent="0.25">
      <c r="C3032" s="17" t="str">
        <f t="shared" si="48"/>
        <v>28.801011.-3801.9610..CLEAR SCHEDULE.</v>
      </c>
      <c r="E3032">
        <v>28</v>
      </c>
      <c r="F3032">
        <v>801011</v>
      </c>
      <c r="G3032" s="1">
        <v>-38.01</v>
      </c>
      <c r="H3032" t="s">
        <v>3430</v>
      </c>
      <c r="J3032" s="18" t="s">
        <v>4327</v>
      </c>
    </row>
    <row r="3033" spans="3:10" x14ac:dyDescent="0.25">
      <c r="C3033" s="17" t="str">
        <f t="shared" si="48"/>
        <v>28.801011.-6720.9612..CLEAR SCHEDULE.</v>
      </c>
      <c r="E3033">
        <v>28</v>
      </c>
      <c r="F3033">
        <v>801011</v>
      </c>
      <c r="G3033" s="2">
        <v>-67.2</v>
      </c>
      <c r="H3033" t="s">
        <v>3431</v>
      </c>
      <c r="J3033" s="18" t="s">
        <v>4327</v>
      </c>
    </row>
    <row r="3034" spans="3:10" x14ac:dyDescent="0.25">
      <c r="C3034" s="17" t="str">
        <f t="shared" si="48"/>
        <v>28.801011.-5798.9614..CLEAR SCHEDULE.</v>
      </c>
      <c r="E3034">
        <v>28</v>
      </c>
      <c r="F3034">
        <v>801011</v>
      </c>
      <c r="G3034" s="1">
        <v>-57.98</v>
      </c>
      <c r="H3034" t="s">
        <v>3432</v>
      </c>
      <c r="J3034" s="18" t="s">
        <v>4327</v>
      </c>
    </row>
    <row r="3035" spans="3:10" x14ac:dyDescent="0.25">
      <c r="C3035" s="17" t="str">
        <f t="shared" si="48"/>
        <v>28.801011.-8972.9615..CLEAR SCHEDULE.</v>
      </c>
      <c r="E3035">
        <v>28</v>
      </c>
      <c r="F3035">
        <v>801011</v>
      </c>
      <c r="G3035" s="2">
        <v>-89.72</v>
      </c>
      <c r="H3035" t="s">
        <v>3433</v>
      </c>
      <c r="J3035" s="18" t="s">
        <v>4327</v>
      </c>
    </row>
    <row r="3036" spans="3:10" x14ac:dyDescent="0.25">
      <c r="C3036" s="17" t="str">
        <f t="shared" si="48"/>
        <v>28.801011.-107454.9616..CLEAR SCHEDULE.</v>
      </c>
      <c r="E3036">
        <v>28</v>
      </c>
      <c r="F3036">
        <v>801011</v>
      </c>
      <c r="G3036" s="1">
        <v>-1074.54</v>
      </c>
      <c r="H3036" t="s">
        <v>3434</v>
      </c>
      <c r="J3036" s="18" t="s">
        <v>4327</v>
      </c>
    </row>
    <row r="3037" spans="3:10" x14ac:dyDescent="0.25">
      <c r="C3037" s="17" t="str">
        <f t="shared" si="48"/>
        <v>28.801011.-70336.9617..CLEAR SCHEDULE.</v>
      </c>
      <c r="E3037">
        <v>28</v>
      </c>
      <c r="F3037">
        <v>801011</v>
      </c>
      <c r="G3037" s="2">
        <v>-703.36</v>
      </c>
      <c r="H3037" t="s">
        <v>3435</v>
      </c>
      <c r="J3037" s="18" t="s">
        <v>4327</v>
      </c>
    </row>
    <row r="3038" spans="3:10" x14ac:dyDescent="0.25">
      <c r="C3038" s="17" t="str">
        <f t="shared" si="48"/>
        <v>28.801011.-23417.9620..CLEAR SCHEDULE.</v>
      </c>
      <c r="E3038">
        <v>28</v>
      </c>
      <c r="F3038">
        <v>801011</v>
      </c>
      <c r="G3038" s="1">
        <v>-234.17</v>
      </c>
      <c r="H3038" t="s">
        <v>3436</v>
      </c>
      <c r="J3038" s="18" t="s">
        <v>4327</v>
      </c>
    </row>
    <row r="3039" spans="3:10" x14ac:dyDescent="0.25">
      <c r="C3039" s="17" t="str">
        <f t="shared" si="48"/>
        <v>28.801011.-9263.9621..CLEAR SCHEDULE.</v>
      </c>
      <c r="E3039">
        <v>28</v>
      </c>
      <c r="F3039">
        <v>801011</v>
      </c>
      <c r="G3039" s="2">
        <v>-92.63</v>
      </c>
      <c r="H3039" t="s">
        <v>3437</v>
      </c>
      <c r="J3039" s="18" t="s">
        <v>4327</v>
      </c>
    </row>
    <row r="3040" spans="3:10" x14ac:dyDescent="0.25">
      <c r="C3040" s="17" t="str">
        <f t="shared" si="48"/>
        <v>28.801011.-12131.9622..CLEAR SCHEDULE.</v>
      </c>
      <c r="E3040">
        <v>28</v>
      </c>
      <c r="F3040">
        <v>801011</v>
      </c>
      <c r="G3040" s="1">
        <v>-121.31</v>
      </c>
      <c r="H3040" t="s">
        <v>3438</v>
      </c>
      <c r="J3040" s="18" t="s">
        <v>4327</v>
      </c>
    </row>
    <row r="3041" spans="3:10" x14ac:dyDescent="0.25">
      <c r="C3041" s="17" t="str">
        <f t="shared" si="48"/>
        <v>28.801011.-9440.9623..CLEAR SCHEDULE.</v>
      </c>
      <c r="E3041">
        <v>28</v>
      </c>
      <c r="F3041">
        <v>801011</v>
      </c>
      <c r="G3041" s="2">
        <v>-94.4</v>
      </c>
      <c r="H3041" t="s">
        <v>3439</v>
      </c>
      <c r="J3041" s="18" t="s">
        <v>4327</v>
      </c>
    </row>
    <row r="3042" spans="3:10" x14ac:dyDescent="0.25">
      <c r="C3042" s="17" t="str">
        <f t="shared" si="48"/>
        <v>28.801011.-127961.9624..CLEAR SCHEDULE.</v>
      </c>
      <c r="E3042">
        <v>28</v>
      </c>
      <c r="F3042">
        <v>801011</v>
      </c>
      <c r="G3042" s="1">
        <v>-1279.6099999999999</v>
      </c>
      <c r="H3042" t="s">
        <v>3440</v>
      </c>
      <c r="J3042" s="18" t="s">
        <v>4327</v>
      </c>
    </row>
    <row r="3043" spans="3:10" x14ac:dyDescent="0.25">
      <c r="C3043" s="17" t="str">
        <f t="shared" si="48"/>
        <v>28.801011.-18600.9626..CLEAR SCHEDULE.</v>
      </c>
      <c r="E3043">
        <v>28</v>
      </c>
      <c r="F3043">
        <v>801011</v>
      </c>
      <c r="G3043" s="2">
        <v>-186</v>
      </c>
      <c r="H3043" t="s">
        <v>3441</v>
      </c>
      <c r="J3043" s="18" t="s">
        <v>4327</v>
      </c>
    </row>
    <row r="3044" spans="3:10" x14ac:dyDescent="0.25">
      <c r="C3044" s="17" t="str">
        <f t="shared" si="48"/>
        <v>28.801011.-47092.9627..CLEAR SCHEDULE.</v>
      </c>
      <c r="E3044">
        <v>28</v>
      </c>
      <c r="F3044">
        <v>801011</v>
      </c>
      <c r="G3044" s="1">
        <v>-470.92</v>
      </c>
      <c r="H3044" t="s">
        <v>3442</v>
      </c>
      <c r="J3044" s="18" t="s">
        <v>4327</v>
      </c>
    </row>
    <row r="3045" spans="3:10" x14ac:dyDescent="0.25">
      <c r="C3045" s="17" t="str">
        <f t="shared" si="48"/>
        <v>28.801011.-14387.9628..CLEAR SCHEDULE.</v>
      </c>
      <c r="E3045">
        <v>28</v>
      </c>
      <c r="F3045">
        <v>801011</v>
      </c>
      <c r="G3045" s="2">
        <v>-143.87</v>
      </c>
      <c r="H3045" t="s">
        <v>3443</v>
      </c>
      <c r="J3045" s="18" t="s">
        <v>4327</v>
      </c>
    </row>
    <row r="3046" spans="3:10" x14ac:dyDescent="0.25">
      <c r="C3046" s="17" t="str">
        <f t="shared" si="48"/>
        <v>28.801011.-47927.9629..CLEAR SCHEDULE.</v>
      </c>
      <c r="E3046">
        <v>28</v>
      </c>
      <c r="F3046">
        <v>801011</v>
      </c>
      <c r="G3046" s="1">
        <v>-479.27</v>
      </c>
      <c r="H3046" t="s">
        <v>3444</v>
      </c>
      <c r="J3046" s="18" t="s">
        <v>4327</v>
      </c>
    </row>
    <row r="3047" spans="3:10" x14ac:dyDescent="0.25">
      <c r="C3047" s="17" t="str">
        <f t="shared" si="48"/>
        <v>28.801011.-174173.9630..CLEAR SCHEDULE.</v>
      </c>
      <c r="E3047">
        <v>28</v>
      </c>
      <c r="F3047">
        <v>801011</v>
      </c>
      <c r="G3047" s="2">
        <v>-1741.73</v>
      </c>
      <c r="H3047" t="s">
        <v>3445</v>
      </c>
      <c r="J3047" s="18" t="s">
        <v>4327</v>
      </c>
    </row>
    <row r="3048" spans="3:10" x14ac:dyDescent="0.25">
      <c r="C3048" s="17" t="str">
        <f t="shared" si="48"/>
        <v>28.801011.-133028.9631..CLEAR SCHEDULE.</v>
      </c>
      <c r="E3048">
        <v>28</v>
      </c>
      <c r="F3048">
        <v>801011</v>
      </c>
      <c r="G3048" s="1">
        <v>-1330.28</v>
      </c>
      <c r="H3048" t="s">
        <v>3446</v>
      </c>
      <c r="J3048" s="18" t="s">
        <v>4327</v>
      </c>
    </row>
    <row r="3049" spans="3:10" x14ac:dyDescent="0.25">
      <c r="C3049" s="17" t="str">
        <f t="shared" si="48"/>
        <v>28.801011.-28714.9633..CLEAR SCHEDULE.</v>
      </c>
      <c r="E3049">
        <v>28</v>
      </c>
      <c r="F3049">
        <v>801011</v>
      </c>
      <c r="G3049" s="2">
        <v>-287.14</v>
      </c>
      <c r="H3049" t="s">
        <v>3447</v>
      </c>
      <c r="J3049" s="18" t="s">
        <v>4327</v>
      </c>
    </row>
    <row r="3050" spans="3:10" x14ac:dyDescent="0.25">
      <c r="C3050" s="17" t="str">
        <f t="shared" si="48"/>
        <v>28.801011.-18515.9634..CLEAR SCHEDULE.</v>
      </c>
      <c r="E3050">
        <v>28</v>
      </c>
      <c r="F3050">
        <v>801011</v>
      </c>
      <c r="G3050" s="1">
        <v>-185.15</v>
      </c>
      <c r="H3050" t="s">
        <v>3448</v>
      </c>
      <c r="J3050" s="18" t="s">
        <v>4327</v>
      </c>
    </row>
    <row r="3051" spans="3:10" x14ac:dyDescent="0.25">
      <c r="C3051" s="17" t="str">
        <f t="shared" si="48"/>
        <v>28.801011.-52198.9638..CLEAR SCHEDULE.</v>
      </c>
      <c r="E3051">
        <v>28</v>
      </c>
      <c r="F3051">
        <v>801011</v>
      </c>
      <c r="G3051" s="2">
        <v>-521.98</v>
      </c>
      <c r="H3051" t="s">
        <v>3449</v>
      </c>
      <c r="J3051" s="18" t="s">
        <v>4327</v>
      </c>
    </row>
    <row r="3052" spans="3:10" x14ac:dyDescent="0.25">
      <c r="C3052" s="17" t="str">
        <f t="shared" si="48"/>
        <v>28.801011.-15945.9643..CLEAR SCHEDULE.</v>
      </c>
      <c r="E3052">
        <v>28</v>
      </c>
      <c r="F3052">
        <v>801011</v>
      </c>
      <c r="G3052" s="1">
        <v>-159.44999999999999</v>
      </c>
      <c r="H3052" t="s">
        <v>3450</v>
      </c>
      <c r="J3052" s="18" t="s">
        <v>4327</v>
      </c>
    </row>
    <row r="3053" spans="3:10" x14ac:dyDescent="0.25">
      <c r="C3053" s="17" t="str">
        <f t="shared" si="48"/>
        <v>28.801011.-80080.9645..CLEAR SCHEDULE.</v>
      </c>
      <c r="E3053">
        <v>28</v>
      </c>
      <c r="F3053">
        <v>801011</v>
      </c>
      <c r="G3053" s="2">
        <v>-800.8</v>
      </c>
      <c r="H3053" t="s">
        <v>3451</v>
      </c>
      <c r="J3053" s="18" t="s">
        <v>4327</v>
      </c>
    </row>
    <row r="3054" spans="3:10" x14ac:dyDescent="0.25">
      <c r="C3054" s="17" t="str">
        <f t="shared" si="48"/>
        <v>28.801011.-10530.9646..CLEAR SCHEDULE.</v>
      </c>
      <c r="E3054">
        <v>28</v>
      </c>
      <c r="F3054">
        <v>801011</v>
      </c>
      <c r="G3054" s="1">
        <v>-105.3</v>
      </c>
      <c r="H3054" t="s">
        <v>3452</v>
      </c>
      <c r="J3054" s="18" t="s">
        <v>4327</v>
      </c>
    </row>
    <row r="3055" spans="3:10" x14ac:dyDescent="0.25">
      <c r="C3055" s="17" t="str">
        <f t="shared" si="48"/>
        <v>28.801011.-8972.9647..CLEAR SCHEDULE.</v>
      </c>
      <c r="E3055">
        <v>28</v>
      </c>
      <c r="F3055">
        <v>801011</v>
      </c>
      <c r="G3055" s="2">
        <v>-89.72</v>
      </c>
      <c r="H3055" t="s">
        <v>3453</v>
      </c>
      <c r="J3055" s="18" t="s">
        <v>4327</v>
      </c>
    </row>
    <row r="3056" spans="3:10" x14ac:dyDescent="0.25">
      <c r="C3056" s="17" t="str">
        <f t="shared" si="48"/>
        <v>28.801011.-29613.9649..CLEAR SCHEDULE.</v>
      </c>
      <c r="E3056">
        <v>28</v>
      </c>
      <c r="F3056">
        <v>801011</v>
      </c>
      <c r="G3056" s="1">
        <v>-296.13</v>
      </c>
      <c r="H3056" t="s">
        <v>3454</v>
      </c>
      <c r="J3056" s="18" t="s">
        <v>4327</v>
      </c>
    </row>
    <row r="3057" spans="3:10" x14ac:dyDescent="0.25">
      <c r="C3057" s="17" t="str">
        <f t="shared" si="48"/>
        <v>28.801011.-133692.9651..CLEAR SCHEDULE.</v>
      </c>
      <c r="E3057">
        <v>28</v>
      </c>
      <c r="F3057">
        <v>801011</v>
      </c>
      <c r="G3057" s="2">
        <v>-1336.92</v>
      </c>
      <c r="H3057" t="s">
        <v>3455</v>
      </c>
      <c r="J3057" s="18" t="s">
        <v>4327</v>
      </c>
    </row>
    <row r="3058" spans="3:10" x14ac:dyDescent="0.25">
      <c r="C3058" s="17" t="str">
        <f t="shared" si="48"/>
        <v>28.801011.-195228.9652..CLEAR SCHEDULE.</v>
      </c>
      <c r="E3058">
        <v>28</v>
      </c>
      <c r="F3058">
        <v>801011</v>
      </c>
      <c r="G3058" s="1">
        <v>-1952.28</v>
      </c>
      <c r="H3058" t="s">
        <v>3456</v>
      </c>
      <c r="J3058" s="18" t="s">
        <v>4327</v>
      </c>
    </row>
    <row r="3059" spans="3:10" x14ac:dyDescent="0.25">
      <c r="C3059" s="17" t="str">
        <f t="shared" si="48"/>
        <v>28.801011.-5415.9653..CLEAR SCHEDULE.</v>
      </c>
      <c r="E3059">
        <v>28</v>
      </c>
      <c r="F3059">
        <v>801011</v>
      </c>
      <c r="G3059" s="2">
        <v>-54.15</v>
      </c>
      <c r="H3059" t="s">
        <v>3457</v>
      </c>
      <c r="J3059" s="18" t="s">
        <v>4327</v>
      </c>
    </row>
    <row r="3060" spans="3:10" x14ac:dyDescent="0.25">
      <c r="C3060" s="17" t="str">
        <f t="shared" si="48"/>
        <v>28.801011.-16724.9654..CLEAR SCHEDULE.</v>
      </c>
      <c r="E3060">
        <v>28</v>
      </c>
      <c r="F3060">
        <v>801011</v>
      </c>
      <c r="G3060" s="1">
        <v>-167.24</v>
      </c>
      <c r="H3060" t="s">
        <v>3458</v>
      </c>
      <c r="J3060" s="18" t="s">
        <v>4327</v>
      </c>
    </row>
    <row r="3061" spans="3:10" x14ac:dyDescent="0.25">
      <c r="C3061" s="17" t="str">
        <f t="shared" si="48"/>
        <v>28.801011.-10466.9656..CLEAR SCHEDULE.</v>
      </c>
      <c r="E3061">
        <v>28</v>
      </c>
      <c r="F3061">
        <v>801011</v>
      </c>
      <c r="G3061" s="2">
        <v>-104.66</v>
      </c>
      <c r="H3061" t="s">
        <v>3459</v>
      </c>
      <c r="J3061" s="18" t="s">
        <v>4327</v>
      </c>
    </row>
    <row r="3062" spans="3:10" x14ac:dyDescent="0.25">
      <c r="C3062" s="17" t="str">
        <f t="shared" si="48"/>
        <v>28.801011.-112712.9660..CLEAR SCHEDULE.</v>
      </c>
      <c r="E3062">
        <v>28</v>
      </c>
      <c r="F3062">
        <v>801011</v>
      </c>
      <c r="G3062" s="1">
        <v>-1127.1199999999999</v>
      </c>
      <c r="H3062" t="s">
        <v>3460</v>
      </c>
      <c r="J3062" s="18" t="s">
        <v>4327</v>
      </c>
    </row>
    <row r="3063" spans="3:10" x14ac:dyDescent="0.25">
      <c r="C3063" s="17" t="str">
        <f t="shared" si="48"/>
        <v>28.801011.-90585.9662..CLEAR SCHEDULE.</v>
      </c>
      <c r="E3063">
        <v>28</v>
      </c>
      <c r="F3063">
        <v>801011</v>
      </c>
      <c r="G3063" s="2">
        <v>-905.85</v>
      </c>
      <c r="H3063" t="s">
        <v>3461</v>
      </c>
      <c r="J3063" s="18" t="s">
        <v>4327</v>
      </c>
    </row>
    <row r="3064" spans="3:10" x14ac:dyDescent="0.25">
      <c r="C3064" s="17" t="str">
        <f t="shared" si="48"/>
        <v>28.801011.-113162.9663..CLEAR SCHEDULE.</v>
      </c>
      <c r="E3064">
        <v>28</v>
      </c>
      <c r="F3064">
        <v>801011</v>
      </c>
      <c r="G3064" s="1">
        <v>-1131.6199999999999</v>
      </c>
      <c r="H3064" t="s">
        <v>3462</v>
      </c>
      <c r="J3064" s="18" t="s">
        <v>4327</v>
      </c>
    </row>
    <row r="3065" spans="3:10" x14ac:dyDescent="0.25">
      <c r="C3065" s="17" t="str">
        <f t="shared" si="48"/>
        <v>28.801011.-14387.9665..CLEAR SCHEDULE.</v>
      </c>
      <c r="E3065">
        <v>28</v>
      </c>
      <c r="F3065">
        <v>801011</v>
      </c>
      <c r="G3065" s="2">
        <v>-143.87</v>
      </c>
      <c r="H3065" t="s">
        <v>3463</v>
      </c>
      <c r="J3065" s="18" t="s">
        <v>4327</v>
      </c>
    </row>
    <row r="3066" spans="3:10" x14ac:dyDescent="0.25">
      <c r="C3066" s="17" t="str">
        <f t="shared" si="48"/>
        <v>28.801011.-88842.9667..CLEAR SCHEDULE.</v>
      </c>
      <c r="E3066">
        <v>28</v>
      </c>
      <c r="F3066">
        <v>801011</v>
      </c>
      <c r="G3066" s="1">
        <v>-888.42</v>
      </c>
      <c r="H3066" t="s">
        <v>3464</v>
      </c>
      <c r="J3066" s="18" t="s">
        <v>4327</v>
      </c>
    </row>
    <row r="3067" spans="3:10" x14ac:dyDescent="0.25">
      <c r="C3067" s="17" t="str">
        <f t="shared" si="48"/>
        <v>28.801011.-1974.9668..CLEAR SCHEDULE.</v>
      </c>
      <c r="E3067">
        <v>28</v>
      </c>
      <c r="F3067">
        <v>801011</v>
      </c>
      <c r="G3067" s="2">
        <v>-19.739999999999998</v>
      </c>
      <c r="H3067" t="s">
        <v>3465</v>
      </c>
      <c r="J3067" s="18" t="s">
        <v>4327</v>
      </c>
    </row>
    <row r="3068" spans="3:10" x14ac:dyDescent="0.25">
      <c r="C3068" s="17" t="str">
        <f t="shared" si="48"/>
        <v>28.801011.-25250.9670..CLEAR SCHEDULE.</v>
      </c>
      <c r="E3068">
        <v>28</v>
      </c>
      <c r="F3068">
        <v>801011</v>
      </c>
      <c r="G3068" s="1">
        <v>-252.5</v>
      </c>
      <c r="H3068" t="s">
        <v>3466</v>
      </c>
      <c r="J3068" s="18" t="s">
        <v>4327</v>
      </c>
    </row>
    <row r="3069" spans="3:10" x14ac:dyDescent="0.25">
      <c r="C3069" s="17" t="str">
        <f t="shared" si="48"/>
        <v>28.801011.-38340.9671..CLEAR SCHEDULE.</v>
      </c>
      <c r="E3069">
        <v>28</v>
      </c>
      <c r="F3069">
        <v>801011</v>
      </c>
      <c r="G3069" s="2">
        <v>-383.4</v>
      </c>
      <c r="H3069" t="s">
        <v>3467</v>
      </c>
      <c r="J3069" s="18" t="s">
        <v>4327</v>
      </c>
    </row>
    <row r="3070" spans="3:10" x14ac:dyDescent="0.25">
      <c r="C3070" s="17" t="str">
        <f t="shared" si="48"/>
        <v>28.801011.-52419.9672..CLEAR SCHEDULE.</v>
      </c>
      <c r="E3070">
        <v>28</v>
      </c>
      <c r="F3070">
        <v>801011</v>
      </c>
      <c r="G3070" s="1">
        <v>-524.19000000000005</v>
      </c>
      <c r="H3070" t="s">
        <v>3468</v>
      </c>
      <c r="J3070" s="18" t="s">
        <v>4327</v>
      </c>
    </row>
    <row r="3071" spans="3:10" x14ac:dyDescent="0.25">
      <c r="C3071" s="17" t="str">
        <f t="shared" si="48"/>
        <v>28.801011.-55755.9673..CLEAR SCHEDULE.</v>
      </c>
      <c r="E3071">
        <v>28</v>
      </c>
      <c r="F3071">
        <v>801011</v>
      </c>
      <c r="G3071" s="2">
        <v>-557.54999999999995</v>
      </c>
      <c r="H3071" t="s">
        <v>3469</v>
      </c>
      <c r="J3071" s="18" t="s">
        <v>4327</v>
      </c>
    </row>
    <row r="3072" spans="3:10" x14ac:dyDescent="0.25">
      <c r="C3072" s="17" t="str">
        <f t="shared" si="48"/>
        <v>28.801011.-109892.9674..CLEAR SCHEDULE.</v>
      </c>
      <c r="E3072">
        <v>28</v>
      </c>
      <c r="F3072">
        <v>801011</v>
      </c>
      <c r="G3072" s="1">
        <v>-1098.92</v>
      </c>
      <c r="H3072" t="s">
        <v>3470</v>
      </c>
      <c r="J3072" s="18" t="s">
        <v>4327</v>
      </c>
    </row>
    <row r="3073" spans="3:10" x14ac:dyDescent="0.25">
      <c r="C3073" s="17" t="str">
        <f t="shared" si="48"/>
        <v>28.801011.-14387.9675..CLEAR SCHEDULE.</v>
      </c>
      <c r="E3073">
        <v>28</v>
      </c>
      <c r="F3073">
        <v>801011</v>
      </c>
      <c r="G3073" s="2">
        <v>-143.87</v>
      </c>
      <c r="H3073" t="s">
        <v>3471</v>
      </c>
      <c r="J3073" s="18" t="s">
        <v>4327</v>
      </c>
    </row>
    <row r="3074" spans="3:10" x14ac:dyDescent="0.25">
      <c r="C3074" s="17" t="str">
        <f t="shared" si="48"/>
        <v>28.801011.-30853.9676..CLEAR SCHEDULE.</v>
      </c>
      <c r="E3074">
        <v>28</v>
      </c>
      <c r="F3074">
        <v>801011</v>
      </c>
      <c r="G3074" s="1">
        <v>-308.52999999999997</v>
      </c>
      <c r="H3074" t="s">
        <v>3472</v>
      </c>
      <c r="J3074" s="18" t="s">
        <v>4327</v>
      </c>
    </row>
    <row r="3075" spans="3:10" x14ac:dyDescent="0.25">
      <c r="C3075" s="17" t="str">
        <f t="shared" si="48"/>
        <v>28.801011.-142452.9678..CLEAR SCHEDULE.</v>
      </c>
      <c r="E3075">
        <v>28</v>
      </c>
      <c r="F3075">
        <v>801011</v>
      </c>
      <c r="G3075" s="2">
        <v>-1424.52</v>
      </c>
      <c r="H3075" t="s">
        <v>3473</v>
      </c>
      <c r="J3075" s="18" t="s">
        <v>4327</v>
      </c>
    </row>
    <row r="3076" spans="3:10" x14ac:dyDescent="0.25">
      <c r="C3076" s="17" t="str">
        <f t="shared" si="48"/>
        <v>28.801011.-78718.9680..CLEAR SCHEDULE.</v>
      </c>
      <c r="E3076">
        <v>28</v>
      </c>
      <c r="F3076">
        <v>801011</v>
      </c>
      <c r="G3076" s="1">
        <v>-787.18</v>
      </c>
      <c r="H3076" t="s">
        <v>3474</v>
      </c>
      <c r="J3076" s="18" t="s">
        <v>4327</v>
      </c>
    </row>
    <row r="3077" spans="3:10" x14ac:dyDescent="0.25">
      <c r="C3077" s="17" t="str">
        <f t="shared" si="48"/>
        <v>28.801011.-47605.9682..CLEAR SCHEDULE.</v>
      </c>
      <c r="E3077">
        <v>28</v>
      </c>
      <c r="F3077">
        <v>801011</v>
      </c>
      <c r="G3077" s="2">
        <v>-476.05</v>
      </c>
      <c r="H3077" t="s">
        <v>3475</v>
      </c>
      <c r="J3077" s="18" t="s">
        <v>4327</v>
      </c>
    </row>
    <row r="3078" spans="3:10" x14ac:dyDescent="0.25">
      <c r="C3078" s="17" t="str">
        <f t="shared" si="48"/>
        <v>28.801011.-17735.9683..CLEAR SCHEDULE.</v>
      </c>
      <c r="E3078">
        <v>28</v>
      </c>
      <c r="F3078">
        <v>801011</v>
      </c>
      <c r="G3078" s="1">
        <v>-177.35</v>
      </c>
      <c r="H3078" t="s">
        <v>3476</v>
      </c>
      <c r="J3078" s="18" t="s">
        <v>4327</v>
      </c>
    </row>
    <row r="3079" spans="3:10" x14ac:dyDescent="0.25">
      <c r="C3079" s="17" t="str">
        <f t="shared" si="48"/>
        <v>28.801011.-11309.9686..CLEAR SCHEDULE.</v>
      </c>
      <c r="E3079">
        <v>28</v>
      </c>
      <c r="F3079">
        <v>801011</v>
      </c>
      <c r="G3079" s="2">
        <v>-113.09</v>
      </c>
      <c r="H3079" t="s">
        <v>3477</v>
      </c>
      <c r="J3079" s="18" t="s">
        <v>4327</v>
      </c>
    </row>
    <row r="3080" spans="3:10" x14ac:dyDescent="0.25">
      <c r="C3080" s="17" t="str">
        <f t="shared" si="48"/>
        <v>28.801011.-91764.9687..CLEAR SCHEDULE.</v>
      </c>
      <c r="E3080">
        <v>28</v>
      </c>
      <c r="F3080">
        <v>801011</v>
      </c>
      <c r="G3080" s="1">
        <v>-917.64</v>
      </c>
      <c r="H3080" t="s">
        <v>3478</v>
      </c>
      <c r="J3080" s="18" t="s">
        <v>4327</v>
      </c>
    </row>
    <row r="3081" spans="3:10" x14ac:dyDescent="0.25">
      <c r="C3081" s="17" t="str">
        <f t="shared" si="48"/>
        <v>28.801011.-5415.9688..CLEAR SCHEDULE.</v>
      </c>
      <c r="E3081">
        <v>28</v>
      </c>
      <c r="F3081">
        <v>801011</v>
      </c>
      <c r="G3081" s="2">
        <v>-54.15</v>
      </c>
      <c r="H3081" t="s">
        <v>3479</v>
      </c>
      <c r="J3081" s="18" t="s">
        <v>4327</v>
      </c>
    </row>
    <row r="3082" spans="3:10" x14ac:dyDescent="0.25">
      <c r="C3082" s="17" t="str">
        <f t="shared" si="48"/>
        <v>28.801011.-37753.9690..CLEAR SCHEDULE.</v>
      </c>
      <c r="E3082">
        <v>28</v>
      </c>
      <c r="F3082">
        <v>801011</v>
      </c>
      <c r="G3082" s="1">
        <v>-377.53</v>
      </c>
      <c r="H3082" t="s">
        <v>3480</v>
      </c>
      <c r="J3082" s="18" t="s">
        <v>4327</v>
      </c>
    </row>
    <row r="3083" spans="3:10" x14ac:dyDescent="0.25">
      <c r="C3083" s="17" t="str">
        <f t="shared" ref="C3083:C3146" si="49">IF(G3083=0,"",(E3083&amp;"."&amp;F3083&amp;"."&amp;G3083*100&amp;"."&amp;H3083&amp;"."&amp;I3083&amp;"."&amp;J3083&amp;"."&amp;K3083))</f>
        <v>28.801011.-8972.9692..CLEAR SCHEDULE.</v>
      </c>
      <c r="E3083">
        <v>28</v>
      </c>
      <c r="F3083">
        <v>801011</v>
      </c>
      <c r="G3083" s="2">
        <v>-89.72</v>
      </c>
      <c r="H3083" t="s">
        <v>3481</v>
      </c>
      <c r="J3083" s="18" t="s">
        <v>4327</v>
      </c>
    </row>
    <row r="3084" spans="3:10" x14ac:dyDescent="0.25">
      <c r="C3084" s="17" t="str">
        <f t="shared" si="49"/>
        <v>28.801011.-138790.9693..CLEAR SCHEDULE.</v>
      </c>
      <c r="E3084">
        <v>28</v>
      </c>
      <c r="F3084">
        <v>801011</v>
      </c>
      <c r="G3084" s="1">
        <v>-1387.9</v>
      </c>
      <c r="H3084" t="s">
        <v>3482</v>
      </c>
      <c r="J3084" s="18" t="s">
        <v>4327</v>
      </c>
    </row>
    <row r="3085" spans="3:10" x14ac:dyDescent="0.25">
      <c r="C3085" s="17" t="str">
        <f t="shared" si="49"/>
        <v>28.801011.-53631.9694..CLEAR SCHEDULE.</v>
      </c>
      <c r="E3085">
        <v>28</v>
      </c>
      <c r="F3085">
        <v>801011</v>
      </c>
      <c r="G3085" s="2">
        <v>-536.30999999999995</v>
      </c>
      <c r="H3085" t="s">
        <v>3483</v>
      </c>
      <c r="J3085" s="18" t="s">
        <v>4327</v>
      </c>
    </row>
    <row r="3086" spans="3:10" x14ac:dyDescent="0.25">
      <c r="C3086" s="17" t="str">
        <f t="shared" si="49"/>
        <v>28.801011.-7878.9696..CLEAR SCHEDULE.</v>
      </c>
      <c r="E3086">
        <v>28</v>
      </c>
      <c r="F3086">
        <v>801011</v>
      </c>
      <c r="G3086" s="1">
        <v>-78.78</v>
      </c>
      <c r="H3086" t="s">
        <v>3484</v>
      </c>
      <c r="J3086" s="18" t="s">
        <v>4327</v>
      </c>
    </row>
    <row r="3087" spans="3:10" x14ac:dyDescent="0.25">
      <c r="C3087" s="17" t="str">
        <f t="shared" si="49"/>
        <v>28.801011.-14387.9699..CLEAR SCHEDULE.</v>
      </c>
      <c r="E3087">
        <v>28</v>
      </c>
      <c r="F3087">
        <v>801011</v>
      </c>
      <c r="G3087" s="2">
        <v>-143.87</v>
      </c>
      <c r="H3087" t="s">
        <v>3485</v>
      </c>
      <c r="J3087" s="18" t="s">
        <v>4327</v>
      </c>
    </row>
    <row r="3088" spans="3:10" x14ac:dyDescent="0.25">
      <c r="C3088" s="17" t="str">
        <f t="shared" si="49"/>
        <v>28.801011.-14387.9700..CLEAR SCHEDULE.</v>
      </c>
      <c r="E3088">
        <v>28</v>
      </c>
      <c r="F3088">
        <v>801011</v>
      </c>
      <c r="G3088" s="1">
        <v>-143.87</v>
      </c>
      <c r="H3088" t="s">
        <v>3486</v>
      </c>
      <c r="J3088" s="18" t="s">
        <v>4327</v>
      </c>
    </row>
    <row r="3089" spans="3:10" x14ac:dyDescent="0.25">
      <c r="C3089" s="17" t="str">
        <f t="shared" si="49"/>
        <v>28.801011.-26654.9701..CLEAR SCHEDULE.</v>
      </c>
      <c r="E3089">
        <v>28</v>
      </c>
      <c r="F3089">
        <v>801011</v>
      </c>
      <c r="G3089" s="2">
        <v>-266.54000000000002</v>
      </c>
      <c r="H3089" t="s">
        <v>3487</v>
      </c>
      <c r="J3089" s="18" t="s">
        <v>4327</v>
      </c>
    </row>
    <row r="3090" spans="3:10" x14ac:dyDescent="0.25">
      <c r="C3090" s="17" t="str">
        <f t="shared" si="49"/>
        <v>28.801011.-16724.9702..CLEAR SCHEDULE.</v>
      </c>
      <c r="E3090">
        <v>28</v>
      </c>
      <c r="F3090">
        <v>801011</v>
      </c>
      <c r="G3090" s="1">
        <v>-167.24</v>
      </c>
      <c r="H3090" t="s">
        <v>3488</v>
      </c>
      <c r="J3090" s="18" t="s">
        <v>4327</v>
      </c>
    </row>
    <row r="3091" spans="3:10" x14ac:dyDescent="0.25">
      <c r="C3091" s="17" t="str">
        <f t="shared" si="49"/>
        <v>28.801011.-14387.9703..CLEAR SCHEDULE.</v>
      </c>
      <c r="E3091">
        <v>28</v>
      </c>
      <c r="F3091">
        <v>801011</v>
      </c>
      <c r="G3091" s="2">
        <v>-143.87</v>
      </c>
      <c r="H3091" t="s">
        <v>3489</v>
      </c>
      <c r="J3091" s="18" t="s">
        <v>4327</v>
      </c>
    </row>
    <row r="3092" spans="3:10" x14ac:dyDescent="0.25">
      <c r="C3092" s="17" t="str">
        <f t="shared" si="49"/>
        <v>28.801011.-14387.9705..CLEAR SCHEDULE.</v>
      </c>
      <c r="E3092">
        <v>28</v>
      </c>
      <c r="F3092">
        <v>801011</v>
      </c>
      <c r="G3092" s="1">
        <v>-143.87</v>
      </c>
      <c r="H3092" t="s">
        <v>3490</v>
      </c>
      <c r="J3092" s="18" t="s">
        <v>4327</v>
      </c>
    </row>
    <row r="3093" spans="3:10" x14ac:dyDescent="0.25">
      <c r="C3093" s="17" t="str">
        <f t="shared" si="49"/>
        <v>28.801011.-207794.9707..CLEAR SCHEDULE.</v>
      </c>
      <c r="E3093">
        <v>28</v>
      </c>
      <c r="F3093">
        <v>801011</v>
      </c>
      <c r="G3093" s="2">
        <v>-2077.94</v>
      </c>
      <c r="H3093" t="s">
        <v>3491</v>
      </c>
      <c r="J3093" s="18" t="s">
        <v>4327</v>
      </c>
    </row>
    <row r="3094" spans="3:10" x14ac:dyDescent="0.25">
      <c r="C3094" s="17" t="str">
        <f t="shared" si="49"/>
        <v>28.801011.-10530.9708..CLEAR SCHEDULE.</v>
      </c>
      <c r="E3094">
        <v>28</v>
      </c>
      <c r="F3094">
        <v>801011</v>
      </c>
      <c r="G3094" s="1">
        <v>-105.3</v>
      </c>
      <c r="H3094" t="s">
        <v>3492</v>
      </c>
      <c r="J3094" s="18" t="s">
        <v>4327</v>
      </c>
    </row>
    <row r="3095" spans="3:10" x14ac:dyDescent="0.25">
      <c r="C3095" s="17" t="str">
        <f t="shared" si="49"/>
        <v>28.801011.-9751.9710..CLEAR SCHEDULE.</v>
      </c>
      <c r="E3095">
        <v>28</v>
      </c>
      <c r="F3095">
        <v>801011</v>
      </c>
      <c r="G3095" s="2">
        <v>-97.51</v>
      </c>
      <c r="H3095" t="s">
        <v>3493</v>
      </c>
      <c r="J3095" s="18" t="s">
        <v>4327</v>
      </c>
    </row>
    <row r="3096" spans="3:10" x14ac:dyDescent="0.25">
      <c r="C3096" s="17" t="str">
        <f t="shared" si="49"/>
        <v>28.801011.-53325.9711..CLEAR SCHEDULE.</v>
      </c>
      <c r="E3096">
        <v>28</v>
      </c>
      <c r="F3096">
        <v>801011</v>
      </c>
      <c r="G3096" s="1">
        <v>-533.25</v>
      </c>
      <c r="H3096" t="s">
        <v>3494</v>
      </c>
      <c r="J3096" s="18" t="s">
        <v>4327</v>
      </c>
    </row>
    <row r="3097" spans="3:10" x14ac:dyDescent="0.25">
      <c r="C3097" s="17" t="str">
        <f t="shared" si="49"/>
        <v>28.801011.-14387.9712..CLEAR SCHEDULE.</v>
      </c>
      <c r="E3097">
        <v>28</v>
      </c>
      <c r="F3097">
        <v>801011</v>
      </c>
      <c r="G3097" s="2">
        <v>-143.87</v>
      </c>
      <c r="H3097" t="s">
        <v>3495</v>
      </c>
      <c r="J3097" s="18" t="s">
        <v>4327</v>
      </c>
    </row>
    <row r="3098" spans="3:10" x14ac:dyDescent="0.25">
      <c r="C3098" s="17" t="str">
        <f t="shared" si="49"/>
        <v>28.801011.-15945.9715..CLEAR SCHEDULE.</v>
      </c>
      <c r="E3098">
        <v>28</v>
      </c>
      <c r="F3098">
        <v>801011</v>
      </c>
      <c r="G3098" s="1">
        <v>-159.44999999999999</v>
      </c>
      <c r="H3098" t="s">
        <v>3496</v>
      </c>
      <c r="J3098" s="18" t="s">
        <v>4327</v>
      </c>
    </row>
    <row r="3099" spans="3:10" x14ac:dyDescent="0.25">
      <c r="C3099" s="17" t="str">
        <f t="shared" si="49"/>
        <v>28.801011.-23976.9716..CLEAR SCHEDULE.</v>
      </c>
      <c r="E3099">
        <v>28</v>
      </c>
      <c r="F3099">
        <v>801011</v>
      </c>
      <c r="G3099" s="2">
        <v>-239.76</v>
      </c>
      <c r="H3099" t="s">
        <v>3497</v>
      </c>
      <c r="J3099" s="18" t="s">
        <v>4327</v>
      </c>
    </row>
    <row r="3100" spans="3:10" x14ac:dyDescent="0.25">
      <c r="C3100" s="17" t="str">
        <f t="shared" si="49"/>
        <v>28.801011.-22248.9718..CLEAR SCHEDULE.</v>
      </c>
      <c r="E3100">
        <v>28</v>
      </c>
      <c r="F3100">
        <v>801011</v>
      </c>
      <c r="G3100" s="1">
        <v>-222.48</v>
      </c>
      <c r="H3100" t="s">
        <v>3498</v>
      </c>
      <c r="J3100" s="18" t="s">
        <v>4327</v>
      </c>
    </row>
    <row r="3101" spans="3:10" x14ac:dyDescent="0.25">
      <c r="C3101" s="17" t="str">
        <f t="shared" si="49"/>
        <v>28.801011.-7878.9720..CLEAR SCHEDULE.</v>
      </c>
      <c r="E3101">
        <v>28</v>
      </c>
      <c r="F3101">
        <v>801011</v>
      </c>
      <c r="G3101" s="2">
        <v>-78.78</v>
      </c>
      <c r="H3101" t="s">
        <v>3499</v>
      </c>
      <c r="J3101" s="18" t="s">
        <v>4327</v>
      </c>
    </row>
    <row r="3102" spans="3:10" x14ac:dyDescent="0.25">
      <c r="C3102" s="17" t="str">
        <f t="shared" si="49"/>
        <v>28.801011.-13280.9721..CLEAR SCHEDULE.</v>
      </c>
      <c r="E3102">
        <v>28</v>
      </c>
      <c r="F3102">
        <v>801011</v>
      </c>
      <c r="G3102" s="1">
        <v>-132.80000000000001</v>
      </c>
      <c r="H3102" t="s">
        <v>3500</v>
      </c>
      <c r="J3102" s="18" t="s">
        <v>4327</v>
      </c>
    </row>
    <row r="3103" spans="3:10" x14ac:dyDescent="0.25">
      <c r="C3103" s="17" t="str">
        <f t="shared" si="49"/>
        <v>28.801011.-10530.9722..CLEAR SCHEDULE.</v>
      </c>
      <c r="E3103">
        <v>28</v>
      </c>
      <c r="F3103">
        <v>801011</v>
      </c>
      <c r="G3103" s="2">
        <v>-105.3</v>
      </c>
      <c r="H3103" t="s">
        <v>3501</v>
      </c>
      <c r="J3103" s="18" t="s">
        <v>4327</v>
      </c>
    </row>
    <row r="3104" spans="3:10" x14ac:dyDescent="0.25">
      <c r="C3104" s="17" t="str">
        <f t="shared" si="49"/>
        <v>28.801011.-18275.9724..CLEAR SCHEDULE.</v>
      </c>
      <c r="E3104">
        <v>28</v>
      </c>
      <c r="F3104">
        <v>801011</v>
      </c>
      <c r="G3104" s="1">
        <v>-182.75</v>
      </c>
      <c r="H3104" t="s">
        <v>3502</v>
      </c>
      <c r="J3104" s="18" t="s">
        <v>4327</v>
      </c>
    </row>
    <row r="3105" spans="3:10" x14ac:dyDescent="0.25">
      <c r="C3105" s="17" t="str">
        <f t="shared" si="49"/>
        <v>28.801011.-4200.9725..CLEAR SCHEDULE.</v>
      </c>
      <c r="E3105">
        <v>28</v>
      </c>
      <c r="F3105">
        <v>801011</v>
      </c>
      <c r="G3105" s="2">
        <v>-42</v>
      </c>
      <c r="H3105" t="s">
        <v>3503</v>
      </c>
      <c r="J3105" s="18" t="s">
        <v>4327</v>
      </c>
    </row>
    <row r="3106" spans="3:10" x14ac:dyDescent="0.25">
      <c r="C3106" s="17" t="str">
        <f t="shared" si="49"/>
        <v>28.801011.-9751.9726..CLEAR SCHEDULE.</v>
      </c>
      <c r="E3106">
        <v>28</v>
      </c>
      <c r="F3106">
        <v>801011</v>
      </c>
      <c r="G3106" s="1">
        <v>-97.51</v>
      </c>
      <c r="H3106" t="s">
        <v>3504</v>
      </c>
      <c r="J3106" s="18" t="s">
        <v>4327</v>
      </c>
    </row>
    <row r="3107" spans="3:10" x14ac:dyDescent="0.25">
      <c r="C3107" s="17" t="str">
        <f t="shared" si="49"/>
        <v>28.801011.-11309.9728..CLEAR SCHEDULE.</v>
      </c>
      <c r="E3107">
        <v>28</v>
      </c>
      <c r="F3107">
        <v>801011</v>
      </c>
      <c r="G3107" s="2">
        <v>-113.09</v>
      </c>
      <c r="H3107" t="s">
        <v>3505</v>
      </c>
      <c r="J3107" s="18" t="s">
        <v>4327</v>
      </c>
    </row>
    <row r="3108" spans="3:10" x14ac:dyDescent="0.25">
      <c r="C3108" s="17" t="str">
        <f t="shared" si="49"/>
        <v>28.801011.-14563.9729..CLEAR SCHEDULE.</v>
      </c>
      <c r="E3108">
        <v>28</v>
      </c>
      <c r="F3108">
        <v>801011</v>
      </c>
      <c r="G3108" s="1">
        <v>-145.63</v>
      </c>
      <c r="H3108" t="s">
        <v>3506</v>
      </c>
      <c r="J3108" s="18" t="s">
        <v>4327</v>
      </c>
    </row>
    <row r="3109" spans="3:10" x14ac:dyDescent="0.25">
      <c r="C3109" s="17" t="str">
        <f t="shared" si="49"/>
        <v>28.801011.-164459.9731..CLEAR SCHEDULE.</v>
      </c>
      <c r="E3109">
        <v>28</v>
      </c>
      <c r="F3109">
        <v>801011</v>
      </c>
      <c r="G3109" s="2">
        <v>-1644.59</v>
      </c>
      <c r="H3109" t="s">
        <v>3507</v>
      </c>
      <c r="J3109" s="18" t="s">
        <v>4327</v>
      </c>
    </row>
    <row r="3110" spans="3:10" x14ac:dyDescent="0.25">
      <c r="C3110" s="17" t="str">
        <f t="shared" si="49"/>
        <v>28.801011.-15166.9732..CLEAR SCHEDULE.</v>
      </c>
      <c r="E3110">
        <v>28</v>
      </c>
      <c r="F3110">
        <v>801011</v>
      </c>
      <c r="G3110" s="1">
        <v>-151.66</v>
      </c>
      <c r="H3110" t="s">
        <v>3508</v>
      </c>
      <c r="J3110" s="18" t="s">
        <v>4327</v>
      </c>
    </row>
    <row r="3111" spans="3:10" x14ac:dyDescent="0.25">
      <c r="C3111" s="17" t="str">
        <f t="shared" si="49"/>
        <v>28.801011.-14387.9733..CLEAR SCHEDULE.</v>
      </c>
      <c r="E3111">
        <v>28</v>
      </c>
      <c r="F3111">
        <v>801011</v>
      </c>
      <c r="G3111" s="2">
        <v>-143.87</v>
      </c>
      <c r="H3111" t="s">
        <v>3509</v>
      </c>
      <c r="J3111" s="18" t="s">
        <v>4327</v>
      </c>
    </row>
    <row r="3112" spans="3:10" x14ac:dyDescent="0.25">
      <c r="C3112" s="17" t="str">
        <f t="shared" si="49"/>
        <v>28.801011.-14387.9734..CLEAR SCHEDULE.</v>
      </c>
      <c r="E3112">
        <v>28</v>
      </c>
      <c r="F3112">
        <v>801011</v>
      </c>
      <c r="G3112" s="1">
        <v>-143.87</v>
      </c>
      <c r="H3112" t="s">
        <v>3510</v>
      </c>
      <c r="J3112" s="18" t="s">
        <v>4327</v>
      </c>
    </row>
    <row r="3113" spans="3:10" x14ac:dyDescent="0.25">
      <c r="C3113" s="17" t="str">
        <f t="shared" si="49"/>
        <v>28.801011.-64103.9735..CLEAR SCHEDULE.</v>
      </c>
      <c r="E3113">
        <v>28</v>
      </c>
      <c r="F3113">
        <v>801011</v>
      </c>
      <c r="G3113" s="2">
        <v>-641.03</v>
      </c>
      <c r="H3113" t="s">
        <v>3511</v>
      </c>
      <c r="J3113" s="18" t="s">
        <v>4327</v>
      </c>
    </row>
    <row r="3114" spans="3:10" x14ac:dyDescent="0.25">
      <c r="C3114" s="17" t="str">
        <f t="shared" si="49"/>
        <v>28.801011.-4061.9736..CLEAR SCHEDULE.</v>
      </c>
      <c r="E3114">
        <v>28</v>
      </c>
      <c r="F3114">
        <v>801011</v>
      </c>
      <c r="G3114" s="1">
        <v>-40.61</v>
      </c>
      <c r="H3114" t="s">
        <v>3512</v>
      </c>
      <c r="J3114" s="18" t="s">
        <v>4327</v>
      </c>
    </row>
    <row r="3115" spans="3:10" x14ac:dyDescent="0.25">
      <c r="C3115" s="17" t="str">
        <f t="shared" si="49"/>
        <v>28.801011.-213015.9739..CLEAR SCHEDULE.</v>
      </c>
      <c r="E3115">
        <v>28</v>
      </c>
      <c r="F3115">
        <v>801011</v>
      </c>
      <c r="G3115" s="2">
        <v>-2130.15</v>
      </c>
      <c r="H3115" t="s">
        <v>3513</v>
      </c>
      <c r="J3115" s="18" t="s">
        <v>4327</v>
      </c>
    </row>
    <row r="3116" spans="3:10" x14ac:dyDescent="0.25">
      <c r="C3116" s="17" t="str">
        <f t="shared" si="49"/>
        <v>28.801011.-10711.9740..CLEAR SCHEDULE.</v>
      </c>
      <c r="E3116">
        <v>28</v>
      </c>
      <c r="F3116">
        <v>801011</v>
      </c>
      <c r="G3116" s="1">
        <v>-107.11</v>
      </c>
      <c r="H3116" t="s">
        <v>3514</v>
      </c>
      <c r="J3116" s="18" t="s">
        <v>4327</v>
      </c>
    </row>
    <row r="3117" spans="3:10" x14ac:dyDescent="0.25">
      <c r="C3117" s="17" t="str">
        <f t="shared" si="49"/>
        <v>28.801011.-18987.9742..CLEAR SCHEDULE.</v>
      </c>
      <c r="E3117">
        <v>28</v>
      </c>
      <c r="F3117">
        <v>801011</v>
      </c>
      <c r="G3117" s="2">
        <v>-189.87</v>
      </c>
      <c r="H3117" t="s">
        <v>3515</v>
      </c>
      <c r="J3117" s="18" t="s">
        <v>4327</v>
      </c>
    </row>
    <row r="3118" spans="3:10" x14ac:dyDescent="0.25">
      <c r="C3118" s="17" t="str">
        <f t="shared" si="49"/>
        <v>28.801011.-71548.9743..CLEAR SCHEDULE.</v>
      </c>
      <c r="E3118">
        <v>28</v>
      </c>
      <c r="F3118">
        <v>801011</v>
      </c>
      <c r="G3118" s="1">
        <v>-715.48</v>
      </c>
      <c r="H3118" t="s">
        <v>3516</v>
      </c>
      <c r="J3118" s="18" t="s">
        <v>4327</v>
      </c>
    </row>
    <row r="3119" spans="3:10" x14ac:dyDescent="0.25">
      <c r="C3119" s="17" t="str">
        <f t="shared" si="49"/>
        <v>28.801011.-24070.9744..CLEAR SCHEDULE.</v>
      </c>
      <c r="E3119">
        <v>28</v>
      </c>
      <c r="F3119">
        <v>801011</v>
      </c>
      <c r="G3119" s="2">
        <v>-240.7</v>
      </c>
      <c r="H3119" t="s">
        <v>3517</v>
      </c>
      <c r="J3119" s="18" t="s">
        <v>4327</v>
      </c>
    </row>
    <row r="3120" spans="3:10" x14ac:dyDescent="0.25">
      <c r="C3120" s="17" t="str">
        <f t="shared" si="49"/>
        <v>28.801011.-37737.9745..CLEAR SCHEDULE.</v>
      </c>
      <c r="E3120">
        <v>28</v>
      </c>
      <c r="F3120">
        <v>801011</v>
      </c>
      <c r="G3120" s="1">
        <v>-377.37</v>
      </c>
      <c r="H3120" t="s">
        <v>3518</v>
      </c>
      <c r="J3120" s="18" t="s">
        <v>4327</v>
      </c>
    </row>
    <row r="3121" spans="3:10" x14ac:dyDescent="0.25">
      <c r="C3121" s="17" t="str">
        <f t="shared" si="49"/>
        <v>28.801011.-65958.9746..CLEAR SCHEDULE.</v>
      </c>
      <c r="E3121">
        <v>28</v>
      </c>
      <c r="F3121">
        <v>801011</v>
      </c>
      <c r="G3121" s="2">
        <v>-659.58</v>
      </c>
      <c r="H3121" t="s">
        <v>3519</v>
      </c>
      <c r="J3121" s="18" t="s">
        <v>4327</v>
      </c>
    </row>
    <row r="3122" spans="3:10" x14ac:dyDescent="0.25">
      <c r="C3122" s="17" t="str">
        <f t="shared" si="49"/>
        <v>28.801011.-67299.9747..CLEAR SCHEDULE.</v>
      </c>
      <c r="E3122">
        <v>28</v>
      </c>
      <c r="F3122">
        <v>801011</v>
      </c>
      <c r="G3122" s="1">
        <v>-672.99</v>
      </c>
      <c r="H3122" t="s">
        <v>3520</v>
      </c>
      <c r="J3122" s="18" t="s">
        <v>4327</v>
      </c>
    </row>
    <row r="3123" spans="3:10" x14ac:dyDescent="0.25">
      <c r="C3123" s="17" t="str">
        <f t="shared" si="49"/>
        <v>28.801011.-3463.9749..CLEAR SCHEDULE.</v>
      </c>
      <c r="E3123">
        <v>28</v>
      </c>
      <c r="F3123">
        <v>801011</v>
      </c>
      <c r="G3123" s="2">
        <v>-34.630000000000003</v>
      </c>
      <c r="H3123" t="s">
        <v>3521</v>
      </c>
      <c r="J3123" s="18" t="s">
        <v>4327</v>
      </c>
    </row>
    <row r="3124" spans="3:10" x14ac:dyDescent="0.25">
      <c r="C3124" s="17" t="str">
        <f t="shared" si="49"/>
        <v>28.801011.-14387.9751..CLEAR SCHEDULE.</v>
      </c>
      <c r="E3124">
        <v>28</v>
      </c>
      <c r="F3124">
        <v>801011</v>
      </c>
      <c r="G3124" s="1">
        <v>-143.87</v>
      </c>
      <c r="H3124" t="s">
        <v>3522</v>
      </c>
      <c r="J3124" s="18" t="s">
        <v>4327</v>
      </c>
    </row>
    <row r="3125" spans="3:10" x14ac:dyDescent="0.25">
      <c r="C3125" s="17" t="str">
        <f t="shared" si="49"/>
        <v>28.801011.-55609.9752..CLEAR SCHEDULE.</v>
      </c>
      <c r="E3125">
        <v>28</v>
      </c>
      <c r="F3125">
        <v>801011</v>
      </c>
      <c r="G3125" s="2">
        <v>-556.09</v>
      </c>
      <c r="H3125" t="s">
        <v>3523</v>
      </c>
      <c r="J3125" s="18" t="s">
        <v>4327</v>
      </c>
    </row>
    <row r="3126" spans="3:10" x14ac:dyDescent="0.25">
      <c r="C3126" s="17" t="str">
        <f t="shared" si="49"/>
        <v>28.801011.-14387.9753..CLEAR SCHEDULE.</v>
      </c>
      <c r="E3126">
        <v>28</v>
      </c>
      <c r="F3126">
        <v>801011</v>
      </c>
      <c r="G3126" s="1">
        <v>-143.87</v>
      </c>
      <c r="H3126" t="s">
        <v>3524</v>
      </c>
      <c r="J3126" s="18" t="s">
        <v>4327</v>
      </c>
    </row>
    <row r="3127" spans="3:10" x14ac:dyDescent="0.25">
      <c r="C3127" s="17" t="str">
        <f t="shared" si="49"/>
        <v>28.801011.-33896.9754..CLEAR SCHEDULE.</v>
      </c>
      <c r="E3127">
        <v>28</v>
      </c>
      <c r="F3127">
        <v>801011</v>
      </c>
      <c r="G3127" s="2">
        <v>-338.96</v>
      </c>
      <c r="H3127" t="s">
        <v>3525</v>
      </c>
      <c r="J3127" s="18" t="s">
        <v>4327</v>
      </c>
    </row>
    <row r="3128" spans="3:10" x14ac:dyDescent="0.25">
      <c r="C3128" s="17" t="str">
        <f t="shared" si="49"/>
        <v>28.801011.-14387.9757..CLEAR SCHEDULE.</v>
      </c>
      <c r="E3128">
        <v>28</v>
      </c>
      <c r="F3128">
        <v>801011</v>
      </c>
      <c r="G3128" s="1">
        <v>-143.87</v>
      </c>
      <c r="H3128" t="s">
        <v>3526</v>
      </c>
      <c r="J3128" s="18" t="s">
        <v>4327</v>
      </c>
    </row>
    <row r="3129" spans="3:10" x14ac:dyDescent="0.25">
      <c r="C3129" s="17" t="str">
        <f t="shared" si="49"/>
        <v>28.801011.-12089.9759..CLEAR SCHEDULE.</v>
      </c>
      <c r="E3129">
        <v>28</v>
      </c>
      <c r="F3129">
        <v>801011</v>
      </c>
      <c r="G3129" s="2">
        <v>-120.89</v>
      </c>
      <c r="H3129" t="s">
        <v>3527</v>
      </c>
      <c r="J3129" s="18" t="s">
        <v>4327</v>
      </c>
    </row>
    <row r="3130" spans="3:10" x14ac:dyDescent="0.25">
      <c r="C3130" s="17" t="str">
        <f t="shared" si="49"/>
        <v>28.801011.-14387.9764..CLEAR SCHEDULE.</v>
      </c>
      <c r="E3130">
        <v>28</v>
      </c>
      <c r="F3130">
        <v>801011</v>
      </c>
      <c r="G3130" s="1">
        <v>-143.87</v>
      </c>
      <c r="H3130" t="s">
        <v>3528</v>
      </c>
      <c r="J3130" s="18" t="s">
        <v>4327</v>
      </c>
    </row>
    <row r="3131" spans="3:10" x14ac:dyDescent="0.25">
      <c r="C3131" s="17" t="str">
        <f t="shared" si="49"/>
        <v>28.801011.-9751.9766..CLEAR SCHEDULE.</v>
      </c>
      <c r="E3131">
        <v>28</v>
      </c>
      <c r="F3131">
        <v>801011</v>
      </c>
      <c r="G3131" s="2">
        <v>-97.51</v>
      </c>
      <c r="H3131" t="s">
        <v>3529</v>
      </c>
      <c r="J3131" s="18" t="s">
        <v>4327</v>
      </c>
    </row>
    <row r="3132" spans="3:10" x14ac:dyDescent="0.25">
      <c r="C3132" s="17" t="str">
        <f t="shared" si="49"/>
        <v>28.801011.-14387.9768..CLEAR SCHEDULE.</v>
      </c>
      <c r="E3132">
        <v>28</v>
      </c>
      <c r="F3132">
        <v>801011</v>
      </c>
      <c r="G3132" s="1">
        <v>-143.87</v>
      </c>
      <c r="H3132" t="s">
        <v>3530</v>
      </c>
      <c r="J3132" s="18" t="s">
        <v>4327</v>
      </c>
    </row>
    <row r="3133" spans="3:10" x14ac:dyDescent="0.25">
      <c r="C3133" s="17" t="str">
        <f t="shared" si="49"/>
        <v>28.801011.-155680.9769..CLEAR SCHEDULE.</v>
      </c>
      <c r="E3133">
        <v>28</v>
      </c>
      <c r="F3133">
        <v>801011</v>
      </c>
      <c r="G3133" s="2">
        <v>-1556.8</v>
      </c>
      <c r="H3133" t="s">
        <v>3531</v>
      </c>
      <c r="J3133" s="18" t="s">
        <v>4327</v>
      </c>
    </row>
    <row r="3134" spans="3:10" x14ac:dyDescent="0.25">
      <c r="C3134" s="17" t="str">
        <f t="shared" si="49"/>
        <v>28.801011.-28257.9771..CLEAR SCHEDULE.</v>
      </c>
      <c r="E3134">
        <v>28</v>
      </c>
      <c r="F3134">
        <v>801011</v>
      </c>
      <c r="G3134" s="1">
        <v>-282.57</v>
      </c>
      <c r="H3134" t="s">
        <v>3532</v>
      </c>
      <c r="J3134" s="18" t="s">
        <v>4327</v>
      </c>
    </row>
    <row r="3135" spans="3:10" x14ac:dyDescent="0.25">
      <c r="C3135" s="17" t="str">
        <f t="shared" si="49"/>
        <v>28.801011.-59234.9772..CLEAR SCHEDULE.</v>
      </c>
      <c r="E3135">
        <v>28</v>
      </c>
      <c r="F3135">
        <v>801011</v>
      </c>
      <c r="G3135" s="2">
        <v>-592.34</v>
      </c>
      <c r="H3135" t="s">
        <v>3533</v>
      </c>
      <c r="J3135" s="18" t="s">
        <v>4327</v>
      </c>
    </row>
    <row r="3136" spans="3:10" x14ac:dyDescent="0.25">
      <c r="C3136" s="17" t="str">
        <f t="shared" si="49"/>
        <v>28.801011.-136688.9773..CLEAR SCHEDULE.</v>
      </c>
      <c r="E3136">
        <v>28</v>
      </c>
      <c r="F3136">
        <v>801011</v>
      </c>
      <c r="G3136" s="1">
        <v>-1366.88</v>
      </c>
      <c r="H3136" t="s">
        <v>3534</v>
      </c>
      <c r="J3136" s="18" t="s">
        <v>4327</v>
      </c>
    </row>
    <row r="3137" spans="3:10" x14ac:dyDescent="0.25">
      <c r="C3137" s="17" t="str">
        <f t="shared" si="49"/>
        <v>28.801011.-138042.9774..CLEAR SCHEDULE.</v>
      </c>
      <c r="E3137">
        <v>28</v>
      </c>
      <c r="F3137">
        <v>801011</v>
      </c>
      <c r="G3137" s="2">
        <v>-1380.42</v>
      </c>
      <c r="H3137" t="s">
        <v>3535</v>
      </c>
      <c r="J3137" s="18" t="s">
        <v>4327</v>
      </c>
    </row>
    <row r="3138" spans="3:10" x14ac:dyDescent="0.25">
      <c r="C3138" s="17" t="str">
        <f t="shared" si="49"/>
        <v>28.801011.-43818.9775..CLEAR SCHEDULE.</v>
      </c>
      <c r="E3138">
        <v>28</v>
      </c>
      <c r="F3138">
        <v>801011</v>
      </c>
      <c r="G3138" s="1">
        <v>-438.18</v>
      </c>
      <c r="H3138" t="s">
        <v>3536</v>
      </c>
      <c r="J3138" s="18" t="s">
        <v>4327</v>
      </c>
    </row>
    <row r="3139" spans="3:10" x14ac:dyDescent="0.25">
      <c r="C3139" s="17" t="str">
        <f t="shared" si="49"/>
        <v>28.801011.-65274.9776..CLEAR SCHEDULE.</v>
      </c>
      <c r="E3139">
        <v>28</v>
      </c>
      <c r="F3139">
        <v>801011</v>
      </c>
      <c r="G3139" s="2">
        <v>-652.74</v>
      </c>
      <c r="H3139" t="s">
        <v>3537</v>
      </c>
      <c r="J3139" s="18" t="s">
        <v>4327</v>
      </c>
    </row>
    <row r="3140" spans="3:10" x14ac:dyDescent="0.25">
      <c r="C3140" s="17" t="str">
        <f t="shared" si="49"/>
        <v>28.801011.-359978.9778..CLEAR SCHEDULE.</v>
      </c>
      <c r="E3140">
        <v>28</v>
      </c>
      <c r="F3140">
        <v>801011</v>
      </c>
      <c r="G3140" s="1">
        <v>-3599.78</v>
      </c>
      <c r="H3140" t="s">
        <v>3538</v>
      </c>
      <c r="J3140" s="18" t="s">
        <v>4327</v>
      </c>
    </row>
    <row r="3141" spans="3:10" x14ac:dyDescent="0.25">
      <c r="C3141" s="17" t="str">
        <f t="shared" si="49"/>
        <v>28.801011.-19070.9779..CLEAR SCHEDULE.</v>
      </c>
      <c r="E3141">
        <v>28</v>
      </c>
      <c r="F3141">
        <v>801011</v>
      </c>
      <c r="G3141" s="2">
        <v>-190.7</v>
      </c>
      <c r="H3141" t="s">
        <v>3539</v>
      </c>
      <c r="J3141" s="18" t="s">
        <v>4327</v>
      </c>
    </row>
    <row r="3142" spans="3:10" x14ac:dyDescent="0.25">
      <c r="C3142" s="17" t="str">
        <f t="shared" si="49"/>
        <v>28.801011.-45035.9780..CLEAR SCHEDULE.</v>
      </c>
      <c r="E3142">
        <v>28</v>
      </c>
      <c r="F3142">
        <v>801011</v>
      </c>
      <c r="G3142" s="1">
        <v>-450.35</v>
      </c>
      <c r="H3142" t="s">
        <v>3540</v>
      </c>
      <c r="J3142" s="18" t="s">
        <v>4327</v>
      </c>
    </row>
    <row r="3143" spans="3:10" x14ac:dyDescent="0.25">
      <c r="C3143" s="17" t="str">
        <f t="shared" si="49"/>
        <v>28.801011.-80250.9783..CLEAR SCHEDULE.</v>
      </c>
      <c r="E3143">
        <v>28</v>
      </c>
      <c r="F3143">
        <v>801011</v>
      </c>
      <c r="G3143" s="2">
        <v>-802.5</v>
      </c>
      <c r="H3143" t="s">
        <v>3541</v>
      </c>
      <c r="J3143" s="18" t="s">
        <v>4327</v>
      </c>
    </row>
    <row r="3144" spans="3:10" x14ac:dyDescent="0.25">
      <c r="C3144" s="17" t="str">
        <f t="shared" si="49"/>
        <v>28.801011.-10530.9785..CLEAR SCHEDULE.</v>
      </c>
      <c r="E3144">
        <v>28</v>
      </c>
      <c r="F3144">
        <v>801011</v>
      </c>
      <c r="G3144" s="1">
        <v>-105.3</v>
      </c>
      <c r="H3144" t="s">
        <v>3542</v>
      </c>
      <c r="J3144" s="18" t="s">
        <v>4327</v>
      </c>
    </row>
    <row r="3145" spans="3:10" x14ac:dyDescent="0.25">
      <c r="C3145" s="17" t="str">
        <f t="shared" si="49"/>
        <v>28.801011.-17564.9787..CLEAR SCHEDULE.</v>
      </c>
      <c r="E3145">
        <v>28</v>
      </c>
      <c r="F3145">
        <v>801011</v>
      </c>
      <c r="G3145" s="2">
        <v>-175.64</v>
      </c>
      <c r="H3145" t="s">
        <v>3543</v>
      </c>
      <c r="J3145" s="18" t="s">
        <v>4327</v>
      </c>
    </row>
    <row r="3146" spans="3:10" x14ac:dyDescent="0.25">
      <c r="C3146" s="17" t="str">
        <f t="shared" si="49"/>
        <v>28.801011.-15945.9788..CLEAR SCHEDULE.</v>
      </c>
      <c r="E3146">
        <v>28</v>
      </c>
      <c r="F3146">
        <v>801011</v>
      </c>
      <c r="G3146" s="1">
        <v>-159.44999999999999</v>
      </c>
      <c r="H3146" t="s">
        <v>3544</v>
      </c>
      <c r="J3146" s="18" t="s">
        <v>4327</v>
      </c>
    </row>
    <row r="3147" spans="3:10" x14ac:dyDescent="0.25">
      <c r="C3147" s="17" t="str">
        <f t="shared" ref="C3147:C3210" si="50">IF(G3147=0,"",(E3147&amp;"."&amp;F3147&amp;"."&amp;G3147*100&amp;"."&amp;H3147&amp;"."&amp;I3147&amp;"."&amp;J3147&amp;"."&amp;K3147))</f>
        <v>28.801011.-19445.9789..CLEAR SCHEDULE.</v>
      </c>
      <c r="E3147">
        <v>28</v>
      </c>
      <c r="F3147">
        <v>801011</v>
      </c>
      <c r="G3147" s="2">
        <v>-194.45</v>
      </c>
      <c r="H3147" t="s">
        <v>3545</v>
      </c>
      <c r="J3147" s="18" t="s">
        <v>4327</v>
      </c>
    </row>
    <row r="3148" spans="3:10" x14ac:dyDescent="0.25">
      <c r="C3148" s="17" t="str">
        <f t="shared" si="50"/>
        <v>28.801011.-5415.9790..CLEAR SCHEDULE.</v>
      </c>
      <c r="E3148">
        <v>28</v>
      </c>
      <c r="F3148">
        <v>801011</v>
      </c>
      <c r="G3148" s="1">
        <v>-54.15</v>
      </c>
      <c r="H3148" t="s">
        <v>3546</v>
      </c>
      <c r="J3148" s="18" t="s">
        <v>4327</v>
      </c>
    </row>
    <row r="3149" spans="3:10" x14ac:dyDescent="0.25">
      <c r="C3149" s="17" t="str">
        <f t="shared" si="50"/>
        <v>28.801011.-161925.9791..CLEAR SCHEDULE.</v>
      </c>
      <c r="E3149">
        <v>28</v>
      </c>
      <c r="F3149">
        <v>801011</v>
      </c>
      <c r="G3149" s="2">
        <v>-1619.25</v>
      </c>
      <c r="H3149" t="s">
        <v>3547</v>
      </c>
      <c r="J3149" s="18" t="s">
        <v>4327</v>
      </c>
    </row>
    <row r="3150" spans="3:10" x14ac:dyDescent="0.25">
      <c r="C3150" s="17" t="str">
        <f t="shared" si="50"/>
        <v>28.801011.-16746.9792..CLEAR SCHEDULE.</v>
      </c>
      <c r="E3150">
        <v>28</v>
      </c>
      <c r="F3150">
        <v>801011</v>
      </c>
      <c r="G3150" s="1">
        <v>-167.46</v>
      </c>
      <c r="H3150" t="s">
        <v>3548</v>
      </c>
      <c r="J3150" s="18" t="s">
        <v>4327</v>
      </c>
    </row>
    <row r="3151" spans="3:10" x14ac:dyDescent="0.25">
      <c r="C3151" s="17" t="str">
        <f t="shared" si="50"/>
        <v>28.801011.-9871.9793..CLEAR SCHEDULE.</v>
      </c>
      <c r="E3151">
        <v>28</v>
      </c>
      <c r="F3151">
        <v>801011</v>
      </c>
      <c r="G3151" s="2">
        <v>-98.71</v>
      </c>
      <c r="H3151" t="s">
        <v>3549</v>
      </c>
      <c r="J3151" s="18" t="s">
        <v>4327</v>
      </c>
    </row>
    <row r="3152" spans="3:10" x14ac:dyDescent="0.25">
      <c r="C3152" s="17" t="str">
        <f t="shared" si="50"/>
        <v>28.801011.-188009.9794..CLEAR SCHEDULE.</v>
      </c>
      <c r="E3152">
        <v>28</v>
      </c>
      <c r="F3152">
        <v>801011</v>
      </c>
      <c r="G3152" s="1">
        <v>-1880.09</v>
      </c>
      <c r="H3152" t="s">
        <v>3550</v>
      </c>
      <c r="J3152" s="18" t="s">
        <v>4327</v>
      </c>
    </row>
    <row r="3153" spans="3:10" x14ac:dyDescent="0.25">
      <c r="C3153" s="17" t="str">
        <f t="shared" si="50"/>
        <v>28.801011.-29262.9796..CLEAR SCHEDULE.</v>
      </c>
      <c r="E3153">
        <v>28</v>
      </c>
      <c r="F3153">
        <v>801011</v>
      </c>
      <c r="G3153" s="2">
        <v>-292.62</v>
      </c>
      <c r="H3153" t="s">
        <v>3551</v>
      </c>
      <c r="J3153" s="18" t="s">
        <v>4327</v>
      </c>
    </row>
    <row r="3154" spans="3:10" x14ac:dyDescent="0.25">
      <c r="C3154" s="17" t="str">
        <f t="shared" si="50"/>
        <v>28.801011.-124768.9802..CLEAR SCHEDULE.</v>
      </c>
      <c r="E3154">
        <v>28</v>
      </c>
      <c r="F3154">
        <v>801011</v>
      </c>
      <c r="G3154" s="1">
        <v>-1247.68</v>
      </c>
      <c r="H3154" t="s">
        <v>3552</v>
      </c>
      <c r="J3154" s="18" t="s">
        <v>4327</v>
      </c>
    </row>
    <row r="3155" spans="3:10" x14ac:dyDescent="0.25">
      <c r="C3155" s="17" t="str">
        <f t="shared" si="50"/>
        <v>28.801011.-92109.9803..CLEAR SCHEDULE.</v>
      </c>
      <c r="E3155">
        <v>28</v>
      </c>
      <c r="F3155">
        <v>801011</v>
      </c>
      <c r="G3155" s="2">
        <v>-921.09</v>
      </c>
      <c r="H3155" t="s">
        <v>3553</v>
      </c>
      <c r="J3155" s="18" t="s">
        <v>4327</v>
      </c>
    </row>
    <row r="3156" spans="3:10" x14ac:dyDescent="0.25">
      <c r="C3156" s="17" t="str">
        <f t="shared" si="50"/>
        <v>28.801011.-55940.9805..CLEAR SCHEDULE.</v>
      </c>
      <c r="E3156">
        <v>28</v>
      </c>
      <c r="F3156">
        <v>801011</v>
      </c>
      <c r="G3156" s="1">
        <v>-559.4</v>
      </c>
      <c r="H3156" t="s">
        <v>3554</v>
      </c>
      <c r="J3156" s="18" t="s">
        <v>4327</v>
      </c>
    </row>
    <row r="3157" spans="3:10" x14ac:dyDescent="0.25">
      <c r="C3157" s="17" t="str">
        <f t="shared" si="50"/>
        <v>28.801011.-14387.9806..CLEAR SCHEDULE.</v>
      </c>
      <c r="E3157">
        <v>28</v>
      </c>
      <c r="F3157">
        <v>801011</v>
      </c>
      <c r="G3157" s="2">
        <v>-143.87</v>
      </c>
      <c r="H3157" t="s">
        <v>3555</v>
      </c>
      <c r="J3157" s="18" t="s">
        <v>4327</v>
      </c>
    </row>
    <row r="3158" spans="3:10" x14ac:dyDescent="0.25">
      <c r="C3158" s="17" t="str">
        <f t="shared" si="50"/>
        <v>28.801011.-7396.9807..CLEAR SCHEDULE.</v>
      </c>
      <c r="E3158">
        <v>28</v>
      </c>
      <c r="F3158">
        <v>801011</v>
      </c>
      <c r="G3158" s="1">
        <v>-73.959999999999994</v>
      </c>
      <c r="H3158" t="s">
        <v>3556</v>
      </c>
      <c r="J3158" s="18" t="s">
        <v>4327</v>
      </c>
    </row>
    <row r="3159" spans="3:10" x14ac:dyDescent="0.25">
      <c r="C3159" s="17" t="str">
        <f t="shared" si="50"/>
        <v>28.801011.-14387.9809..CLEAR SCHEDULE.</v>
      </c>
      <c r="E3159">
        <v>28</v>
      </c>
      <c r="F3159">
        <v>801011</v>
      </c>
      <c r="G3159" s="2">
        <v>-143.87</v>
      </c>
      <c r="H3159" t="s">
        <v>3557</v>
      </c>
      <c r="J3159" s="18" t="s">
        <v>4327</v>
      </c>
    </row>
    <row r="3160" spans="3:10" x14ac:dyDescent="0.25">
      <c r="C3160" s="17" t="str">
        <f t="shared" si="50"/>
        <v>28.801011.-28781.9810..CLEAR SCHEDULE.</v>
      </c>
      <c r="E3160">
        <v>28</v>
      </c>
      <c r="F3160">
        <v>801011</v>
      </c>
      <c r="G3160" s="1">
        <v>-287.81</v>
      </c>
      <c r="H3160" t="s">
        <v>3558</v>
      </c>
      <c r="J3160" s="18" t="s">
        <v>4327</v>
      </c>
    </row>
    <row r="3161" spans="3:10" x14ac:dyDescent="0.25">
      <c r="C3161" s="17" t="str">
        <f t="shared" si="50"/>
        <v>28.801011.-122943.9812..CLEAR SCHEDULE.</v>
      </c>
      <c r="E3161">
        <v>28</v>
      </c>
      <c r="F3161">
        <v>801011</v>
      </c>
      <c r="G3161" s="2">
        <v>-1229.43</v>
      </c>
      <c r="H3161" t="s">
        <v>3559</v>
      </c>
      <c r="J3161" s="18" t="s">
        <v>4327</v>
      </c>
    </row>
    <row r="3162" spans="3:10" x14ac:dyDescent="0.25">
      <c r="C3162" s="17" t="str">
        <f t="shared" si="50"/>
        <v>28.801011.-14428.9813..CLEAR SCHEDULE.</v>
      </c>
      <c r="E3162">
        <v>28</v>
      </c>
      <c r="F3162">
        <v>801011</v>
      </c>
      <c r="G3162" s="1">
        <v>-144.28</v>
      </c>
      <c r="H3162" t="s">
        <v>3560</v>
      </c>
      <c r="J3162" s="18" t="s">
        <v>4327</v>
      </c>
    </row>
    <row r="3163" spans="3:10" x14ac:dyDescent="0.25">
      <c r="C3163" s="17" t="str">
        <f t="shared" si="50"/>
        <v>28.801011.-9751.9814..CLEAR SCHEDULE.</v>
      </c>
      <c r="E3163">
        <v>28</v>
      </c>
      <c r="F3163">
        <v>801011</v>
      </c>
      <c r="G3163" s="2">
        <v>-97.51</v>
      </c>
      <c r="H3163" t="s">
        <v>3561</v>
      </c>
      <c r="J3163" s="18" t="s">
        <v>4327</v>
      </c>
    </row>
    <row r="3164" spans="3:10" x14ac:dyDescent="0.25">
      <c r="C3164" s="17" t="str">
        <f t="shared" si="50"/>
        <v>28.801011.-66865.9816..CLEAR SCHEDULE.</v>
      </c>
      <c r="E3164">
        <v>28</v>
      </c>
      <c r="F3164">
        <v>801011</v>
      </c>
      <c r="G3164" s="1">
        <v>-668.65</v>
      </c>
      <c r="H3164" t="s">
        <v>3562</v>
      </c>
      <c r="J3164" s="18" t="s">
        <v>4327</v>
      </c>
    </row>
    <row r="3165" spans="3:10" x14ac:dyDescent="0.25">
      <c r="C3165" s="17" t="str">
        <f t="shared" si="50"/>
        <v>28.801011.-14387.9817..CLEAR SCHEDULE.</v>
      </c>
      <c r="E3165">
        <v>28</v>
      </c>
      <c r="F3165">
        <v>801011</v>
      </c>
      <c r="G3165" s="2">
        <v>-143.87</v>
      </c>
      <c r="H3165" t="s">
        <v>3563</v>
      </c>
      <c r="J3165" s="18" t="s">
        <v>4327</v>
      </c>
    </row>
    <row r="3166" spans="3:10" x14ac:dyDescent="0.25">
      <c r="C3166" s="17" t="str">
        <f t="shared" si="50"/>
        <v>28.801011.-17500.9818..CLEAR SCHEDULE.</v>
      </c>
      <c r="E3166">
        <v>28</v>
      </c>
      <c r="F3166">
        <v>801011</v>
      </c>
      <c r="G3166" s="1">
        <v>-175</v>
      </c>
      <c r="H3166" t="s">
        <v>3564</v>
      </c>
      <c r="J3166" s="18" t="s">
        <v>4327</v>
      </c>
    </row>
    <row r="3167" spans="3:10" x14ac:dyDescent="0.25">
      <c r="C3167" s="17" t="str">
        <f t="shared" si="50"/>
        <v>28.801011.-14387.9819..CLEAR SCHEDULE.</v>
      </c>
      <c r="E3167">
        <v>28</v>
      </c>
      <c r="F3167">
        <v>801011</v>
      </c>
      <c r="G3167" s="2">
        <v>-143.87</v>
      </c>
      <c r="H3167" t="s">
        <v>3565</v>
      </c>
      <c r="J3167" s="18" t="s">
        <v>4327</v>
      </c>
    </row>
    <row r="3168" spans="3:10" x14ac:dyDescent="0.25">
      <c r="C3168" s="17" t="str">
        <f t="shared" si="50"/>
        <v>28.801011.-16558.9821..CLEAR SCHEDULE.</v>
      </c>
      <c r="E3168">
        <v>28</v>
      </c>
      <c r="F3168">
        <v>801011</v>
      </c>
      <c r="G3168" s="1">
        <v>-165.58</v>
      </c>
      <c r="H3168" t="s">
        <v>3566</v>
      </c>
      <c r="J3168" s="18" t="s">
        <v>4327</v>
      </c>
    </row>
    <row r="3169" spans="3:10" x14ac:dyDescent="0.25">
      <c r="C3169" s="17" t="str">
        <f t="shared" si="50"/>
        <v>28.801011.-34908.9829..CLEAR SCHEDULE.</v>
      </c>
      <c r="E3169">
        <v>28</v>
      </c>
      <c r="F3169">
        <v>801011</v>
      </c>
      <c r="G3169" s="2">
        <v>-349.08</v>
      </c>
      <c r="H3169" t="s">
        <v>3567</v>
      </c>
      <c r="J3169" s="18" t="s">
        <v>4327</v>
      </c>
    </row>
    <row r="3170" spans="3:10" x14ac:dyDescent="0.25">
      <c r="C3170" s="17" t="str">
        <f t="shared" si="50"/>
        <v>28.801011.-139489.9831..CLEAR SCHEDULE.</v>
      </c>
      <c r="E3170">
        <v>28</v>
      </c>
      <c r="F3170">
        <v>801011</v>
      </c>
      <c r="G3170" s="1">
        <v>-1394.89</v>
      </c>
      <c r="H3170" t="s">
        <v>3568</v>
      </c>
      <c r="J3170" s="18" t="s">
        <v>4327</v>
      </c>
    </row>
    <row r="3171" spans="3:10" x14ac:dyDescent="0.25">
      <c r="C3171" s="17" t="str">
        <f t="shared" si="50"/>
        <v>28.801011.-16454.9833..CLEAR SCHEDULE.</v>
      </c>
      <c r="E3171">
        <v>28</v>
      </c>
      <c r="F3171">
        <v>801011</v>
      </c>
      <c r="G3171" s="2">
        <v>-164.54</v>
      </c>
      <c r="H3171" t="s">
        <v>3569</v>
      </c>
      <c r="J3171" s="18" t="s">
        <v>4327</v>
      </c>
    </row>
    <row r="3172" spans="3:10" x14ac:dyDescent="0.25">
      <c r="C3172" s="17" t="str">
        <f t="shared" si="50"/>
        <v>28.801011.-15166.9836..CLEAR SCHEDULE.</v>
      </c>
      <c r="E3172">
        <v>28</v>
      </c>
      <c r="F3172">
        <v>801011</v>
      </c>
      <c r="G3172" s="1">
        <v>-151.66</v>
      </c>
      <c r="H3172" t="s">
        <v>3570</v>
      </c>
      <c r="J3172" s="18" t="s">
        <v>4327</v>
      </c>
    </row>
    <row r="3173" spans="3:10" x14ac:dyDescent="0.25">
      <c r="C3173" s="17" t="str">
        <f t="shared" si="50"/>
        <v>28.801011.-32224.9837..CLEAR SCHEDULE.</v>
      </c>
      <c r="E3173">
        <v>28</v>
      </c>
      <c r="F3173">
        <v>801011</v>
      </c>
      <c r="G3173" s="2">
        <v>-322.24</v>
      </c>
      <c r="H3173" t="s">
        <v>3571</v>
      </c>
      <c r="J3173" s="18" t="s">
        <v>4327</v>
      </c>
    </row>
    <row r="3174" spans="3:10" x14ac:dyDescent="0.25">
      <c r="C3174" s="17" t="str">
        <f t="shared" si="50"/>
        <v>28.801011.-45239.9838..CLEAR SCHEDULE.</v>
      </c>
      <c r="E3174">
        <v>28</v>
      </c>
      <c r="F3174">
        <v>801011</v>
      </c>
      <c r="G3174" s="1">
        <v>-452.39</v>
      </c>
      <c r="H3174" t="s">
        <v>3572</v>
      </c>
      <c r="J3174" s="18" t="s">
        <v>4327</v>
      </c>
    </row>
    <row r="3175" spans="3:10" x14ac:dyDescent="0.25">
      <c r="C3175" s="17" t="str">
        <f t="shared" si="50"/>
        <v>28.801011.-16629.9843..CLEAR SCHEDULE.</v>
      </c>
      <c r="E3175">
        <v>28</v>
      </c>
      <c r="F3175">
        <v>801011</v>
      </c>
      <c r="G3175" s="2">
        <v>-166.29</v>
      </c>
      <c r="H3175" t="s">
        <v>3573</v>
      </c>
      <c r="J3175" s="18" t="s">
        <v>4327</v>
      </c>
    </row>
    <row r="3176" spans="3:10" x14ac:dyDescent="0.25">
      <c r="C3176" s="17" t="str">
        <f t="shared" si="50"/>
        <v>28.801011.-12183.9844..CLEAR SCHEDULE.</v>
      </c>
      <c r="E3176">
        <v>28</v>
      </c>
      <c r="F3176">
        <v>801011</v>
      </c>
      <c r="G3176" s="1">
        <v>-121.83</v>
      </c>
      <c r="H3176" t="s">
        <v>3574</v>
      </c>
      <c r="J3176" s="18" t="s">
        <v>4327</v>
      </c>
    </row>
    <row r="3177" spans="3:10" x14ac:dyDescent="0.25">
      <c r="C3177" s="17" t="str">
        <f t="shared" si="50"/>
        <v>28.801011.-55017.9848..CLEAR SCHEDULE.</v>
      </c>
      <c r="E3177">
        <v>28</v>
      </c>
      <c r="F3177">
        <v>801011</v>
      </c>
      <c r="G3177" s="2">
        <v>-550.16999999999996</v>
      </c>
      <c r="H3177" t="s">
        <v>3575</v>
      </c>
      <c r="J3177" s="18" t="s">
        <v>4327</v>
      </c>
    </row>
    <row r="3178" spans="3:10" x14ac:dyDescent="0.25">
      <c r="C3178" s="17" t="str">
        <f t="shared" si="50"/>
        <v>28.801011.-10530.9852..CLEAR SCHEDULE.</v>
      </c>
      <c r="E3178">
        <v>28</v>
      </c>
      <c r="F3178">
        <v>801011</v>
      </c>
      <c r="G3178" s="1">
        <v>-105.3</v>
      </c>
      <c r="H3178" t="s">
        <v>3576</v>
      </c>
      <c r="J3178" s="18" t="s">
        <v>4327</v>
      </c>
    </row>
    <row r="3179" spans="3:10" x14ac:dyDescent="0.25">
      <c r="C3179" s="17" t="str">
        <f t="shared" si="50"/>
        <v>28.801011.-10004.9855..CLEAR SCHEDULE.</v>
      </c>
      <c r="E3179">
        <v>28</v>
      </c>
      <c r="F3179">
        <v>801011</v>
      </c>
      <c r="G3179" s="2">
        <v>-100.04</v>
      </c>
      <c r="H3179" t="s">
        <v>3577</v>
      </c>
      <c r="J3179" s="18" t="s">
        <v>4327</v>
      </c>
    </row>
    <row r="3180" spans="3:10" x14ac:dyDescent="0.25">
      <c r="C3180" s="17" t="str">
        <f t="shared" si="50"/>
        <v>28.801011.-15945.9856..CLEAR SCHEDULE.</v>
      </c>
      <c r="E3180">
        <v>28</v>
      </c>
      <c r="F3180">
        <v>801011</v>
      </c>
      <c r="G3180" s="1">
        <v>-159.44999999999999</v>
      </c>
      <c r="H3180" t="s">
        <v>3578</v>
      </c>
      <c r="J3180" s="18" t="s">
        <v>4327</v>
      </c>
    </row>
    <row r="3181" spans="3:10" x14ac:dyDescent="0.25">
      <c r="C3181" s="17" t="str">
        <f t="shared" si="50"/>
        <v>28.801011.-252250.9857..CLEAR SCHEDULE.</v>
      </c>
      <c r="E3181">
        <v>28</v>
      </c>
      <c r="F3181">
        <v>801011</v>
      </c>
      <c r="G3181" s="2">
        <v>-2522.5</v>
      </c>
      <c r="H3181" t="s">
        <v>3579</v>
      </c>
      <c r="J3181" s="18" t="s">
        <v>4327</v>
      </c>
    </row>
    <row r="3182" spans="3:10" x14ac:dyDescent="0.25">
      <c r="C3182" s="17" t="str">
        <f t="shared" si="50"/>
        <v>28.801011.-8798.9859..CLEAR SCHEDULE.</v>
      </c>
      <c r="E3182">
        <v>28</v>
      </c>
      <c r="F3182">
        <v>801011</v>
      </c>
      <c r="G3182" s="1">
        <v>-87.98</v>
      </c>
      <c r="H3182" t="s">
        <v>3580</v>
      </c>
      <c r="J3182" s="18" t="s">
        <v>4327</v>
      </c>
    </row>
    <row r="3183" spans="3:10" x14ac:dyDescent="0.25">
      <c r="C3183" s="17" t="str">
        <f t="shared" si="50"/>
        <v>28.801011.-685096.9860..CLEAR SCHEDULE.</v>
      </c>
      <c r="E3183">
        <v>28</v>
      </c>
      <c r="F3183">
        <v>801011</v>
      </c>
      <c r="G3183" s="2">
        <v>-6850.96</v>
      </c>
      <c r="H3183" t="s">
        <v>3581</v>
      </c>
      <c r="J3183" s="18" t="s">
        <v>4327</v>
      </c>
    </row>
    <row r="3184" spans="3:10" x14ac:dyDescent="0.25">
      <c r="C3184" s="17" t="str">
        <f t="shared" si="50"/>
        <v>28.801011.-9751.9861..CLEAR SCHEDULE.</v>
      </c>
      <c r="E3184">
        <v>28</v>
      </c>
      <c r="F3184">
        <v>801011</v>
      </c>
      <c r="G3184" s="1">
        <v>-97.51</v>
      </c>
      <c r="H3184" t="s">
        <v>3582</v>
      </c>
      <c r="J3184" s="18" t="s">
        <v>4327</v>
      </c>
    </row>
    <row r="3185" spans="3:10" x14ac:dyDescent="0.25">
      <c r="C3185" s="17" t="str">
        <f t="shared" si="50"/>
        <v>28.801011.-6769.9862..CLEAR SCHEDULE.</v>
      </c>
      <c r="E3185">
        <v>28</v>
      </c>
      <c r="F3185">
        <v>801011</v>
      </c>
      <c r="G3185" s="2">
        <v>-67.69</v>
      </c>
      <c r="H3185" t="s">
        <v>3583</v>
      </c>
      <c r="J3185" s="18" t="s">
        <v>4327</v>
      </c>
    </row>
    <row r="3186" spans="3:10" x14ac:dyDescent="0.25">
      <c r="C3186" s="17" t="str">
        <f t="shared" si="50"/>
        <v>28.801011.-98075.9863..CLEAR SCHEDULE.</v>
      </c>
      <c r="E3186">
        <v>28</v>
      </c>
      <c r="F3186">
        <v>801011</v>
      </c>
      <c r="G3186" s="1">
        <v>-980.75</v>
      </c>
      <c r="H3186" t="s">
        <v>3584</v>
      </c>
      <c r="J3186" s="18" t="s">
        <v>4327</v>
      </c>
    </row>
    <row r="3187" spans="3:10" x14ac:dyDescent="0.25">
      <c r="C3187" s="17" t="str">
        <f t="shared" si="50"/>
        <v>28.801011.-14387.9864..CLEAR SCHEDULE.</v>
      </c>
      <c r="E3187">
        <v>28</v>
      </c>
      <c r="F3187">
        <v>801011</v>
      </c>
      <c r="G3187" s="2">
        <v>-143.87</v>
      </c>
      <c r="H3187" t="s">
        <v>3585</v>
      </c>
      <c r="J3187" s="18" t="s">
        <v>4327</v>
      </c>
    </row>
    <row r="3188" spans="3:10" x14ac:dyDescent="0.25">
      <c r="C3188" s="17" t="str">
        <f t="shared" si="50"/>
        <v>28.801011.-170674.9865..CLEAR SCHEDULE.</v>
      </c>
      <c r="E3188">
        <v>28</v>
      </c>
      <c r="F3188">
        <v>801011</v>
      </c>
      <c r="G3188" s="1">
        <v>-1706.74</v>
      </c>
      <c r="H3188" t="s">
        <v>3586</v>
      </c>
      <c r="J3188" s="18" t="s">
        <v>4327</v>
      </c>
    </row>
    <row r="3189" spans="3:10" x14ac:dyDescent="0.25">
      <c r="C3189" s="17" t="str">
        <f t="shared" si="50"/>
        <v>28.801011.-13855.9866..CLEAR SCHEDULE.</v>
      </c>
      <c r="E3189">
        <v>28</v>
      </c>
      <c r="F3189">
        <v>801011</v>
      </c>
      <c r="G3189" s="2">
        <v>-138.55000000000001</v>
      </c>
      <c r="H3189" t="s">
        <v>3587</v>
      </c>
      <c r="J3189" s="18" t="s">
        <v>4327</v>
      </c>
    </row>
    <row r="3190" spans="3:10" x14ac:dyDescent="0.25">
      <c r="C3190" s="17" t="str">
        <f t="shared" si="50"/>
        <v>28.801011.-16746.9868..CLEAR SCHEDULE.</v>
      </c>
      <c r="E3190">
        <v>28</v>
      </c>
      <c r="F3190">
        <v>801011</v>
      </c>
      <c r="G3190" s="1">
        <v>-167.46</v>
      </c>
      <c r="H3190" t="s">
        <v>3588</v>
      </c>
      <c r="J3190" s="18" t="s">
        <v>4327</v>
      </c>
    </row>
    <row r="3191" spans="3:10" x14ac:dyDescent="0.25">
      <c r="C3191" s="17" t="str">
        <f t="shared" si="50"/>
        <v>28.801011.-67116.9869..CLEAR SCHEDULE.</v>
      </c>
      <c r="E3191">
        <v>28</v>
      </c>
      <c r="F3191">
        <v>801011</v>
      </c>
      <c r="G3191" s="2">
        <v>-671.16</v>
      </c>
      <c r="H3191" t="s">
        <v>3589</v>
      </c>
      <c r="J3191" s="18" t="s">
        <v>4327</v>
      </c>
    </row>
    <row r="3192" spans="3:10" x14ac:dyDescent="0.25">
      <c r="C3192" s="17" t="str">
        <f t="shared" si="50"/>
        <v>28.801011.-30207.9870..CLEAR SCHEDULE.</v>
      </c>
      <c r="E3192">
        <v>28</v>
      </c>
      <c r="F3192">
        <v>801011</v>
      </c>
      <c r="G3192" s="1">
        <v>-302.07</v>
      </c>
      <c r="H3192" t="s">
        <v>3590</v>
      </c>
      <c r="J3192" s="18" t="s">
        <v>4327</v>
      </c>
    </row>
    <row r="3193" spans="3:10" x14ac:dyDescent="0.25">
      <c r="C3193" s="17" t="str">
        <f t="shared" si="50"/>
        <v>28.801011.-15945.9871..CLEAR SCHEDULE.</v>
      </c>
      <c r="E3193">
        <v>28</v>
      </c>
      <c r="F3193">
        <v>801011</v>
      </c>
      <c r="G3193" s="2">
        <v>-159.44999999999999</v>
      </c>
      <c r="H3193" t="s">
        <v>3591</v>
      </c>
      <c r="J3193" s="18" t="s">
        <v>4327</v>
      </c>
    </row>
    <row r="3194" spans="3:10" x14ac:dyDescent="0.25">
      <c r="C3194" s="17" t="str">
        <f t="shared" si="50"/>
        <v>28.801011.-547613.9874..CLEAR SCHEDULE.</v>
      </c>
      <c r="E3194">
        <v>28</v>
      </c>
      <c r="F3194">
        <v>801011</v>
      </c>
      <c r="G3194" s="1">
        <v>-5476.13</v>
      </c>
      <c r="H3194" t="s">
        <v>3592</v>
      </c>
      <c r="J3194" s="18" t="s">
        <v>4327</v>
      </c>
    </row>
    <row r="3195" spans="3:10" x14ac:dyDescent="0.25">
      <c r="C3195" s="17" t="str">
        <f t="shared" si="50"/>
        <v>28.801011.-79937.9876..CLEAR SCHEDULE.</v>
      </c>
      <c r="E3195">
        <v>28</v>
      </c>
      <c r="F3195">
        <v>801011</v>
      </c>
      <c r="G3195" s="2">
        <v>-799.37</v>
      </c>
      <c r="H3195" t="s">
        <v>3593</v>
      </c>
      <c r="J3195" s="18" t="s">
        <v>4327</v>
      </c>
    </row>
    <row r="3196" spans="3:10" x14ac:dyDescent="0.25">
      <c r="C3196" s="17" t="str">
        <f t="shared" si="50"/>
        <v>28.801011.-7291.9879..CLEAR SCHEDULE.</v>
      </c>
      <c r="E3196">
        <v>28</v>
      </c>
      <c r="F3196">
        <v>801011</v>
      </c>
      <c r="G3196" s="1">
        <v>-72.91</v>
      </c>
      <c r="H3196" t="s">
        <v>3594</v>
      </c>
      <c r="J3196" s="18" t="s">
        <v>4327</v>
      </c>
    </row>
    <row r="3197" spans="3:10" x14ac:dyDescent="0.25">
      <c r="C3197" s="17" t="str">
        <f t="shared" si="50"/>
        <v>28.801011.-63134.9880..CLEAR SCHEDULE.</v>
      </c>
      <c r="E3197">
        <v>28</v>
      </c>
      <c r="F3197">
        <v>801011</v>
      </c>
      <c r="G3197" s="2">
        <v>-631.34</v>
      </c>
      <c r="H3197" t="s">
        <v>3595</v>
      </c>
      <c r="J3197" s="18" t="s">
        <v>4327</v>
      </c>
    </row>
    <row r="3198" spans="3:10" x14ac:dyDescent="0.25">
      <c r="C3198" s="17" t="str">
        <f t="shared" si="50"/>
        <v>28.801011.-87756.9882..CLEAR SCHEDULE.</v>
      </c>
      <c r="E3198">
        <v>28</v>
      </c>
      <c r="F3198">
        <v>801011</v>
      </c>
      <c r="G3198" s="1">
        <v>-877.56</v>
      </c>
      <c r="H3198" t="s">
        <v>3596</v>
      </c>
      <c r="J3198" s="18" t="s">
        <v>4327</v>
      </c>
    </row>
    <row r="3199" spans="3:10" x14ac:dyDescent="0.25">
      <c r="C3199" s="17" t="str">
        <f t="shared" si="50"/>
        <v>28.801011.-16724.9883..CLEAR SCHEDULE.</v>
      </c>
      <c r="E3199">
        <v>28</v>
      </c>
      <c r="F3199">
        <v>801011</v>
      </c>
      <c r="G3199" s="2">
        <v>-167.24</v>
      </c>
      <c r="H3199" t="s">
        <v>3597</v>
      </c>
      <c r="J3199" s="18" t="s">
        <v>4327</v>
      </c>
    </row>
    <row r="3200" spans="3:10" x14ac:dyDescent="0.25">
      <c r="C3200" s="17" t="str">
        <f t="shared" si="50"/>
        <v>28.801011.-22735.9885..CLEAR SCHEDULE.</v>
      </c>
      <c r="E3200">
        <v>28</v>
      </c>
      <c r="F3200">
        <v>801011</v>
      </c>
      <c r="G3200" s="1">
        <v>-227.35</v>
      </c>
      <c r="H3200" t="s">
        <v>3598</v>
      </c>
      <c r="J3200" s="18" t="s">
        <v>4327</v>
      </c>
    </row>
    <row r="3201" spans="3:10" x14ac:dyDescent="0.25">
      <c r="C3201" s="17" t="str">
        <f t="shared" si="50"/>
        <v>28.801011.-20674.9886..CLEAR SCHEDULE.</v>
      </c>
      <c r="E3201">
        <v>28</v>
      </c>
      <c r="F3201">
        <v>801011</v>
      </c>
      <c r="G3201" s="2">
        <v>-206.74</v>
      </c>
      <c r="H3201" t="s">
        <v>3599</v>
      </c>
      <c r="J3201" s="18" t="s">
        <v>4327</v>
      </c>
    </row>
    <row r="3202" spans="3:10" x14ac:dyDescent="0.25">
      <c r="C3202" s="17" t="str">
        <f t="shared" si="50"/>
        <v>28.801011.-33679.9887..CLEAR SCHEDULE.</v>
      </c>
      <c r="E3202">
        <v>28</v>
      </c>
      <c r="F3202">
        <v>801011</v>
      </c>
      <c r="G3202" s="1">
        <v>-336.79</v>
      </c>
      <c r="H3202" t="s">
        <v>3600</v>
      </c>
      <c r="J3202" s="18" t="s">
        <v>4327</v>
      </c>
    </row>
    <row r="3203" spans="3:10" x14ac:dyDescent="0.25">
      <c r="C3203" s="17" t="str">
        <f t="shared" si="50"/>
        <v>28.801011.-19600.9888..CLEAR SCHEDULE.</v>
      </c>
      <c r="E3203">
        <v>28</v>
      </c>
      <c r="F3203">
        <v>801011</v>
      </c>
      <c r="G3203" s="2">
        <v>-196</v>
      </c>
      <c r="H3203" t="s">
        <v>3601</v>
      </c>
      <c r="J3203" s="18" t="s">
        <v>4327</v>
      </c>
    </row>
    <row r="3204" spans="3:10" x14ac:dyDescent="0.25">
      <c r="C3204" s="17" t="str">
        <f t="shared" si="50"/>
        <v>28.801011.-9751.9889..CLEAR SCHEDULE.</v>
      </c>
      <c r="E3204">
        <v>28</v>
      </c>
      <c r="F3204">
        <v>801011</v>
      </c>
      <c r="G3204" s="1">
        <v>-97.51</v>
      </c>
      <c r="H3204" t="s">
        <v>3602</v>
      </c>
      <c r="J3204" s="18" t="s">
        <v>4327</v>
      </c>
    </row>
    <row r="3205" spans="3:10" x14ac:dyDescent="0.25">
      <c r="C3205" s="17" t="str">
        <f t="shared" si="50"/>
        <v>28.801011.-14387.9890..CLEAR SCHEDULE.</v>
      </c>
      <c r="E3205">
        <v>28</v>
      </c>
      <c r="F3205">
        <v>801011</v>
      </c>
      <c r="G3205" s="2">
        <v>-143.87</v>
      </c>
      <c r="H3205" t="s">
        <v>3603</v>
      </c>
      <c r="J3205" s="18" t="s">
        <v>4327</v>
      </c>
    </row>
    <row r="3206" spans="3:10" x14ac:dyDescent="0.25">
      <c r="C3206" s="17" t="str">
        <f t="shared" si="50"/>
        <v>28.801011.-86489.9891..CLEAR SCHEDULE.</v>
      </c>
      <c r="E3206">
        <v>28</v>
      </c>
      <c r="F3206">
        <v>801011</v>
      </c>
      <c r="G3206" s="1">
        <v>-864.89</v>
      </c>
      <c r="H3206" t="s">
        <v>3604</v>
      </c>
      <c r="J3206" s="18" t="s">
        <v>4327</v>
      </c>
    </row>
    <row r="3207" spans="3:10" x14ac:dyDescent="0.25">
      <c r="C3207" s="17" t="str">
        <f t="shared" si="50"/>
        <v>28.801011.-11783.9892..CLEAR SCHEDULE.</v>
      </c>
      <c r="E3207">
        <v>28</v>
      </c>
      <c r="F3207">
        <v>801011</v>
      </c>
      <c r="G3207" s="2">
        <v>-117.83</v>
      </c>
      <c r="H3207" t="s">
        <v>3605</v>
      </c>
      <c r="J3207" s="18" t="s">
        <v>4327</v>
      </c>
    </row>
    <row r="3208" spans="3:10" x14ac:dyDescent="0.25">
      <c r="C3208" s="17" t="str">
        <f t="shared" si="50"/>
        <v>28.801011.-54808.9893..CLEAR SCHEDULE.</v>
      </c>
      <c r="E3208">
        <v>28</v>
      </c>
      <c r="F3208">
        <v>801011</v>
      </c>
      <c r="G3208" s="1">
        <v>-548.08000000000004</v>
      </c>
      <c r="H3208" t="s">
        <v>3606</v>
      </c>
      <c r="J3208" s="18" t="s">
        <v>4327</v>
      </c>
    </row>
    <row r="3209" spans="3:10" x14ac:dyDescent="0.25">
      <c r="C3209" s="17" t="str">
        <f t="shared" si="50"/>
        <v>28.801011.-29613.9898..CLEAR SCHEDULE.</v>
      </c>
      <c r="E3209">
        <v>28</v>
      </c>
      <c r="F3209">
        <v>801011</v>
      </c>
      <c r="G3209" s="2">
        <v>-296.13</v>
      </c>
      <c r="H3209" t="s">
        <v>3607</v>
      </c>
      <c r="J3209" s="18" t="s">
        <v>4327</v>
      </c>
    </row>
    <row r="3210" spans="3:10" x14ac:dyDescent="0.25">
      <c r="C3210" s="17" t="str">
        <f t="shared" si="50"/>
        <v>28.801011.-46784.9899..CLEAR SCHEDULE.</v>
      </c>
      <c r="E3210">
        <v>28</v>
      </c>
      <c r="F3210">
        <v>801011</v>
      </c>
      <c r="G3210" s="1">
        <v>-467.84</v>
      </c>
      <c r="H3210" t="s">
        <v>3608</v>
      </c>
      <c r="J3210" s="18" t="s">
        <v>4327</v>
      </c>
    </row>
    <row r="3211" spans="3:10" x14ac:dyDescent="0.25">
      <c r="C3211" s="17" t="str">
        <f t="shared" ref="C3211:C3274" si="51">IF(G3211=0,"",(E3211&amp;"."&amp;F3211&amp;"."&amp;G3211*100&amp;"."&amp;H3211&amp;"."&amp;I3211&amp;"."&amp;J3211&amp;"."&amp;K3211))</f>
        <v>28.801011.-13668.9900..CLEAR SCHEDULE.</v>
      </c>
      <c r="E3211">
        <v>28</v>
      </c>
      <c r="F3211">
        <v>801011</v>
      </c>
      <c r="G3211" s="2">
        <v>-136.68</v>
      </c>
      <c r="H3211" t="s">
        <v>3609</v>
      </c>
      <c r="J3211" s="18" t="s">
        <v>4327</v>
      </c>
    </row>
    <row r="3212" spans="3:10" x14ac:dyDescent="0.25">
      <c r="C3212" s="17" t="str">
        <f t="shared" si="51"/>
        <v>28.801011.-9751.9901..CLEAR SCHEDULE.</v>
      </c>
      <c r="E3212">
        <v>28</v>
      </c>
      <c r="F3212">
        <v>801011</v>
      </c>
      <c r="G3212" s="1">
        <v>-97.51</v>
      </c>
      <c r="H3212" t="s">
        <v>3610</v>
      </c>
      <c r="J3212" s="18" t="s">
        <v>4327</v>
      </c>
    </row>
    <row r="3213" spans="3:10" x14ac:dyDescent="0.25">
      <c r="C3213" s="17" t="str">
        <f t="shared" si="51"/>
        <v>28.801011.-28714.9902..CLEAR SCHEDULE.</v>
      </c>
      <c r="E3213">
        <v>28</v>
      </c>
      <c r="F3213">
        <v>801011</v>
      </c>
      <c r="G3213" s="2">
        <v>-287.14</v>
      </c>
      <c r="H3213" t="s">
        <v>3611</v>
      </c>
      <c r="J3213" s="18" t="s">
        <v>4327</v>
      </c>
    </row>
    <row r="3214" spans="3:10" x14ac:dyDescent="0.25">
      <c r="C3214" s="17" t="str">
        <f t="shared" si="51"/>
        <v>28.801011.-14387.9903..CLEAR SCHEDULE.</v>
      </c>
      <c r="E3214">
        <v>28</v>
      </c>
      <c r="F3214">
        <v>801011</v>
      </c>
      <c r="G3214" s="1">
        <v>-143.87</v>
      </c>
      <c r="H3214" t="s">
        <v>3612</v>
      </c>
      <c r="J3214" s="18" t="s">
        <v>4327</v>
      </c>
    </row>
    <row r="3215" spans="3:10" x14ac:dyDescent="0.25">
      <c r="C3215" s="17" t="str">
        <f t="shared" si="51"/>
        <v>28.801011.-18987.9904..CLEAR SCHEDULE.</v>
      </c>
      <c r="E3215">
        <v>28</v>
      </c>
      <c r="F3215">
        <v>801011</v>
      </c>
      <c r="G3215" s="2">
        <v>-189.87</v>
      </c>
      <c r="H3215" t="s">
        <v>3613</v>
      </c>
      <c r="J3215" s="18" t="s">
        <v>4327</v>
      </c>
    </row>
    <row r="3216" spans="3:10" x14ac:dyDescent="0.25">
      <c r="C3216" s="17" t="str">
        <f t="shared" si="51"/>
        <v>28.801011.-12956.9907..CLEAR SCHEDULE.</v>
      </c>
      <c r="E3216">
        <v>28</v>
      </c>
      <c r="F3216">
        <v>801011</v>
      </c>
      <c r="G3216" s="1">
        <v>-129.56</v>
      </c>
      <c r="H3216" t="s">
        <v>3614</v>
      </c>
      <c r="J3216" s="18" t="s">
        <v>4327</v>
      </c>
    </row>
    <row r="3217" spans="3:10" x14ac:dyDescent="0.25">
      <c r="C3217" s="17" t="str">
        <f t="shared" si="51"/>
        <v>28.801011.-14387.9910..CLEAR SCHEDULE.</v>
      </c>
      <c r="E3217">
        <v>28</v>
      </c>
      <c r="F3217">
        <v>801011</v>
      </c>
      <c r="G3217" s="2">
        <v>-143.87</v>
      </c>
      <c r="H3217" t="s">
        <v>3615</v>
      </c>
      <c r="J3217" s="18" t="s">
        <v>4327</v>
      </c>
    </row>
    <row r="3218" spans="3:10" x14ac:dyDescent="0.25">
      <c r="C3218" s="17" t="str">
        <f t="shared" si="51"/>
        <v>28.801011.-10530.9911..CLEAR SCHEDULE.</v>
      </c>
      <c r="E3218">
        <v>28</v>
      </c>
      <c r="F3218">
        <v>801011</v>
      </c>
      <c r="G3218" s="1">
        <v>-105.3</v>
      </c>
      <c r="H3218" t="s">
        <v>3616</v>
      </c>
      <c r="J3218" s="18" t="s">
        <v>4327</v>
      </c>
    </row>
    <row r="3219" spans="3:10" x14ac:dyDescent="0.25">
      <c r="C3219" s="17" t="str">
        <f t="shared" si="51"/>
        <v>28.801011.-28030.9913..CLEAR SCHEDULE.</v>
      </c>
      <c r="E3219">
        <v>28</v>
      </c>
      <c r="F3219">
        <v>801011</v>
      </c>
      <c r="G3219" s="2">
        <v>-280.3</v>
      </c>
      <c r="H3219" t="s">
        <v>3617</v>
      </c>
      <c r="J3219" s="18" t="s">
        <v>4327</v>
      </c>
    </row>
    <row r="3220" spans="3:10" x14ac:dyDescent="0.25">
      <c r="C3220" s="17" t="str">
        <f t="shared" si="51"/>
        <v>28.801011.-21000.9914..CLEAR SCHEDULE.</v>
      </c>
      <c r="E3220">
        <v>28</v>
      </c>
      <c r="F3220">
        <v>801011</v>
      </c>
      <c r="G3220" s="1">
        <v>-210</v>
      </c>
      <c r="H3220" t="s">
        <v>3618</v>
      </c>
      <c r="J3220" s="18" t="s">
        <v>4327</v>
      </c>
    </row>
    <row r="3221" spans="3:10" x14ac:dyDescent="0.25">
      <c r="C3221" s="17" t="str">
        <f t="shared" si="51"/>
        <v>28.801011.-8972.9917..CLEAR SCHEDULE.</v>
      </c>
      <c r="E3221">
        <v>28</v>
      </c>
      <c r="F3221">
        <v>801011</v>
      </c>
      <c r="G3221" s="2">
        <v>-89.72</v>
      </c>
      <c r="H3221" t="s">
        <v>3619</v>
      </c>
      <c r="J3221" s="18" t="s">
        <v>4327</v>
      </c>
    </row>
    <row r="3222" spans="3:10" x14ac:dyDescent="0.25">
      <c r="C3222" s="17" t="str">
        <f t="shared" si="51"/>
        <v>28.801011.-15166.9918..CLEAR SCHEDULE.</v>
      </c>
      <c r="E3222">
        <v>28</v>
      </c>
      <c r="F3222">
        <v>801011</v>
      </c>
      <c r="G3222" s="1">
        <v>-151.66</v>
      </c>
      <c r="H3222" t="s">
        <v>3620</v>
      </c>
      <c r="J3222" s="18" t="s">
        <v>4327</v>
      </c>
    </row>
    <row r="3223" spans="3:10" x14ac:dyDescent="0.25">
      <c r="C3223" s="17" t="str">
        <f t="shared" si="51"/>
        <v>28.801011.-163004.9919..CLEAR SCHEDULE.</v>
      </c>
      <c r="E3223">
        <v>28</v>
      </c>
      <c r="F3223">
        <v>801011</v>
      </c>
      <c r="G3223" s="2">
        <v>-1630.04</v>
      </c>
      <c r="H3223" t="s">
        <v>3621</v>
      </c>
      <c r="J3223" s="18" t="s">
        <v>4327</v>
      </c>
    </row>
    <row r="3224" spans="3:10" x14ac:dyDescent="0.25">
      <c r="C3224" s="17" t="str">
        <f t="shared" si="51"/>
        <v>28.801011.-8972.9920..CLEAR SCHEDULE.</v>
      </c>
      <c r="E3224">
        <v>28</v>
      </c>
      <c r="F3224">
        <v>801011</v>
      </c>
      <c r="G3224" s="1">
        <v>-89.72</v>
      </c>
      <c r="H3224" t="s">
        <v>3622</v>
      </c>
      <c r="J3224" s="18" t="s">
        <v>4327</v>
      </c>
    </row>
    <row r="3225" spans="3:10" x14ac:dyDescent="0.25">
      <c r="C3225" s="17" t="str">
        <f t="shared" si="51"/>
        <v>28.801011.-202034.9922..CLEAR SCHEDULE.</v>
      </c>
      <c r="E3225">
        <v>28</v>
      </c>
      <c r="F3225">
        <v>801011</v>
      </c>
      <c r="G3225" s="2">
        <v>-2020.34</v>
      </c>
      <c r="H3225" t="s">
        <v>3623</v>
      </c>
      <c r="J3225" s="18" t="s">
        <v>4327</v>
      </c>
    </row>
    <row r="3226" spans="3:10" x14ac:dyDescent="0.25">
      <c r="C3226" s="17" t="str">
        <f t="shared" si="51"/>
        <v>28.801011.-16724.9924..CLEAR SCHEDULE.</v>
      </c>
      <c r="E3226">
        <v>28</v>
      </c>
      <c r="F3226">
        <v>801011</v>
      </c>
      <c r="G3226" s="1">
        <v>-167.24</v>
      </c>
      <c r="H3226" t="s">
        <v>3624</v>
      </c>
      <c r="J3226" s="18" t="s">
        <v>4327</v>
      </c>
    </row>
    <row r="3227" spans="3:10" x14ac:dyDescent="0.25">
      <c r="C3227" s="17" t="str">
        <f t="shared" si="51"/>
        <v>28.801011.-248888.9925..CLEAR SCHEDULE.</v>
      </c>
      <c r="E3227">
        <v>28</v>
      </c>
      <c r="F3227">
        <v>801011</v>
      </c>
      <c r="G3227" s="2">
        <v>-2488.88</v>
      </c>
      <c r="H3227" t="s">
        <v>3625</v>
      </c>
      <c r="J3227" s="18" t="s">
        <v>4327</v>
      </c>
    </row>
    <row r="3228" spans="3:10" x14ac:dyDescent="0.25">
      <c r="C3228" s="17" t="str">
        <f t="shared" si="51"/>
        <v>28.801011.-10196.9928..CLEAR SCHEDULE.</v>
      </c>
      <c r="E3228">
        <v>28</v>
      </c>
      <c r="F3228">
        <v>801011</v>
      </c>
      <c r="G3228" s="1">
        <v>-101.96</v>
      </c>
      <c r="H3228" t="s">
        <v>3626</v>
      </c>
      <c r="J3228" s="18" t="s">
        <v>4327</v>
      </c>
    </row>
    <row r="3229" spans="3:10" x14ac:dyDescent="0.25">
      <c r="C3229" s="17" t="str">
        <f t="shared" si="51"/>
        <v>28.801011.-37057.9929..CLEAR SCHEDULE.</v>
      </c>
      <c r="E3229">
        <v>28</v>
      </c>
      <c r="F3229">
        <v>801011</v>
      </c>
      <c r="G3229" s="2">
        <v>-370.57</v>
      </c>
      <c r="H3229" t="s">
        <v>3627</v>
      </c>
      <c r="J3229" s="18" t="s">
        <v>4327</v>
      </c>
    </row>
    <row r="3230" spans="3:10" x14ac:dyDescent="0.25">
      <c r="C3230" s="17" t="str">
        <f t="shared" si="51"/>
        <v>28.801011.-8192.9930..CLEAR SCHEDULE.</v>
      </c>
      <c r="E3230">
        <v>28</v>
      </c>
      <c r="F3230">
        <v>801011</v>
      </c>
      <c r="G3230" s="1">
        <v>-81.92</v>
      </c>
      <c r="H3230" t="s">
        <v>3628</v>
      </c>
      <c r="J3230" s="18" t="s">
        <v>4327</v>
      </c>
    </row>
    <row r="3231" spans="3:10" x14ac:dyDescent="0.25">
      <c r="C3231" s="17" t="str">
        <f t="shared" si="51"/>
        <v>28.801011.-22198.9931..CLEAR SCHEDULE.</v>
      </c>
      <c r="E3231">
        <v>28</v>
      </c>
      <c r="F3231">
        <v>801011</v>
      </c>
      <c r="G3231" s="2">
        <v>-221.98</v>
      </c>
      <c r="H3231" t="s">
        <v>3629</v>
      </c>
      <c r="J3231" s="18" t="s">
        <v>4327</v>
      </c>
    </row>
    <row r="3232" spans="3:10" x14ac:dyDescent="0.25">
      <c r="C3232" s="17" t="str">
        <f t="shared" si="51"/>
        <v>28.801011.-149437.9935..CLEAR SCHEDULE.</v>
      </c>
      <c r="E3232">
        <v>28</v>
      </c>
      <c r="F3232">
        <v>801011</v>
      </c>
      <c r="G3232" s="1">
        <v>-1494.37</v>
      </c>
      <c r="H3232" t="s">
        <v>3630</v>
      </c>
      <c r="J3232" s="18" t="s">
        <v>4327</v>
      </c>
    </row>
    <row r="3233" spans="3:10" x14ac:dyDescent="0.25">
      <c r="C3233" s="17" t="str">
        <f t="shared" si="51"/>
        <v>28.801011.-15945.9936..CLEAR SCHEDULE.</v>
      </c>
      <c r="E3233">
        <v>28</v>
      </c>
      <c r="F3233">
        <v>801011</v>
      </c>
      <c r="G3233" s="2">
        <v>-159.44999999999999</v>
      </c>
      <c r="H3233" t="s">
        <v>3631</v>
      </c>
      <c r="J3233" s="18" t="s">
        <v>4327</v>
      </c>
    </row>
    <row r="3234" spans="3:10" x14ac:dyDescent="0.25">
      <c r="C3234" s="17" t="str">
        <f t="shared" si="51"/>
        <v>28.801011.-5613.9941..CLEAR SCHEDULE.</v>
      </c>
      <c r="E3234">
        <v>28</v>
      </c>
      <c r="F3234">
        <v>801011</v>
      </c>
      <c r="G3234" s="1">
        <v>-56.13</v>
      </c>
      <c r="H3234" t="s">
        <v>3632</v>
      </c>
      <c r="J3234" s="18" t="s">
        <v>4327</v>
      </c>
    </row>
    <row r="3235" spans="3:10" x14ac:dyDescent="0.25">
      <c r="C3235" s="17" t="str">
        <f t="shared" si="51"/>
        <v>28.801011.-319503.9942..CLEAR SCHEDULE.</v>
      </c>
      <c r="E3235">
        <v>28</v>
      </c>
      <c r="F3235">
        <v>801011</v>
      </c>
      <c r="G3235" s="2">
        <v>-3195.03</v>
      </c>
      <c r="H3235" t="s">
        <v>3633</v>
      </c>
      <c r="J3235" s="18" t="s">
        <v>4327</v>
      </c>
    </row>
    <row r="3236" spans="3:10" x14ac:dyDescent="0.25">
      <c r="C3236" s="17" t="str">
        <f t="shared" si="51"/>
        <v>28.801011.-62249.9943..CLEAR SCHEDULE.</v>
      </c>
      <c r="E3236">
        <v>28</v>
      </c>
      <c r="F3236">
        <v>801011</v>
      </c>
      <c r="G3236" s="1">
        <v>-622.49</v>
      </c>
      <c r="H3236" t="s">
        <v>3634</v>
      </c>
      <c r="J3236" s="18" t="s">
        <v>4327</v>
      </c>
    </row>
    <row r="3237" spans="3:10" x14ac:dyDescent="0.25">
      <c r="C3237" s="17" t="str">
        <f t="shared" si="51"/>
        <v>28.801011.-16724.9944..CLEAR SCHEDULE.</v>
      </c>
      <c r="E3237">
        <v>28</v>
      </c>
      <c r="F3237">
        <v>801011</v>
      </c>
      <c r="G3237" s="2">
        <v>-167.24</v>
      </c>
      <c r="H3237" t="s">
        <v>3635</v>
      </c>
      <c r="J3237" s="18" t="s">
        <v>4327</v>
      </c>
    </row>
    <row r="3238" spans="3:10" x14ac:dyDescent="0.25">
      <c r="C3238" s="17" t="str">
        <f t="shared" si="51"/>
        <v>28.801011.-8972.9945..CLEAR SCHEDULE.</v>
      </c>
      <c r="E3238">
        <v>28</v>
      </c>
      <c r="F3238">
        <v>801011</v>
      </c>
      <c r="G3238" s="1">
        <v>-89.72</v>
      </c>
      <c r="H3238" t="s">
        <v>3636</v>
      </c>
      <c r="J3238" s="18" t="s">
        <v>4327</v>
      </c>
    </row>
    <row r="3239" spans="3:10" x14ac:dyDescent="0.25">
      <c r="C3239" s="17" t="str">
        <f t="shared" si="51"/>
        <v>28.801011.-61949.9946..CLEAR SCHEDULE.</v>
      </c>
      <c r="E3239">
        <v>28</v>
      </c>
      <c r="F3239">
        <v>801011</v>
      </c>
      <c r="G3239" s="2">
        <v>-619.49</v>
      </c>
      <c r="H3239" t="s">
        <v>3637</v>
      </c>
      <c r="J3239" s="18" t="s">
        <v>4327</v>
      </c>
    </row>
    <row r="3240" spans="3:10" x14ac:dyDescent="0.25">
      <c r="C3240" s="17" t="str">
        <f t="shared" si="51"/>
        <v>28.801011.-32203.9950..CLEAR SCHEDULE.</v>
      </c>
      <c r="E3240">
        <v>28</v>
      </c>
      <c r="F3240">
        <v>801011</v>
      </c>
      <c r="G3240" s="1">
        <v>-322.02999999999997</v>
      </c>
      <c r="H3240" t="s">
        <v>3638</v>
      </c>
      <c r="J3240" s="18" t="s">
        <v>4327</v>
      </c>
    </row>
    <row r="3241" spans="3:10" x14ac:dyDescent="0.25">
      <c r="C3241" s="17" t="str">
        <f t="shared" si="51"/>
        <v>28.801011.-442695.9951..CLEAR SCHEDULE.</v>
      </c>
      <c r="E3241">
        <v>28</v>
      </c>
      <c r="F3241">
        <v>801011</v>
      </c>
      <c r="G3241" s="2">
        <v>-4426.95</v>
      </c>
      <c r="H3241" t="s">
        <v>3639</v>
      </c>
      <c r="J3241" s="18" t="s">
        <v>4327</v>
      </c>
    </row>
    <row r="3242" spans="3:10" x14ac:dyDescent="0.25">
      <c r="C3242" s="17" t="str">
        <f t="shared" si="51"/>
        <v>28.801011.-7694.9952..CLEAR SCHEDULE.</v>
      </c>
      <c r="E3242">
        <v>28</v>
      </c>
      <c r="F3242">
        <v>801011</v>
      </c>
      <c r="G3242" s="1">
        <v>-76.94</v>
      </c>
      <c r="H3242" t="s">
        <v>3640</v>
      </c>
      <c r="J3242" s="18" t="s">
        <v>4327</v>
      </c>
    </row>
    <row r="3243" spans="3:10" x14ac:dyDescent="0.25">
      <c r="C3243" s="17" t="str">
        <f t="shared" si="51"/>
        <v>28.801011.-43320.9953..CLEAR SCHEDULE.</v>
      </c>
      <c r="E3243">
        <v>28</v>
      </c>
      <c r="F3243">
        <v>801011</v>
      </c>
      <c r="G3243" s="2">
        <v>-433.2</v>
      </c>
      <c r="H3243" t="s">
        <v>3641</v>
      </c>
      <c r="J3243" s="18" t="s">
        <v>4327</v>
      </c>
    </row>
    <row r="3244" spans="3:10" x14ac:dyDescent="0.25">
      <c r="C3244" s="17" t="str">
        <f t="shared" si="51"/>
        <v>28.801011.-8972.9955..CLEAR SCHEDULE.</v>
      </c>
      <c r="E3244">
        <v>28</v>
      </c>
      <c r="F3244">
        <v>801011</v>
      </c>
      <c r="G3244" s="1">
        <v>-89.72</v>
      </c>
      <c r="H3244" t="s">
        <v>3642</v>
      </c>
      <c r="J3244" s="18" t="s">
        <v>4327</v>
      </c>
    </row>
    <row r="3245" spans="3:10" x14ac:dyDescent="0.25">
      <c r="C3245" s="17" t="str">
        <f t="shared" si="51"/>
        <v>28.801011.-40688.9956..CLEAR SCHEDULE.</v>
      </c>
      <c r="E3245">
        <v>28</v>
      </c>
      <c r="F3245">
        <v>801011</v>
      </c>
      <c r="G3245" s="2">
        <v>-406.88</v>
      </c>
      <c r="H3245" t="s">
        <v>3643</v>
      </c>
      <c r="J3245" s="18" t="s">
        <v>4327</v>
      </c>
    </row>
    <row r="3246" spans="3:10" x14ac:dyDescent="0.25">
      <c r="C3246" s="17" t="str">
        <f t="shared" si="51"/>
        <v>28.801011.-46860.9958..CLEAR SCHEDULE.</v>
      </c>
      <c r="E3246">
        <v>28</v>
      </c>
      <c r="F3246">
        <v>801011</v>
      </c>
      <c r="G3246" s="1">
        <v>-468.6</v>
      </c>
      <c r="H3246" t="s">
        <v>3644</v>
      </c>
      <c r="J3246" s="18" t="s">
        <v>4327</v>
      </c>
    </row>
    <row r="3247" spans="3:10" x14ac:dyDescent="0.25">
      <c r="C3247" s="17" t="str">
        <f t="shared" si="51"/>
        <v>28.801011.-68492.9960..CLEAR SCHEDULE.</v>
      </c>
      <c r="E3247">
        <v>28</v>
      </c>
      <c r="F3247">
        <v>801011</v>
      </c>
      <c r="G3247" s="2">
        <v>-684.92</v>
      </c>
      <c r="H3247" t="s">
        <v>3645</v>
      </c>
      <c r="J3247" s="18" t="s">
        <v>4327</v>
      </c>
    </row>
    <row r="3248" spans="3:10" x14ac:dyDescent="0.25">
      <c r="C3248" s="17" t="str">
        <f t="shared" si="51"/>
        <v>28.801011.-8972.9962..CLEAR SCHEDULE.</v>
      </c>
      <c r="E3248">
        <v>28</v>
      </c>
      <c r="F3248">
        <v>801011</v>
      </c>
      <c r="G3248" s="1">
        <v>-89.72</v>
      </c>
      <c r="H3248" t="s">
        <v>3646</v>
      </c>
      <c r="J3248" s="18" t="s">
        <v>4327</v>
      </c>
    </row>
    <row r="3249" spans="3:10" x14ac:dyDescent="0.25">
      <c r="C3249" s="17" t="str">
        <f t="shared" si="51"/>
        <v>28.801011.-13668.9963..CLEAR SCHEDULE.</v>
      </c>
      <c r="E3249">
        <v>28</v>
      </c>
      <c r="F3249">
        <v>801011</v>
      </c>
      <c r="G3249" s="2">
        <v>-136.68</v>
      </c>
      <c r="H3249" t="s">
        <v>3647</v>
      </c>
      <c r="J3249" s="18" t="s">
        <v>4327</v>
      </c>
    </row>
    <row r="3250" spans="3:10" x14ac:dyDescent="0.25">
      <c r="C3250" s="17" t="str">
        <f t="shared" si="51"/>
        <v>28.801011.-18275.9964..CLEAR SCHEDULE.</v>
      </c>
      <c r="E3250">
        <v>28</v>
      </c>
      <c r="F3250">
        <v>801011</v>
      </c>
      <c r="G3250" s="1">
        <v>-182.75</v>
      </c>
      <c r="H3250" t="s">
        <v>3648</v>
      </c>
      <c r="J3250" s="18" t="s">
        <v>4327</v>
      </c>
    </row>
    <row r="3251" spans="3:10" x14ac:dyDescent="0.25">
      <c r="C3251" s="17" t="str">
        <f t="shared" si="51"/>
        <v>28.801011.-15149.9965..CLEAR SCHEDULE.</v>
      </c>
      <c r="E3251">
        <v>28</v>
      </c>
      <c r="F3251">
        <v>801011</v>
      </c>
      <c r="G3251" s="2">
        <v>-151.49</v>
      </c>
      <c r="H3251" t="s">
        <v>3649</v>
      </c>
      <c r="J3251" s="18" t="s">
        <v>4327</v>
      </c>
    </row>
    <row r="3252" spans="3:10" x14ac:dyDescent="0.25">
      <c r="C3252" s="17" t="str">
        <f t="shared" si="51"/>
        <v>28.801011.-16956.9967..CLEAR SCHEDULE.</v>
      </c>
      <c r="E3252">
        <v>28</v>
      </c>
      <c r="F3252">
        <v>801011</v>
      </c>
      <c r="G3252" s="1">
        <v>-169.56</v>
      </c>
      <c r="H3252" t="s">
        <v>3650</v>
      </c>
      <c r="J3252" s="18" t="s">
        <v>4327</v>
      </c>
    </row>
    <row r="3253" spans="3:10" x14ac:dyDescent="0.25">
      <c r="C3253" s="17" t="str">
        <f t="shared" si="51"/>
        <v>28.801011.-14387.9970..CLEAR SCHEDULE.</v>
      </c>
      <c r="E3253">
        <v>28</v>
      </c>
      <c r="F3253">
        <v>801011</v>
      </c>
      <c r="G3253" s="2">
        <v>-143.87</v>
      </c>
      <c r="H3253" t="s">
        <v>3651</v>
      </c>
      <c r="J3253" s="18" t="s">
        <v>4327</v>
      </c>
    </row>
    <row r="3254" spans="3:10" x14ac:dyDescent="0.25">
      <c r="C3254" s="17" t="str">
        <f t="shared" si="51"/>
        <v>28.801011.-146178.9972..CLEAR SCHEDULE.</v>
      </c>
      <c r="E3254">
        <v>28</v>
      </c>
      <c r="F3254">
        <v>801011</v>
      </c>
      <c r="G3254" s="1">
        <v>-1461.78</v>
      </c>
      <c r="H3254" t="s">
        <v>3652</v>
      </c>
      <c r="J3254" s="18" t="s">
        <v>4327</v>
      </c>
    </row>
    <row r="3255" spans="3:10" x14ac:dyDescent="0.25">
      <c r="C3255" s="17" t="str">
        <f t="shared" si="51"/>
        <v>28.801011.-15804.9977..CLEAR SCHEDULE.</v>
      </c>
      <c r="E3255">
        <v>28</v>
      </c>
      <c r="F3255">
        <v>801011</v>
      </c>
      <c r="G3255" s="2">
        <v>-158.04</v>
      </c>
      <c r="H3255" t="s">
        <v>3653</v>
      </c>
      <c r="J3255" s="18" t="s">
        <v>4327</v>
      </c>
    </row>
    <row r="3256" spans="3:10" x14ac:dyDescent="0.25">
      <c r="C3256" s="17" t="str">
        <f t="shared" si="51"/>
        <v>28.801011.-19680.9978..CLEAR SCHEDULE.</v>
      </c>
      <c r="E3256">
        <v>28</v>
      </c>
      <c r="F3256">
        <v>801011</v>
      </c>
      <c r="G3256" s="1">
        <v>-196.8</v>
      </c>
      <c r="H3256" t="s">
        <v>3654</v>
      </c>
      <c r="J3256" s="18" t="s">
        <v>4327</v>
      </c>
    </row>
    <row r="3257" spans="3:10" x14ac:dyDescent="0.25">
      <c r="C3257" s="17" t="str">
        <f t="shared" si="51"/>
        <v>28.801011.-14387.9979..CLEAR SCHEDULE.</v>
      </c>
      <c r="E3257">
        <v>28</v>
      </c>
      <c r="F3257">
        <v>801011</v>
      </c>
      <c r="G3257" s="2">
        <v>-143.87</v>
      </c>
      <c r="H3257" t="s">
        <v>3655</v>
      </c>
      <c r="J3257" s="18" t="s">
        <v>4327</v>
      </c>
    </row>
    <row r="3258" spans="3:10" x14ac:dyDescent="0.25">
      <c r="C3258" s="17" t="str">
        <f t="shared" si="51"/>
        <v>28.801011.-114123.9980..CLEAR SCHEDULE.</v>
      </c>
      <c r="E3258">
        <v>28</v>
      </c>
      <c r="F3258">
        <v>801011</v>
      </c>
      <c r="G3258" s="1">
        <v>-1141.23</v>
      </c>
      <c r="H3258" t="s">
        <v>3656</v>
      </c>
      <c r="J3258" s="18" t="s">
        <v>4327</v>
      </c>
    </row>
    <row r="3259" spans="3:10" x14ac:dyDescent="0.25">
      <c r="C3259" s="17" t="str">
        <f t="shared" si="51"/>
        <v>28.801011.-148966.9982..CLEAR SCHEDULE.</v>
      </c>
      <c r="E3259">
        <v>28</v>
      </c>
      <c r="F3259">
        <v>801011</v>
      </c>
      <c r="G3259" s="2">
        <v>-1489.66</v>
      </c>
      <c r="H3259" t="s">
        <v>3657</v>
      </c>
      <c r="J3259" s="18" t="s">
        <v>4327</v>
      </c>
    </row>
    <row r="3260" spans="3:10" x14ac:dyDescent="0.25">
      <c r="C3260" s="17" t="str">
        <f t="shared" si="51"/>
        <v>28.801011.-33150.9983..CLEAR SCHEDULE.</v>
      </c>
      <c r="E3260">
        <v>28</v>
      </c>
      <c r="F3260">
        <v>801011</v>
      </c>
      <c r="G3260" s="1">
        <v>-331.5</v>
      </c>
      <c r="H3260" t="s">
        <v>3658</v>
      </c>
      <c r="J3260" s="18" t="s">
        <v>4327</v>
      </c>
    </row>
    <row r="3261" spans="3:10" x14ac:dyDescent="0.25">
      <c r="C3261" s="17" t="str">
        <f t="shared" si="51"/>
        <v>28.801011.-14387.9985..CLEAR SCHEDULE.</v>
      </c>
      <c r="E3261">
        <v>28</v>
      </c>
      <c r="F3261">
        <v>801011</v>
      </c>
      <c r="G3261" s="2">
        <v>-143.87</v>
      </c>
      <c r="H3261" t="s">
        <v>3659</v>
      </c>
      <c r="J3261" s="18" t="s">
        <v>4327</v>
      </c>
    </row>
    <row r="3262" spans="3:10" x14ac:dyDescent="0.25">
      <c r="C3262" s="17" t="str">
        <f t="shared" si="51"/>
        <v>28.801011.-39865.9986..CLEAR SCHEDULE.</v>
      </c>
      <c r="E3262">
        <v>28</v>
      </c>
      <c r="F3262">
        <v>801011</v>
      </c>
      <c r="G3262" s="1">
        <v>-398.65</v>
      </c>
      <c r="H3262" t="s">
        <v>3660</v>
      </c>
      <c r="J3262" s="18" t="s">
        <v>4327</v>
      </c>
    </row>
    <row r="3263" spans="3:10" x14ac:dyDescent="0.25">
      <c r="C3263" s="17" t="str">
        <f t="shared" si="51"/>
        <v>28.801011.-15177.9988..CLEAR SCHEDULE.</v>
      </c>
      <c r="E3263">
        <v>28</v>
      </c>
      <c r="F3263">
        <v>801011</v>
      </c>
      <c r="G3263" s="2">
        <v>-151.77000000000001</v>
      </c>
      <c r="H3263" t="s">
        <v>3661</v>
      </c>
      <c r="J3263" s="18" t="s">
        <v>4327</v>
      </c>
    </row>
    <row r="3264" spans="3:10" x14ac:dyDescent="0.25">
      <c r="C3264" s="17" t="str">
        <f t="shared" si="51"/>
        <v>28.801011.-47341.9989..CLEAR SCHEDULE.</v>
      </c>
      <c r="E3264">
        <v>28</v>
      </c>
      <c r="F3264">
        <v>801011</v>
      </c>
      <c r="G3264" s="1">
        <v>-473.41</v>
      </c>
      <c r="H3264" t="s">
        <v>3662</v>
      </c>
      <c r="J3264" s="18" t="s">
        <v>4327</v>
      </c>
    </row>
    <row r="3265" spans="3:10" x14ac:dyDescent="0.25">
      <c r="C3265" s="17" t="str">
        <f t="shared" si="51"/>
        <v>28.801011.-79118.9990..CLEAR SCHEDULE.</v>
      </c>
      <c r="E3265">
        <v>28</v>
      </c>
      <c r="F3265">
        <v>801011</v>
      </c>
      <c r="G3265" s="2">
        <v>-791.18</v>
      </c>
      <c r="H3265" t="s">
        <v>3663</v>
      </c>
      <c r="J3265" s="18" t="s">
        <v>4327</v>
      </c>
    </row>
    <row r="3266" spans="3:10" x14ac:dyDescent="0.25">
      <c r="C3266" s="17" t="str">
        <f t="shared" si="51"/>
        <v>28.801011.-10530.9995..CLEAR SCHEDULE.</v>
      </c>
      <c r="E3266">
        <v>28</v>
      </c>
      <c r="F3266">
        <v>801011</v>
      </c>
      <c r="G3266" s="1">
        <v>-105.3</v>
      </c>
      <c r="H3266" t="s">
        <v>3664</v>
      </c>
      <c r="J3266" s="18" t="s">
        <v>4327</v>
      </c>
    </row>
    <row r="3267" spans="3:10" x14ac:dyDescent="0.25">
      <c r="C3267" s="17" t="str">
        <f t="shared" si="51"/>
        <v>28.801011.-9234.9996..CLEAR SCHEDULE.</v>
      </c>
      <c r="E3267">
        <v>28</v>
      </c>
      <c r="F3267">
        <v>801011</v>
      </c>
      <c r="G3267" s="2">
        <v>-92.34</v>
      </c>
      <c r="H3267" t="s">
        <v>3665</v>
      </c>
      <c r="J3267" s="18" t="s">
        <v>4327</v>
      </c>
    </row>
    <row r="3268" spans="3:10" x14ac:dyDescent="0.25">
      <c r="C3268" s="17" t="str">
        <f t="shared" si="51"/>
        <v>28.801011.-76439.9998..CLEAR SCHEDULE.</v>
      </c>
      <c r="E3268">
        <v>28</v>
      </c>
      <c r="F3268">
        <v>801011</v>
      </c>
      <c r="G3268" s="1">
        <v>-764.39</v>
      </c>
      <c r="H3268" t="s">
        <v>3666</v>
      </c>
      <c r="J3268" s="18" t="s">
        <v>4327</v>
      </c>
    </row>
    <row r="3269" spans="3:10" x14ac:dyDescent="0.25">
      <c r="C3269" s="17" t="str">
        <f t="shared" si="51"/>
        <v>28.801011.-4200.9999..CLEAR SCHEDULE.</v>
      </c>
      <c r="E3269">
        <v>28</v>
      </c>
      <c r="F3269">
        <v>801011</v>
      </c>
      <c r="G3269" s="2">
        <v>-42</v>
      </c>
      <c r="H3269" t="s">
        <v>3667</v>
      </c>
      <c r="J3269" s="18" t="s">
        <v>4327</v>
      </c>
    </row>
    <row r="3270" spans="3:10" x14ac:dyDescent="0.25">
      <c r="C3270" s="17" t="str">
        <f t="shared" si="51"/>
        <v>28.801011.-10530.10000..CLEAR SCHEDULE.</v>
      </c>
      <c r="E3270">
        <v>28</v>
      </c>
      <c r="F3270">
        <v>801011</v>
      </c>
      <c r="G3270" s="1">
        <v>-105.3</v>
      </c>
      <c r="H3270" t="s">
        <v>3668</v>
      </c>
      <c r="J3270" s="18" t="s">
        <v>4327</v>
      </c>
    </row>
    <row r="3271" spans="3:10" x14ac:dyDescent="0.25">
      <c r="C3271" s="17" t="str">
        <f t="shared" si="51"/>
        <v>28.801011.-72098.10001..CLEAR SCHEDULE.</v>
      </c>
      <c r="E3271">
        <v>28</v>
      </c>
      <c r="F3271">
        <v>801011</v>
      </c>
      <c r="G3271" s="2">
        <v>-720.98</v>
      </c>
      <c r="H3271" t="s">
        <v>3669</v>
      </c>
      <c r="J3271" s="18" t="s">
        <v>4327</v>
      </c>
    </row>
    <row r="3272" spans="3:10" x14ac:dyDescent="0.25">
      <c r="C3272" s="17" t="str">
        <f t="shared" si="51"/>
        <v>28.801011.-10530.10002..CLEAR SCHEDULE.</v>
      </c>
      <c r="E3272">
        <v>28</v>
      </c>
      <c r="F3272">
        <v>801011</v>
      </c>
      <c r="G3272" s="1">
        <v>-105.3</v>
      </c>
      <c r="H3272" t="s">
        <v>3670</v>
      </c>
      <c r="J3272" s="18" t="s">
        <v>4327</v>
      </c>
    </row>
    <row r="3273" spans="3:10" x14ac:dyDescent="0.25">
      <c r="C3273" s="17" t="str">
        <f t="shared" si="51"/>
        <v>28.801011.-63670.10003..CLEAR SCHEDULE.</v>
      </c>
      <c r="E3273">
        <v>28</v>
      </c>
      <c r="F3273">
        <v>801011</v>
      </c>
      <c r="G3273" s="2">
        <v>-636.70000000000005</v>
      </c>
      <c r="H3273" t="s">
        <v>3671</v>
      </c>
      <c r="J3273" s="18" t="s">
        <v>4327</v>
      </c>
    </row>
    <row r="3274" spans="3:10" x14ac:dyDescent="0.25">
      <c r="C3274" s="17" t="str">
        <f t="shared" si="51"/>
        <v>28.801011.-734528.10004..CLEAR SCHEDULE.</v>
      </c>
      <c r="E3274">
        <v>28</v>
      </c>
      <c r="F3274">
        <v>801011</v>
      </c>
      <c r="G3274" s="1">
        <v>-7345.28</v>
      </c>
      <c r="H3274" t="s">
        <v>3672</v>
      </c>
      <c r="J3274" s="18" t="s">
        <v>4327</v>
      </c>
    </row>
    <row r="3275" spans="3:10" x14ac:dyDescent="0.25">
      <c r="C3275" s="17" t="str">
        <f t="shared" ref="C3275:C3338" si="52">IF(G3275=0,"",(E3275&amp;"."&amp;F3275&amp;"."&amp;G3275*100&amp;"."&amp;H3275&amp;"."&amp;I3275&amp;"."&amp;J3275&amp;"."&amp;K3275))</f>
        <v>28.801011.-15945.10006..CLEAR SCHEDULE.</v>
      </c>
      <c r="E3275">
        <v>28</v>
      </c>
      <c r="F3275">
        <v>801011</v>
      </c>
      <c r="G3275" s="2">
        <v>-159.44999999999999</v>
      </c>
      <c r="H3275" t="s">
        <v>3673</v>
      </c>
      <c r="J3275" s="18" t="s">
        <v>4327</v>
      </c>
    </row>
    <row r="3276" spans="3:10" x14ac:dyDescent="0.25">
      <c r="C3276" s="17" t="str">
        <f t="shared" si="52"/>
        <v>28.801011.-14486.10007..CLEAR SCHEDULE.</v>
      </c>
      <c r="E3276">
        <v>28</v>
      </c>
      <c r="F3276">
        <v>801011</v>
      </c>
      <c r="G3276" s="1">
        <v>-144.86000000000001</v>
      </c>
      <c r="H3276" t="s">
        <v>3674</v>
      </c>
      <c r="J3276" s="18" t="s">
        <v>4327</v>
      </c>
    </row>
    <row r="3277" spans="3:10" x14ac:dyDescent="0.25">
      <c r="C3277" s="17" t="str">
        <f t="shared" si="52"/>
        <v>28.801011.-103340.10008..CLEAR SCHEDULE.</v>
      </c>
      <c r="E3277">
        <v>28</v>
      </c>
      <c r="F3277">
        <v>801011</v>
      </c>
      <c r="G3277" s="2">
        <v>-1033.4000000000001</v>
      </c>
      <c r="H3277" t="s">
        <v>3675</v>
      </c>
      <c r="J3277" s="18" t="s">
        <v>4327</v>
      </c>
    </row>
    <row r="3278" spans="3:10" x14ac:dyDescent="0.25">
      <c r="C3278" s="17" t="str">
        <f t="shared" si="52"/>
        <v>28.801011.-107647.10010..CLEAR SCHEDULE.</v>
      </c>
      <c r="E3278">
        <v>28</v>
      </c>
      <c r="F3278">
        <v>801011</v>
      </c>
      <c r="G3278" s="1">
        <v>-1076.47</v>
      </c>
      <c r="H3278" t="s">
        <v>3676</v>
      </c>
      <c r="J3278" s="18" t="s">
        <v>4327</v>
      </c>
    </row>
    <row r="3279" spans="3:10" x14ac:dyDescent="0.25">
      <c r="C3279" s="17" t="str">
        <f t="shared" si="52"/>
        <v>28.801011.-49235.10012..CLEAR SCHEDULE.</v>
      </c>
      <c r="E3279">
        <v>28</v>
      </c>
      <c r="F3279">
        <v>801011</v>
      </c>
      <c r="G3279" s="2">
        <v>-492.35</v>
      </c>
      <c r="H3279" t="s">
        <v>3677</v>
      </c>
      <c r="J3279" s="18" t="s">
        <v>4327</v>
      </c>
    </row>
    <row r="3280" spans="3:10" x14ac:dyDescent="0.25">
      <c r="C3280" s="17" t="str">
        <f t="shared" si="52"/>
        <v>28.801011.-26979.10013..CLEAR SCHEDULE.</v>
      </c>
      <c r="E3280">
        <v>28</v>
      </c>
      <c r="F3280">
        <v>801011</v>
      </c>
      <c r="G3280" s="1">
        <v>-269.79000000000002</v>
      </c>
      <c r="H3280" t="s">
        <v>3678</v>
      </c>
      <c r="J3280" s="18" t="s">
        <v>4327</v>
      </c>
    </row>
    <row r="3281" spans="3:10" x14ac:dyDescent="0.25">
      <c r="C3281" s="17" t="str">
        <f t="shared" si="52"/>
        <v>28.801011.-15488.10016..CLEAR SCHEDULE.</v>
      </c>
      <c r="E3281">
        <v>28</v>
      </c>
      <c r="F3281">
        <v>801011</v>
      </c>
      <c r="G3281" s="2">
        <v>-154.88</v>
      </c>
      <c r="H3281" t="s">
        <v>3679</v>
      </c>
      <c r="J3281" s="18" t="s">
        <v>4327</v>
      </c>
    </row>
    <row r="3282" spans="3:10" x14ac:dyDescent="0.25">
      <c r="C3282" s="17" t="str">
        <f t="shared" si="52"/>
        <v>28.801011.-47864.10019..CLEAR SCHEDULE.</v>
      </c>
      <c r="E3282">
        <v>28</v>
      </c>
      <c r="F3282">
        <v>801011</v>
      </c>
      <c r="G3282" s="1">
        <v>-478.64</v>
      </c>
      <c r="H3282" t="s">
        <v>3680</v>
      </c>
      <c r="J3282" s="18" t="s">
        <v>4327</v>
      </c>
    </row>
    <row r="3283" spans="3:10" x14ac:dyDescent="0.25">
      <c r="C3283" s="17" t="str">
        <f t="shared" si="52"/>
        <v>28.801011.-37753.10022..CLEAR SCHEDULE.</v>
      </c>
      <c r="E3283">
        <v>28</v>
      </c>
      <c r="F3283">
        <v>801011</v>
      </c>
      <c r="G3283" s="2">
        <v>-377.53</v>
      </c>
      <c r="H3283" t="s">
        <v>3681</v>
      </c>
      <c r="J3283" s="18" t="s">
        <v>4327</v>
      </c>
    </row>
    <row r="3284" spans="3:10" x14ac:dyDescent="0.25">
      <c r="C3284" s="17" t="str">
        <f t="shared" si="52"/>
        <v>28.801011.-9263.10023..CLEAR SCHEDULE.</v>
      </c>
      <c r="E3284">
        <v>28</v>
      </c>
      <c r="F3284">
        <v>801011</v>
      </c>
      <c r="G3284" s="1">
        <v>-92.63</v>
      </c>
      <c r="H3284" t="s">
        <v>3682</v>
      </c>
      <c r="J3284" s="18" t="s">
        <v>4327</v>
      </c>
    </row>
    <row r="3285" spans="3:10" x14ac:dyDescent="0.25">
      <c r="C3285" s="17" t="str">
        <f t="shared" si="52"/>
        <v>28.801011.-14387.10026..CLEAR SCHEDULE.</v>
      </c>
      <c r="E3285">
        <v>28</v>
      </c>
      <c r="F3285">
        <v>801011</v>
      </c>
      <c r="G3285" s="2">
        <v>-143.87</v>
      </c>
      <c r="H3285" t="s">
        <v>3683</v>
      </c>
      <c r="J3285" s="18" t="s">
        <v>4327</v>
      </c>
    </row>
    <row r="3286" spans="3:10" x14ac:dyDescent="0.25">
      <c r="C3286" s="17" t="str">
        <f t="shared" si="52"/>
        <v>28.801011.-34129.10028..CLEAR SCHEDULE.</v>
      </c>
      <c r="E3286">
        <v>28</v>
      </c>
      <c r="F3286">
        <v>801011</v>
      </c>
      <c r="G3286" s="1">
        <v>-341.29</v>
      </c>
      <c r="H3286" t="s">
        <v>3684</v>
      </c>
      <c r="J3286" s="18" t="s">
        <v>4327</v>
      </c>
    </row>
    <row r="3287" spans="3:10" x14ac:dyDescent="0.25">
      <c r="C3287" s="17" t="str">
        <f t="shared" si="52"/>
        <v>28.801011.-74398.10029..CLEAR SCHEDULE.</v>
      </c>
      <c r="E3287">
        <v>28</v>
      </c>
      <c r="F3287">
        <v>801011</v>
      </c>
      <c r="G3287" s="2">
        <v>-743.98</v>
      </c>
      <c r="H3287" t="s">
        <v>3685</v>
      </c>
      <c r="J3287" s="18" t="s">
        <v>4327</v>
      </c>
    </row>
    <row r="3288" spans="3:10" x14ac:dyDescent="0.25">
      <c r="C3288" s="17" t="str">
        <f t="shared" si="52"/>
        <v>28.801011.-34834.10032..CLEAR SCHEDULE.</v>
      </c>
      <c r="E3288">
        <v>28</v>
      </c>
      <c r="F3288">
        <v>801011</v>
      </c>
      <c r="G3288" s="1">
        <v>-348.34</v>
      </c>
      <c r="H3288" t="s">
        <v>3686</v>
      </c>
      <c r="J3288" s="18" t="s">
        <v>4327</v>
      </c>
    </row>
    <row r="3289" spans="3:10" x14ac:dyDescent="0.25">
      <c r="C3289" s="17" t="str">
        <f t="shared" si="52"/>
        <v>28.801011.-8972.10033..CLEAR SCHEDULE.</v>
      </c>
      <c r="E3289">
        <v>28</v>
      </c>
      <c r="F3289">
        <v>801011</v>
      </c>
      <c r="G3289" s="2">
        <v>-89.72</v>
      </c>
      <c r="H3289" t="s">
        <v>3687</v>
      </c>
      <c r="J3289" s="18" t="s">
        <v>4327</v>
      </c>
    </row>
    <row r="3290" spans="3:10" x14ac:dyDescent="0.25">
      <c r="C3290" s="17" t="str">
        <f t="shared" si="52"/>
        <v>28.801011.-8972.10034..CLEAR SCHEDULE.</v>
      </c>
      <c r="E3290">
        <v>28</v>
      </c>
      <c r="F3290">
        <v>801011</v>
      </c>
      <c r="G3290" s="1">
        <v>-89.72</v>
      </c>
      <c r="H3290" t="s">
        <v>3688</v>
      </c>
      <c r="J3290" s="18" t="s">
        <v>4327</v>
      </c>
    </row>
    <row r="3291" spans="3:10" x14ac:dyDescent="0.25">
      <c r="C3291" s="17" t="str">
        <f t="shared" si="52"/>
        <v>28.801011.-15945.10036..CLEAR SCHEDULE.</v>
      </c>
      <c r="E3291">
        <v>28</v>
      </c>
      <c r="F3291">
        <v>801011</v>
      </c>
      <c r="G3291" s="2">
        <v>-159.44999999999999</v>
      </c>
      <c r="H3291" t="s">
        <v>3689</v>
      </c>
      <c r="J3291" s="18" t="s">
        <v>4327</v>
      </c>
    </row>
    <row r="3292" spans="3:10" x14ac:dyDescent="0.25">
      <c r="C3292" s="17" t="str">
        <f t="shared" si="52"/>
        <v>28.801011.-13668.10037..CLEAR SCHEDULE.</v>
      </c>
      <c r="E3292">
        <v>28</v>
      </c>
      <c r="F3292">
        <v>801011</v>
      </c>
      <c r="G3292" s="1">
        <v>-136.68</v>
      </c>
      <c r="H3292" t="s">
        <v>3690</v>
      </c>
      <c r="J3292" s="18" t="s">
        <v>4327</v>
      </c>
    </row>
    <row r="3293" spans="3:10" x14ac:dyDescent="0.25">
      <c r="C3293" s="17" t="str">
        <f t="shared" si="52"/>
        <v>28.801011.-124374.10038..CLEAR SCHEDULE.</v>
      </c>
      <c r="E3293">
        <v>28</v>
      </c>
      <c r="F3293">
        <v>801011</v>
      </c>
      <c r="G3293" s="2">
        <v>-1243.74</v>
      </c>
      <c r="H3293" t="s">
        <v>3691</v>
      </c>
      <c r="J3293" s="18" t="s">
        <v>4327</v>
      </c>
    </row>
    <row r="3294" spans="3:10" x14ac:dyDescent="0.25">
      <c r="C3294" s="17" t="str">
        <f t="shared" si="52"/>
        <v>28.801011.-14530.10039..CLEAR SCHEDULE.</v>
      </c>
      <c r="E3294">
        <v>28</v>
      </c>
      <c r="F3294">
        <v>801011</v>
      </c>
      <c r="G3294" s="1">
        <v>-145.30000000000001</v>
      </c>
      <c r="H3294" t="s">
        <v>3692</v>
      </c>
      <c r="J3294" s="18" t="s">
        <v>4327</v>
      </c>
    </row>
    <row r="3295" spans="3:10" x14ac:dyDescent="0.25">
      <c r="C3295" s="17" t="str">
        <f t="shared" si="52"/>
        <v>28.801011.-5951.10040..CLEAR SCHEDULE.</v>
      </c>
      <c r="E3295">
        <v>28</v>
      </c>
      <c r="F3295">
        <v>801011</v>
      </c>
      <c r="G3295" s="2">
        <v>-59.51</v>
      </c>
      <c r="H3295" t="s">
        <v>3693</v>
      </c>
      <c r="J3295" s="18" t="s">
        <v>4327</v>
      </c>
    </row>
    <row r="3296" spans="3:10" x14ac:dyDescent="0.25">
      <c r="C3296" s="17" t="str">
        <f t="shared" si="52"/>
        <v>28.801011.-53517.10041..CLEAR SCHEDULE.</v>
      </c>
      <c r="E3296">
        <v>28</v>
      </c>
      <c r="F3296">
        <v>801011</v>
      </c>
      <c r="G3296" s="1">
        <v>-535.16999999999996</v>
      </c>
      <c r="H3296" t="s">
        <v>3694</v>
      </c>
      <c r="J3296" s="18" t="s">
        <v>4327</v>
      </c>
    </row>
    <row r="3297" spans="3:10" x14ac:dyDescent="0.25">
      <c r="C3297" s="17" t="str">
        <f t="shared" si="52"/>
        <v>28.801011.-44267.10043..CLEAR SCHEDULE.</v>
      </c>
      <c r="E3297">
        <v>28</v>
      </c>
      <c r="F3297">
        <v>801011</v>
      </c>
      <c r="G3297" s="2">
        <v>-442.67</v>
      </c>
      <c r="H3297" t="s">
        <v>3695</v>
      </c>
      <c r="J3297" s="18" t="s">
        <v>4327</v>
      </c>
    </row>
    <row r="3298" spans="3:10" x14ac:dyDescent="0.25">
      <c r="C3298" s="17" t="str">
        <f t="shared" si="52"/>
        <v>28.801011.-14387.10044..CLEAR SCHEDULE.</v>
      </c>
      <c r="E3298">
        <v>28</v>
      </c>
      <c r="F3298">
        <v>801011</v>
      </c>
      <c r="G3298" s="1">
        <v>-143.87</v>
      </c>
      <c r="H3298" t="s">
        <v>3696</v>
      </c>
      <c r="J3298" s="18" t="s">
        <v>4327</v>
      </c>
    </row>
    <row r="3299" spans="3:10" x14ac:dyDescent="0.25">
      <c r="C3299" s="17" t="str">
        <f t="shared" si="52"/>
        <v>28.801011.-32662.10045..CLEAR SCHEDULE.</v>
      </c>
      <c r="E3299">
        <v>28</v>
      </c>
      <c r="F3299">
        <v>801011</v>
      </c>
      <c r="G3299" s="2">
        <v>-326.62</v>
      </c>
      <c r="H3299" t="s">
        <v>3697</v>
      </c>
      <c r="J3299" s="18" t="s">
        <v>4327</v>
      </c>
    </row>
    <row r="3300" spans="3:10" x14ac:dyDescent="0.25">
      <c r="C3300" s="17" t="str">
        <f t="shared" si="52"/>
        <v>28.801011.-5415.10047..CLEAR SCHEDULE.</v>
      </c>
      <c r="E3300">
        <v>28</v>
      </c>
      <c r="F3300">
        <v>801011</v>
      </c>
      <c r="G3300" s="1">
        <v>-54.15</v>
      </c>
      <c r="H3300" t="s">
        <v>3698</v>
      </c>
      <c r="J3300" s="18" t="s">
        <v>4327</v>
      </c>
    </row>
    <row r="3301" spans="3:10" x14ac:dyDescent="0.25">
      <c r="C3301" s="17" t="str">
        <f t="shared" si="52"/>
        <v>28.801011.-15945.10050..CLEAR SCHEDULE.</v>
      </c>
      <c r="E3301">
        <v>28</v>
      </c>
      <c r="F3301">
        <v>801011</v>
      </c>
      <c r="G3301" s="2">
        <v>-159.44999999999999</v>
      </c>
      <c r="H3301" t="s">
        <v>3699</v>
      </c>
      <c r="J3301" s="18" t="s">
        <v>4327</v>
      </c>
    </row>
    <row r="3302" spans="3:10" x14ac:dyDescent="0.25">
      <c r="C3302" s="17" t="str">
        <f t="shared" si="52"/>
        <v>28.801011.-14387.10051..CLEAR SCHEDULE.</v>
      </c>
      <c r="E3302">
        <v>28</v>
      </c>
      <c r="F3302">
        <v>801011</v>
      </c>
      <c r="G3302" s="1">
        <v>-143.87</v>
      </c>
      <c r="H3302" t="s">
        <v>3700</v>
      </c>
      <c r="J3302" s="18" t="s">
        <v>4327</v>
      </c>
    </row>
    <row r="3303" spans="3:10" x14ac:dyDescent="0.25">
      <c r="C3303" s="17" t="str">
        <f t="shared" si="52"/>
        <v>28.801011.-13590.10052..CLEAR SCHEDULE.</v>
      </c>
      <c r="E3303">
        <v>28</v>
      </c>
      <c r="F3303">
        <v>801011</v>
      </c>
      <c r="G3303" s="2">
        <v>-135.9</v>
      </c>
      <c r="H3303" t="s">
        <v>3701</v>
      </c>
      <c r="J3303" s="18" t="s">
        <v>4327</v>
      </c>
    </row>
    <row r="3304" spans="3:10" x14ac:dyDescent="0.25">
      <c r="C3304" s="17" t="str">
        <f t="shared" si="52"/>
        <v>28.801011.-9476.10055..CLEAR SCHEDULE.</v>
      </c>
      <c r="E3304">
        <v>28</v>
      </c>
      <c r="F3304">
        <v>801011</v>
      </c>
      <c r="G3304" s="1">
        <v>-94.76</v>
      </c>
      <c r="H3304" t="s">
        <v>3702</v>
      </c>
      <c r="J3304" s="18" t="s">
        <v>4327</v>
      </c>
    </row>
    <row r="3305" spans="3:10" x14ac:dyDescent="0.25">
      <c r="C3305" s="17" t="str">
        <f t="shared" si="52"/>
        <v>28.801011.-25834.10058..CLEAR SCHEDULE.</v>
      </c>
      <c r="E3305">
        <v>28</v>
      </c>
      <c r="F3305">
        <v>801011</v>
      </c>
      <c r="G3305" s="2">
        <v>-258.33999999999997</v>
      </c>
      <c r="H3305" t="s">
        <v>3703</v>
      </c>
      <c r="J3305" s="18" t="s">
        <v>4327</v>
      </c>
    </row>
    <row r="3306" spans="3:10" x14ac:dyDescent="0.25">
      <c r="C3306" s="17" t="str">
        <f t="shared" si="52"/>
        <v>28.801011.-9261.10059..CLEAR SCHEDULE.</v>
      </c>
      <c r="E3306">
        <v>28</v>
      </c>
      <c r="F3306">
        <v>801011</v>
      </c>
      <c r="G3306" s="1">
        <v>-92.61</v>
      </c>
      <c r="H3306" t="s">
        <v>3704</v>
      </c>
      <c r="J3306" s="18" t="s">
        <v>4327</v>
      </c>
    </row>
    <row r="3307" spans="3:10" x14ac:dyDescent="0.25">
      <c r="C3307" s="17" t="str">
        <f t="shared" si="52"/>
        <v>28.801011.-200274.10060..CLEAR SCHEDULE.</v>
      </c>
      <c r="E3307">
        <v>28</v>
      </c>
      <c r="F3307">
        <v>801011</v>
      </c>
      <c r="G3307" s="2">
        <v>-2002.74</v>
      </c>
      <c r="H3307" t="s">
        <v>3705</v>
      </c>
      <c r="J3307" s="18" t="s">
        <v>4327</v>
      </c>
    </row>
    <row r="3308" spans="3:10" x14ac:dyDescent="0.25">
      <c r="C3308" s="17" t="str">
        <f t="shared" si="52"/>
        <v>28.801011.-34675.10061..CLEAR SCHEDULE.</v>
      </c>
      <c r="E3308">
        <v>28</v>
      </c>
      <c r="F3308">
        <v>801011</v>
      </c>
      <c r="G3308" s="1">
        <v>-346.75</v>
      </c>
      <c r="H3308" t="s">
        <v>3706</v>
      </c>
      <c r="J3308" s="18" t="s">
        <v>4327</v>
      </c>
    </row>
    <row r="3309" spans="3:10" x14ac:dyDescent="0.25">
      <c r="C3309" s="17" t="str">
        <f t="shared" si="52"/>
        <v>28.801011.-92949.10063..CLEAR SCHEDULE.</v>
      </c>
      <c r="E3309">
        <v>28</v>
      </c>
      <c r="F3309">
        <v>801011</v>
      </c>
      <c r="G3309" s="2">
        <v>-929.49</v>
      </c>
      <c r="H3309" t="s">
        <v>3707</v>
      </c>
      <c r="J3309" s="18" t="s">
        <v>4327</v>
      </c>
    </row>
    <row r="3310" spans="3:10" x14ac:dyDescent="0.25">
      <c r="C3310" s="17" t="str">
        <f t="shared" si="52"/>
        <v>28.801011.-43375.10064..CLEAR SCHEDULE.</v>
      </c>
      <c r="E3310">
        <v>28</v>
      </c>
      <c r="F3310">
        <v>801011</v>
      </c>
      <c r="G3310" s="1">
        <v>-433.75</v>
      </c>
      <c r="H3310" t="s">
        <v>3708</v>
      </c>
      <c r="J3310" s="18" t="s">
        <v>4327</v>
      </c>
    </row>
    <row r="3311" spans="3:10" x14ac:dyDescent="0.25">
      <c r="C3311" s="17" t="str">
        <f t="shared" si="52"/>
        <v>28.801011.-461530.10065..CLEAR SCHEDULE.</v>
      </c>
      <c r="E3311">
        <v>28</v>
      </c>
      <c r="F3311">
        <v>801011</v>
      </c>
      <c r="G3311" s="2">
        <v>-4615.3</v>
      </c>
      <c r="H3311" t="s">
        <v>3709</v>
      </c>
      <c r="J3311" s="18" t="s">
        <v>4327</v>
      </c>
    </row>
    <row r="3312" spans="3:10" x14ac:dyDescent="0.25">
      <c r="C3312" s="17" t="str">
        <f t="shared" si="52"/>
        <v>28.801011.-60327.10066..CLEAR SCHEDULE.</v>
      </c>
      <c r="E3312">
        <v>28</v>
      </c>
      <c r="F3312">
        <v>801011</v>
      </c>
      <c r="G3312" s="1">
        <v>-603.27</v>
      </c>
      <c r="H3312" t="s">
        <v>3710</v>
      </c>
      <c r="J3312" s="18" t="s">
        <v>4327</v>
      </c>
    </row>
    <row r="3313" spans="3:10" x14ac:dyDescent="0.25">
      <c r="C3313" s="17" t="str">
        <f t="shared" si="52"/>
        <v>28.801011.-75788.10068..CLEAR SCHEDULE.</v>
      </c>
      <c r="E3313">
        <v>28</v>
      </c>
      <c r="F3313">
        <v>801011</v>
      </c>
      <c r="G3313" s="2">
        <v>-757.88</v>
      </c>
      <c r="H3313" t="s">
        <v>3711</v>
      </c>
      <c r="J3313" s="18" t="s">
        <v>4327</v>
      </c>
    </row>
    <row r="3314" spans="3:10" x14ac:dyDescent="0.25">
      <c r="C3314" s="17" t="str">
        <f t="shared" si="52"/>
        <v>28.801011.-58274.10069..CLEAR SCHEDULE.</v>
      </c>
      <c r="E3314">
        <v>28</v>
      </c>
      <c r="F3314">
        <v>801011</v>
      </c>
      <c r="G3314" s="1">
        <v>-582.74</v>
      </c>
      <c r="H3314" t="s">
        <v>3712</v>
      </c>
      <c r="J3314" s="18" t="s">
        <v>4327</v>
      </c>
    </row>
    <row r="3315" spans="3:10" x14ac:dyDescent="0.25">
      <c r="C3315" s="17" t="str">
        <f t="shared" si="52"/>
        <v>28.801011.-56005.10072..CLEAR SCHEDULE.</v>
      </c>
      <c r="E3315">
        <v>28</v>
      </c>
      <c r="F3315">
        <v>801011</v>
      </c>
      <c r="G3315" s="2">
        <v>-560.04999999999995</v>
      </c>
      <c r="H3315" t="s">
        <v>3713</v>
      </c>
      <c r="J3315" s="18" t="s">
        <v>4327</v>
      </c>
    </row>
    <row r="3316" spans="3:10" x14ac:dyDescent="0.25">
      <c r="C3316" s="17" t="str">
        <f t="shared" si="52"/>
        <v>28.801011.-16220.10073..CLEAR SCHEDULE.</v>
      </c>
      <c r="E3316">
        <v>28</v>
      </c>
      <c r="F3316">
        <v>801011</v>
      </c>
      <c r="G3316" s="1">
        <v>-162.19999999999999</v>
      </c>
      <c r="H3316" t="s">
        <v>3714</v>
      </c>
      <c r="J3316" s="18" t="s">
        <v>4327</v>
      </c>
    </row>
    <row r="3317" spans="3:10" x14ac:dyDescent="0.25">
      <c r="C3317" s="17" t="str">
        <f t="shared" si="52"/>
        <v>28.801011.-8972.10074..CLEAR SCHEDULE.</v>
      </c>
      <c r="E3317">
        <v>28</v>
      </c>
      <c r="F3317">
        <v>801011</v>
      </c>
      <c r="G3317" s="2">
        <v>-89.72</v>
      </c>
      <c r="H3317" t="s">
        <v>3715</v>
      </c>
      <c r="J3317" s="18" t="s">
        <v>4327</v>
      </c>
    </row>
    <row r="3318" spans="3:10" x14ac:dyDescent="0.25">
      <c r="C3318" s="17" t="str">
        <f t="shared" si="52"/>
        <v>28.801011.-29587.10077..CLEAR SCHEDULE.</v>
      </c>
      <c r="E3318">
        <v>28</v>
      </c>
      <c r="F3318">
        <v>801011</v>
      </c>
      <c r="G3318" s="1">
        <v>-295.87</v>
      </c>
      <c r="H3318" t="s">
        <v>3716</v>
      </c>
      <c r="J3318" s="18" t="s">
        <v>4327</v>
      </c>
    </row>
    <row r="3319" spans="3:10" x14ac:dyDescent="0.25">
      <c r="C3319" s="17" t="str">
        <f t="shared" si="52"/>
        <v>28.801011.-19764.10078..CLEAR SCHEDULE.</v>
      </c>
      <c r="E3319">
        <v>28</v>
      </c>
      <c r="F3319">
        <v>801011</v>
      </c>
      <c r="G3319" s="2">
        <v>-197.64</v>
      </c>
      <c r="H3319" t="s">
        <v>3717</v>
      </c>
      <c r="J3319" s="18" t="s">
        <v>4327</v>
      </c>
    </row>
    <row r="3320" spans="3:10" x14ac:dyDescent="0.25">
      <c r="C3320" s="17" t="str">
        <f t="shared" si="52"/>
        <v>28.801011.-13400.10080..CLEAR SCHEDULE.</v>
      </c>
      <c r="E3320">
        <v>28</v>
      </c>
      <c r="F3320">
        <v>801011</v>
      </c>
      <c r="G3320" s="1">
        <v>-134</v>
      </c>
      <c r="H3320" t="s">
        <v>3718</v>
      </c>
      <c r="J3320" s="18" t="s">
        <v>4327</v>
      </c>
    </row>
    <row r="3321" spans="3:10" x14ac:dyDescent="0.25">
      <c r="C3321" s="17" t="str">
        <f t="shared" si="52"/>
        <v>28.801011.-52256.10084..CLEAR SCHEDULE.</v>
      </c>
      <c r="E3321">
        <v>28</v>
      </c>
      <c r="F3321">
        <v>801011</v>
      </c>
      <c r="G3321" s="2">
        <v>-522.55999999999995</v>
      </c>
      <c r="H3321" t="s">
        <v>3719</v>
      </c>
      <c r="J3321" s="18" t="s">
        <v>4327</v>
      </c>
    </row>
    <row r="3322" spans="3:10" x14ac:dyDescent="0.25">
      <c r="C3322" s="17" t="str">
        <f t="shared" si="52"/>
        <v>28.801011.-15166.10085..CLEAR SCHEDULE.</v>
      </c>
      <c r="E3322">
        <v>28</v>
      </c>
      <c r="F3322">
        <v>801011</v>
      </c>
      <c r="G3322" s="1">
        <v>-151.66</v>
      </c>
      <c r="H3322" t="s">
        <v>3720</v>
      </c>
      <c r="J3322" s="18" t="s">
        <v>4327</v>
      </c>
    </row>
    <row r="3323" spans="3:10" x14ac:dyDescent="0.25">
      <c r="C3323" s="17" t="str">
        <f t="shared" si="52"/>
        <v>28.801011.-14062.10087..CLEAR SCHEDULE.</v>
      </c>
      <c r="E3323">
        <v>28</v>
      </c>
      <c r="F3323">
        <v>801011</v>
      </c>
      <c r="G3323" s="2">
        <v>-140.62</v>
      </c>
      <c r="H3323" t="s">
        <v>3721</v>
      </c>
      <c r="J3323" s="18" t="s">
        <v>4327</v>
      </c>
    </row>
    <row r="3324" spans="3:10" x14ac:dyDescent="0.25">
      <c r="C3324" s="17" t="str">
        <f t="shared" si="52"/>
        <v>28.801011.-9871.10088..CLEAR SCHEDULE.</v>
      </c>
      <c r="E3324">
        <v>28</v>
      </c>
      <c r="F3324">
        <v>801011</v>
      </c>
      <c r="G3324" s="1">
        <v>-98.71</v>
      </c>
      <c r="H3324" t="s">
        <v>3722</v>
      </c>
      <c r="J3324" s="18" t="s">
        <v>4327</v>
      </c>
    </row>
    <row r="3325" spans="3:10" x14ac:dyDescent="0.25">
      <c r="C3325" s="17" t="str">
        <f t="shared" si="52"/>
        <v>28.801011.-79376.10090..CLEAR SCHEDULE.</v>
      </c>
      <c r="E3325">
        <v>28</v>
      </c>
      <c r="F3325">
        <v>801011</v>
      </c>
      <c r="G3325" s="2">
        <v>-793.76</v>
      </c>
      <c r="H3325" t="s">
        <v>3723</v>
      </c>
      <c r="J3325" s="18" t="s">
        <v>4327</v>
      </c>
    </row>
    <row r="3326" spans="3:10" x14ac:dyDescent="0.25">
      <c r="C3326" s="17" t="str">
        <f t="shared" si="52"/>
        <v>28.801011.-9751.10091..CLEAR SCHEDULE.</v>
      </c>
      <c r="E3326">
        <v>28</v>
      </c>
      <c r="F3326">
        <v>801011</v>
      </c>
      <c r="G3326" s="1">
        <v>-97.51</v>
      </c>
      <c r="H3326" t="s">
        <v>3724</v>
      </c>
      <c r="J3326" s="18" t="s">
        <v>4327</v>
      </c>
    </row>
    <row r="3327" spans="3:10" x14ac:dyDescent="0.25">
      <c r="C3327" s="17" t="str">
        <f t="shared" si="52"/>
        <v>28.801011.-19742.10092..CLEAR SCHEDULE.</v>
      </c>
      <c r="E3327">
        <v>28</v>
      </c>
      <c r="F3327">
        <v>801011</v>
      </c>
      <c r="G3327" s="2">
        <v>-197.42</v>
      </c>
      <c r="H3327" t="s">
        <v>3725</v>
      </c>
      <c r="J3327" s="18" t="s">
        <v>4327</v>
      </c>
    </row>
    <row r="3328" spans="3:10" x14ac:dyDescent="0.25">
      <c r="C3328" s="17" t="str">
        <f t="shared" si="52"/>
        <v>28.801011.-58657.10093..CLEAR SCHEDULE.</v>
      </c>
      <c r="E3328">
        <v>28</v>
      </c>
      <c r="F3328">
        <v>801011</v>
      </c>
      <c r="G3328" s="1">
        <v>-586.57000000000005</v>
      </c>
      <c r="H3328" t="s">
        <v>3726</v>
      </c>
      <c r="J3328" s="18" t="s">
        <v>4327</v>
      </c>
    </row>
    <row r="3329" spans="3:10" x14ac:dyDescent="0.25">
      <c r="C3329" s="17" t="str">
        <f t="shared" si="52"/>
        <v>28.801011.-31645.10094..CLEAR SCHEDULE.</v>
      </c>
      <c r="E3329">
        <v>28</v>
      </c>
      <c r="F3329">
        <v>801011</v>
      </c>
      <c r="G3329" s="2">
        <v>-316.45</v>
      </c>
      <c r="H3329" t="s">
        <v>3727</v>
      </c>
      <c r="J3329" s="18" t="s">
        <v>4327</v>
      </c>
    </row>
    <row r="3330" spans="3:10" x14ac:dyDescent="0.25">
      <c r="C3330" s="17" t="str">
        <f t="shared" si="52"/>
        <v>28.801011.-17598.10097..CLEAR SCHEDULE.</v>
      </c>
      <c r="E3330">
        <v>28</v>
      </c>
      <c r="F3330">
        <v>801011</v>
      </c>
      <c r="G3330" s="1">
        <v>-175.98</v>
      </c>
      <c r="H3330" t="s">
        <v>3728</v>
      </c>
      <c r="J3330" s="18" t="s">
        <v>4327</v>
      </c>
    </row>
    <row r="3331" spans="3:10" x14ac:dyDescent="0.25">
      <c r="C3331" s="17" t="str">
        <f t="shared" si="52"/>
        <v>28.801011.-19742.10098..CLEAR SCHEDULE.</v>
      </c>
      <c r="E3331">
        <v>28</v>
      </c>
      <c r="F3331">
        <v>801011</v>
      </c>
      <c r="G3331" s="2">
        <v>-197.42</v>
      </c>
      <c r="H3331" t="s">
        <v>3729</v>
      </c>
      <c r="J3331" s="18" t="s">
        <v>4327</v>
      </c>
    </row>
    <row r="3332" spans="3:10" x14ac:dyDescent="0.25">
      <c r="C3332" s="17" t="str">
        <f t="shared" si="52"/>
        <v>28.801011.-71213.10099..CLEAR SCHEDULE.</v>
      </c>
      <c r="E3332">
        <v>28</v>
      </c>
      <c r="F3332">
        <v>801011</v>
      </c>
      <c r="G3332" s="1">
        <v>-712.13</v>
      </c>
      <c r="H3332" t="s">
        <v>3730</v>
      </c>
      <c r="J3332" s="18" t="s">
        <v>4327</v>
      </c>
    </row>
    <row r="3333" spans="3:10" x14ac:dyDescent="0.25">
      <c r="C3333" s="17" t="str">
        <f t="shared" si="52"/>
        <v>28.801011.-5415.10101..CLEAR SCHEDULE.</v>
      </c>
      <c r="E3333">
        <v>28</v>
      </c>
      <c r="F3333">
        <v>801011</v>
      </c>
      <c r="G3333" s="2">
        <v>-54.15</v>
      </c>
      <c r="H3333" t="s">
        <v>3731</v>
      </c>
      <c r="J3333" s="18" t="s">
        <v>4327</v>
      </c>
    </row>
    <row r="3334" spans="3:10" x14ac:dyDescent="0.25">
      <c r="C3334" s="17" t="str">
        <f t="shared" si="52"/>
        <v>28.801011.-14387.10103..CLEAR SCHEDULE.</v>
      </c>
      <c r="E3334">
        <v>28</v>
      </c>
      <c r="F3334">
        <v>801011</v>
      </c>
      <c r="G3334" s="1">
        <v>-143.87</v>
      </c>
      <c r="H3334" t="s">
        <v>3732</v>
      </c>
      <c r="J3334" s="18" t="s">
        <v>4327</v>
      </c>
    </row>
    <row r="3335" spans="3:10" x14ac:dyDescent="0.25">
      <c r="C3335" s="17" t="str">
        <f t="shared" si="52"/>
        <v>28.801011.-32670.10105..CLEAR SCHEDULE.</v>
      </c>
      <c r="E3335">
        <v>28</v>
      </c>
      <c r="F3335">
        <v>801011</v>
      </c>
      <c r="G3335" s="2">
        <v>-326.7</v>
      </c>
      <c r="H3335" t="s">
        <v>3733</v>
      </c>
      <c r="J3335" s="18" t="s">
        <v>4327</v>
      </c>
    </row>
    <row r="3336" spans="3:10" x14ac:dyDescent="0.25">
      <c r="C3336" s="17" t="str">
        <f t="shared" si="52"/>
        <v>28.801011.-9751.10106..CLEAR SCHEDULE.</v>
      </c>
      <c r="E3336">
        <v>28</v>
      </c>
      <c r="F3336">
        <v>801011</v>
      </c>
      <c r="G3336" s="1">
        <v>-97.51</v>
      </c>
      <c r="H3336" t="s">
        <v>3734</v>
      </c>
      <c r="J3336" s="18" t="s">
        <v>4327</v>
      </c>
    </row>
    <row r="3337" spans="3:10" x14ac:dyDescent="0.25">
      <c r="C3337" s="17" t="str">
        <f t="shared" si="52"/>
        <v>28.801011.-9490.10108..CLEAR SCHEDULE.</v>
      </c>
      <c r="E3337">
        <v>28</v>
      </c>
      <c r="F3337">
        <v>801011</v>
      </c>
      <c r="G3337" s="2">
        <v>-94.9</v>
      </c>
      <c r="H3337" t="s">
        <v>3735</v>
      </c>
      <c r="J3337" s="18" t="s">
        <v>4327</v>
      </c>
    </row>
    <row r="3338" spans="3:10" x14ac:dyDescent="0.25">
      <c r="C3338" s="17" t="str">
        <f t="shared" si="52"/>
        <v>28.801011.-31048.10109..CLEAR SCHEDULE.</v>
      </c>
      <c r="E3338">
        <v>28</v>
      </c>
      <c r="F3338">
        <v>801011</v>
      </c>
      <c r="G3338" s="1">
        <v>-310.48</v>
      </c>
      <c r="H3338" t="s">
        <v>3736</v>
      </c>
      <c r="J3338" s="18" t="s">
        <v>4327</v>
      </c>
    </row>
    <row r="3339" spans="3:10" x14ac:dyDescent="0.25">
      <c r="C3339" s="17" t="str">
        <f t="shared" ref="C3339:C3402" si="53">IF(G3339=0,"",(E3339&amp;"."&amp;F3339&amp;"."&amp;G3339*100&amp;"."&amp;H3339&amp;"."&amp;I3339&amp;"."&amp;J3339&amp;"."&amp;K3339))</f>
        <v>28.801011.-50179.10110..CLEAR SCHEDULE.</v>
      </c>
      <c r="E3339">
        <v>28</v>
      </c>
      <c r="F3339">
        <v>801011</v>
      </c>
      <c r="G3339" s="2">
        <v>-501.79</v>
      </c>
      <c r="H3339" t="s">
        <v>3737</v>
      </c>
      <c r="J3339" s="18" t="s">
        <v>4327</v>
      </c>
    </row>
    <row r="3340" spans="3:10" x14ac:dyDescent="0.25">
      <c r="C3340" s="17" t="str">
        <f t="shared" si="53"/>
        <v>28.801011.-14387.10111..CLEAR SCHEDULE.</v>
      </c>
      <c r="E3340">
        <v>28</v>
      </c>
      <c r="F3340">
        <v>801011</v>
      </c>
      <c r="G3340" s="1">
        <v>-143.87</v>
      </c>
      <c r="H3340" t="s">
        <v>3738</v>
      </c>
      <c r="J3340" s="18" t="s">
        <v>4327</v>
      </c>
    </row>
    <row r="3341" spans="3:10" x14ac:dyDescent="0.25">
      <c r="C3341" s="17" t="str">
        <f t="shared" si="53"/>
        <v>28.801011.-19742.10112..CLEAR SCHEDULE.</v>
      </c>
      <c r="E3341">
        <v>28</v>
      </c>
      <c r="F3341">
        <v>801011</v>
      </c>
      <c r="G3341" s="2">
        <v>-197.42</v>
      </c>
      <c r="H3341" t="s">
        <v>3739</v>
      </c>
      <c r="J3341" s="18" t="s">
        <v>4327</v>
      </c>
    </row>
    <row r="3342" spans="3:10" x14ac:dyDescent="0.25">
      <c r="C3342" s="17" t="str">
        <f t="shared" si="53"/>
        <v>28.801011.-52847.10114..CLEAR SCHEDULE.</v>
      </c>
      <c r="E3342">
        <v>28</v>
      </c>
      <c r="F3342">
        <v>801011</v>
      </c>
      <c r="G3342" s="1">
        <v>-528.47</v>
      </c>
      <c r="H3342" t="s">
        <v>3740</v>
      </c>
      <c r="J3342" s="18" t="s">
        <v>4327</v>
      </c>
    </row>
    <row r="3343" spans="3:10" x14ac:dyDescent="0.25">
      <c r="C3343" s="17" t="str">
        <f t="shared" si="53"/>
        <v>28.801011.-62420.10115..CLEAR SCHEDULE.</v>
      </c>
      <c r="E3343">
        <v>28</v>
      </c>
      <c r="F3343">
        <v>801011</v>
      </c>
      <c r="G3343" s="2">
        <v>-624.20000000000005</v>
      </c>
      <c r="H3343" t="s">
        <v>3741</v>
      </c>
      <c r="J3343" s="18" t="s">
        <v>4327</v>
      </c>
    </row>
    <row r="3344" spans="3:10" x14ac:dyDescent="0.25">
      <c r="C3344" s="17" t="str">
        <f t="shared" si="53"/>
        <v>28.801011.-317258.10119..CLEAR SCHEDULE.</v>
      </c>
      <c r="E3344">
        <v>28</v>
      </c>
      <c r="F3344">
        <v>801011</v>
      </c>
      <c r="G3344" s="1">
        <v>-3172.58</v>
      </c>
      <c r="H3344" t="s">
        <v>3742</v>
      </c>
      <c r="J3344" s="18" t="s">
        <v>4327</v>
      </c>
    </row>
    <row r="3345" spans="3:10" x14ac:dyDescent="0.25">
      <c r="C3345" s="17" t="str">
        <f t="shared" si="53"/>
        <v>28.801011.-64839.10120..CLEAR SCHEDULE.</v>
      </c>
      <c r="E3345">
        <v>28</v>
      </c>
      <c r="F3345">
        <v>801011</v>
      </c>
      <c r="G3345" s="2">
        <v>-648.39</v>
      </c>
      <c r="H3345" t="s">
        <v>3743</v>
      </c>
      <c r="J3345" s="18" t="s">
        <v>4327</v>
      </c>
    </row>
    <row r="3346" spans="3:10" x14ac:dyDescent="0.25">
      <c r="C3346" s="17" t="str">
        <f t="shared" si="53"/>
        <v>28.801011.-9263.10123..CLEAR SCHEDULE.</v>
      </c>
      <c r="E3346">
        <v>28</v>
      </c>
      <c r="F3346">
        <v>801011</v>
      </c>
      <c r="G3346" s="1">
        <v>-92.63</v>
      </c>
      <c r="H3346" t="s">
        <v>3744</v>
      </c>
      <c r="J3346" s="18" t="s">
        <v>4327</v>
      </c>
    </row>
    <row r="3347" spans="3:10" x14ac:dyDescent="0.25">
      <c r="C3347" s="17" t="str">
        <f t="shared" si="53"/>
        <v>28.801011.-15945.10124..CLEAR SCHEDULE.</v>
      </c>
      <c r="E3347">
        <v>28</v>
      </c>
      <c r="F3347">
        <v>801011</v>
      </c>
      <c r="G3347" s="2">
        <v>-159.44999999999999</v>
      </c>
      <c r="H3347" t="s">
        <v>3745</v>
      </c>
      <c r="J3347" s="18" t="s">
        <v>4327</v>
      </c>
    </row>
    <row r="3348" spans="3:10" x14ac:dyDescent="0.25">
      <c r="C3348" s="17" t="str">
        <f t="shared" si="53"/>
        <v>28.801011.-40410.10125..CLEAR SCHEDULE.</v>
      </c>
      <c r="E3348">
        <v>28</v>
      </c>
      <c r="F3348">
        <v>801011</v>
      </c>
      <c r="G3348" s="1">
        <v>-404.1</v>
      </c>
      <c r="H3348" t="s">
        <v>3746</v>
      </c>
      <c r="J3348" s="18" t="s">
        <v>4327</v>
      </c>
    </row>
    <row r="3349" spans="3:10" x14ac:dyDescent="0.25">
      <c r="C3349" s="17" t="str">
        <f t="shared" si="53"/>
        <v>28.801011.-8972.10126..CLEAR SCHEDULE.</v>
      </c>
      <c r="E3349">
        <v>28</v>
      </c>
      <c r="F3349">
        <v>801011</v>
      </c>
      <c r="G3349" s="2">
        <v>-89.72</v>
      </c>
      <c r="H3349" t="s">
        <v>3747</v>
      </c>
      <c r="J3349" s="18" t="s">
        <v>4327</v>
      </c>
    </row>
    <row r="3350" spans="3:10" x14ac:dyDescent="0.25">
      <c r="C3350" s="17" t="str">
        <f t="shared" si="53"/>
        <v>28.801011.-79075.10127..CLEAR SCHEDULE.</v>
      </c>
      <c r="E3350">
        <v>28</v>
      </c>
      <c r="F3350">
        <v>801011</v>
      </c>
      <c r="G3350" s="1">
        <v>-790.75</v>
      </c>
      <c r="H3350" t="s">
        <v>3748</v>
      </c>
      <c r="J3350" s="18" t="s">
        <v>4327</v>
      </c>
    </row>
    <row r="3351" spans="3:10" x14ac:dyDescent="0.25">
      <c r="C3351" s="17" t="str">
        <f t="shared" si="53"/>
        <v>28.801011.-9751.10130..CLEAR SCHEDULE.</v>
      </c>
      <c r="E3351">
        <v>28</v>
      </c>
      <c r="F3351">
        <v>801011</v>
      </c>
      <c r="G3351" s="2">
        <v>-97.51</v>
      </c>
      <c r="H3351" t="s">
        <v>3749</v>
      </c>
      <c r="J3351" s="18" t="s">
        <v>4327</v>
      </c>
    </row>
    <row r="3352" spans="3:10" x14ac:dyDescent="0.25">
      <c r="C3352" s="17" t="str">
        <f t="shared" si="53"/>
        <v>28.801011.-5415.10132..CLEAR SCHEDULE.</v>
      </c>
      <c r="E3352">
        <v>28</v>
      </c>
      <c r="F3352">
        <v>801011</v>
      </c>
      <c r="G3352" s="1">
        <v>-54.15</v>
      </c>
      <c r="H3352" t="s">
        <v>3750</v>
      </c>
      <c r="J3352" s="18" t="s">
        <v>4327</v>
      </c>
    </row>
    <row r="3353" spans="3:10" x14ac:dyDescent="0.25">
      <c r="C3353" s="17" t="str">
        <f t="shared" si="53"/>
        <v>28.801011.-10004.10133..CLEAR SCHEDULE.</v>
      </c>
      <c r="E3353">
        <v>28</v>
      </c>
      <c r="F3353">
        <v>801011</v>
      </c>
      <c r="G3353" s="2">
        <v>-100.04</v>
      </c>
      <c r="H3353" t="s">
        <v>3751</v>
      </c>
      <c r="J3353" s="18" t="s">
        <v>4327</v>
      </c>
    </row>
    <row r="3354" spans="3:10" x14ac:dyDescent="0.25">
      <c r="C3354" s="17" t="str">
        <f t="shared" si="53"/>
        <v>28.801011.-10530.10134..CLEAR SCHEDULE.</v>
      </c>
      <c r="E3354">
        <v>28</v>
      </c>
      <c r="F3354">
        <v>801011</v>
      </c>
      <c r="G3354" s="1">
        <v>-105.3</v>
      </c>
      <c r="H3354" t="s">
        <v>3752</v>
      </c>
      <c r="J3354" s="18" t="s">
        <v>4327</v>
      </c>
    </row>
    <row r="3355" spans="3:10" x14ac:dyDescent="0.25">
      <c r="C3355" s="17" t="str">
        <f t="shared" si="53"/>
        <v>28.801011.-5415.10136..CLEAR SCHEDULE.</v>
      </c>
      <c r="E3355">
        <v>28</v>
      </c>
      <c r="F3355">
        <v>801011</v>
      </c>
      <c r="G3355" s="2">
        <v>-54.15</v>
      </c>
      <c r="H3355" t="s">
        <v>3753</v>
      </c>
      <c r="J3355" s="18" t="s">
        <v>4327</v>
      </c>
    </row>
    <row r="3356" spans="3:10" x14ac:dyDescent="0.25">
      <c r="C3356" s="17" t="str">
        <f t="shared" si="53"/>
        <v>28.801011.-214398.10140..CLEAR SCHEDULE.</v>
      </c>
      <c r="E3356">
        <v>28</v>
      </c>
      <c r="F3356">
        <v>801011</v>
      </c>
      <c r="G3356" s="1">
        <v>-2143.98</v>
      </c>
      <c r="H3356" t="s">
        <v>3754</v>
      </c>
      <c r="J3356" s="18" t="s">
        <v>4327</v>
      </c>
    </row>
    <row r="3357" spans="3:10" x14ac:dyDescent="0.25">
      <c r="C3357" s="17" t="str">
        <f t="shared" si="53"/>
        <v>28.801011.-8972.10145..CLEAR SCHEDULE.</v>
      </c>
      <c r="E3357">
        <v>28</v>
      </c>
      <c r="F3357">
        <v>801011</v>
      </c>
      <c r="G3357" s="2">
        <v>-89.72</v>
      </c>
      <c r="H3357" t="s">
        <v>3755</v>
      </c>
      <c r="J3357" s="18" t="s">
        <v>4327</v>
      </c>
    </row>
    <row r="3358" spans="3:10" x14ac:dyDescent="0.25">
      <c r="C3358" s="17" t="str">
        <f t="shared" si="53"/>
        <v>28.801011.-24366.10147..CLEAR SCHEDULE.</v>
      </c>
      <c r="E3358">
        <v>28</v>
      </c>
      <c r="F3358">
        <v>801011</v>
      </c>
      <c r="G3358" s="1">
        <v>-243.66</v>
      </c>
      <c r="H3358" t="s">
        <v>3756</v>
      </c>
      <c r="J3358" s="18" t="s">
        <v>4327</v>
      </c>
    </row>
    <row r="3359" spans="3:10" x14ac:dyDescent="0.25">
      <c r="C3359" s="17" t="str">
        <f t="shared" si="53"/>
        <v>28.801011.-51748.10149..CLEAR SCHEDULE.</v>
      </c>
      <c r="E3359">
        <v>28</v>
      </c>
      <c r="F3359">
        <v>801011</v>
      </c>
      <c r="G3359" s="2">
        <v>-517.48</v>
      </c>
      <c r="H3359" t="s">
        <v>3757</v>
      </c>
      <c r="J3359" s="18" t="s">
        <v>4327</v>
      </c>
    </row>
    <row r="3360" spans="3:10" x14ac:dyDescent="0.25">
      <c r="C3360" s="17" t="str">
        <f t="shared" si="53"/>
        <v>28.801011.-15945.10150..CLEAR SCHEDULE.</v>
      </c>
      <c r="E3360">
        <v>28</v>
      </c>
      <c r="F3360">
        <v>801011</v>
      </c>
      <c r="G3360" s="1">
        <v>-159.44999999999999</v>
      </c>
      <c r="H3360" t="s">
        <v>3758</v>
      </c>
      <c r="J3360" s="18" t="s">
        <v>4327</v>
      </c>
    </row>
    <row r="3361" spans="3:10" x14ac:dyDescent="0.25">
      <c r="C3361" s="17" t="str">
        <f t="shared" si="53"/>
        <v>28.801011.-114064.10151..CLEAR SCHEDULE.</v>
      </c>
      <c r="E3361">
        <v>28</v>
      </c>
      <c r="F3361">
        <v>801011</v>
      </c>
      <c r="G3361" s="2">
        <v>-1140.6400000000001</v>
      </c>
      <c r="H3361" t="s">
        <v>3759</v>
      </c>
      <c r="J3361" s="18" t="s">
        <v>4327</v>
      </c>
    </row>
    <row r="3362" spans="3:10" x14ac:dyDescent="0.25">
      <c r="C3362" s="17" t="str">
        <f t="shared" si="53"/>
        <v>28.801011.-15945.10152..CLEAR SCHEDULE.</v>
      </c>
      <c r="E3362">
        <v>28</v>
      </c>
      <c r="F3362">
        <v>801011</v>
      </c>
      <c r="G3362" s="1">
        <v>-159.44999999999999</v>
      </c>
      <c r="H3362" t="s">
        <v>3760</v>
      </c>
      <c r="J3362" s="18" t="s">
        <v>4327</v>
      </c>
    </row>
    <row r="3363" spans="3:10" x14ac:dyDescent="0.25">
      <c r="C3363" s="17" t="str">
        <f t="shared" si="53"/>
        <v>28.801011.-45244.10155..CLEAR SCHEDULE.</v>
      </c>
      <c r="E3363">
        <v>28</v>
      </c>
      <c r="F3363">
        <v>801011</v>
      </c>
      <c r="G3363" s="2">
        <v>-452.44</v>
      </c>
      <c r="H3363" t="s">
        <v>3761</v>
      </c>
      <c r="J3363" s="18" t="s">
        <v>4327</v>
      </c>
    </row>
    <row r="3364" spans="3:10" x14ac:dyDescent="0.25">
      <c r="C3364" s="17" t="str">
        <f t="shared" si="53"/>
        <v>28.801011.-6444.10168..CLEAR SCHEDULE.</v>
      </c>
      <c r="E3364">
        <v>28</v>
      </c>
      <c r="F3364">
        <v>801011</v>
      </c>
      <c r="G3364" s="1">
        <v>-64.44</v>
      </c>
      <c r="H3364" t="s">
        <v>3762</v>
      </c>
      <c r="J3364" s="18" t="s">
        <v>4327</v>
      </c>
    </row>
    <row r="3365" spans="3:10" x14ac:dyDescent="0.25">
      <c r="C3365" s="17" t="str">
        <f t="shared" si="53"/>
        <v>28.801011.-34577.10169..CLEAR SCHEDULE.</v>
      </c>
      <c r="E3365">
        <v>28</v>
      </c>
      <c r="F3365">
        <v>801011</v>
      </c>
      <c r="G3365" s="2">
        <v>-345.77</v>
      </c>
      <c r="H3365" t="s">
        <v>3763</v>
      </c>
      <c r="J3365" s="18" t="s">
        <v>4327</v>
      </c>
    </row>
    <row r="3366" spans="3:10" x14ac:dyDescent="0.25">
      <c r="C3366" s="17" t="str">
        <f t="shared" si="53"/>
        <v>28.801011.-24755.10170..CLEAR SCHEDULE.</v>
      </c>
      <c r="E3366">
        <v>28</v>
      </c>
      <c r="F3366">
        <v>801011</v>
      </c>
      <c r="G3366" s="1">
        <v>-247.55</v>
      </c>
      <c r="H3366" t="s">
        <v>3764</v>
      </c>
      <c r="J3366" s="18" t="s">
        <v>4327</v>
      </c>
    </row>
    <row r="3367" spans="3:10" x14ac:dyDescent="0.25">
      <c r="C3367" s="17" t="str">
        <f t="shared" si="53"/>
        <v>28.801011.-37345.10171..CLEAR SCHEDULE.</v>
      </c>
      <c r="E3367">
        <v>28</v>
      </c>
      <c r="F3367">
        <v>801011</v>
      </c>
      <c r="G3367" s="2">
        <v>-373.45</v>
      </c>
      <c r="H3367" t="s">
        <v>3765</v>
      </c>
      <c r="J3367" s="18" t="s">
        <v>4327</v>
      </c>
    </row>
    <row r="3368" spans="3:10" x14ac:dyDescent="0.25">
      <c r="C3368" s="17" t="str">
        <f t="shared" si="53"/>
        <v>28.801011.-129078.10173..CLEAR SCHEDULE.</v>
      </c>
      <c r="E3368">
        <v>28</v>
      </c>
      <c r="F3368">
        <v>801011</v>
      </c>
      <c r="G3368" s="1">
        <v>-1290.78</v>
      </c>
      <c r="H3368" t="s">
        <v>3766</v>
      </c>
      <c r="J3368" s="18" t="s">
        <v>4327</v>
      </c>
    </row>
    <row r="3369" spans="3:10" x14ac:dyDescent="0.25">
      <c r="C3369" s="17" t="str">
        <f t="shared" si="53"/>
        <v>28.801011.-116337.10175..CLEAR SCHEDULE.</v>
      </c>
      <c r="E3369">
        <v>28</v>
      </c>
      <c r="F3369">
        <v>801011</v>
      </c>
      <c r="G3369" s="2">
        <v>-1163.3699999999999</v>
      </c>
      <c r="H3369" t="s">
        <v>3767</v>
      </c>
      <c r="J3369" s="18" t="s">
        <v>4327</v>
      </c>
    </row>
    <row r="3370" spans="3:10" x14ac:dyDescent="0.25">
      <c r="C3370" s="17" t="str">
        <f t="shared" si="53"/>
        <v>28.801011.-37281.10177..CLEAR SCHEDULE.</v>
      </c>
      <c r="E3370">
        <v>28</v>
      </c>
      <c r="F3370">
        <v>801011</v>
      </c>
      <c r="G3370" s="1">
        <v>-372.81</v>
      </c>
      <c r="H3370" t="s">
        <v>3768</v>
      </c>
      <c r="J3370" s="18" t="s">
        <v>4327</v>
      </c>
    </row>
    <row r="3371" spans="3:10" x14ac:dyDescent="0.25">
      <c r="C3371" s="17" t="str">
        <f t="shared" si="53"/>
        <v>28.801011.-61949.10179..CLEAR SCHEDULE.</v>
      </c>
      <c r="E3371">
        <v>28</v>
      </c>
      <c r="F3371">
        <v>801011</v>
      </c>
      <c r="G3371" s="2">
        <v>-619.49</v>
      </c>
      <c r="H3371" t="s">
        <v>3769</v>
      </c>
      <c r="J3371" s="18" t="s">
        <v>4327</v>
      </c>
    </row>
    <row r="3372" spans="3:10" x14ac:dyDescent="0.25">
      <c r="C3372" s="17" t="str">
        <f t="shared" si="53"/>
        <v>28.801011.-53533.10180..CLEAR SCHEDULE.</v>
      </c>
      <c r="E3372">
        <v>28</v>
      </c>
      <c r="F3372">
        <v>801011</v>
      </c>
      <c r="G3372" s="1">
        <v>-535.33000000000004</v>
      </c>
      <c r="H3372" t="s">
        <v>3770</v>
      </c>
      <c r="J3372" s="18" t="s">
        <v>4327</v>
      </c>
    </row>
    <row r="3373" spans="3:10" x14ac:dyDescent="0.25">
      <c r="C3373" s="17" t="str">
        <f t="shared" si="53"/>
        <v>28.801011.-38532.10182..CLEAR SCHEDULE.</v>
      </c>
      <c r="E3373">
        <v>28</v>
      </c>
      <c r="F3373">
        <v>801011</v>
      </c>
      <c r="G3373" s="2">
        <v>-385.32</v>
      </c>
      <c r="H3373" t="s">
        <v>3771</v>
      </c>
      <c r="J3373" s="18" t="s">
        <v>4327</v>
      </c>
    </row>
    <row r="3374" spans="3:10" x14ac:dyDescent="0.25">
      <c r="C3374" s="17" t="str">
        <f t="shared" si="53"/>
        <v>28.801011.-145513.10183..CLEAR SCHEDULE.</v>
      </c>
      <c r="E3374">
        <v>28</v>
      </c>
      <c r="F3374">
        <v>801011</v>
      </c>
      <c r="G3374" s="1">
        <v>-1455.13</v>
      </c>
      <c r="H3374" t="s">
        <v>3772</v>
      </c>
      <c r="J3374" s="18" t="s">
        <v>4327</v>
      </c>
    </row>
    <row r="3375" spans="3:10" x14ac:dyDescent="0.25">
      <c r="C3375" s="17" t="str">
        <f t="shared" si="53"/>
        <v>28.801011.-23755.10184..CLEAR SCHEDULE.</v>
      </c>
      <c r="E3375">
        <v>28</v>
      </c>
      <c r="F3375">
        <v>801011</v>
      </c>
      <c r="G3375" s="2">
        <v>-237.55</v>
      </c>
      <c r="H3375" t="s">
        <v>3773</v>
      </c>
      <c r="J3375" s="18" t="s">
        <v>4327</v>
      </c>
    </row>
    <row r="3376" spans="3:10" x14ac:dyDescent="0.25">
      <c r="C3376" s="17" t="str">
        <f t="shared" si="53"/>
        <v>28.801011.-15945.10185..CLEAR SCHEDULE.</v>
      </c>
      <c r="E3376">
        <v>28</v>
      </c>
      <c r="F3376">
        <v>801011</v>
      </c>
      <c r="G3376" s="1">
        <v>-159.44999999999999</v>
      </c>
      <c r="H3376" t="s">
        <v>3774</v>
      </c>
      <c r="J3376" s="18" t="s">
        <v>4327</v>
      </c>
    </row>
    <row r="3377" spans="3:10" x14ac:dyDescent="0.25">
      <c r="C3377" s="17" t="str">
        <f t="shared" si="53"/>
        <v>28.801011.-19742.10187..CLEAR SCHEDULE.</v>
      </c>
      <c r="E3377">
        <v>28</v>
      </c>
      <c r="F3377">
        <v>801011</v>
      </c>
      <c r="G3377" s="2">
        <v>-197.42</v>
      </c>
      <c r="H3377" t="s">
        <v>3775</v>
      </c>
      <c r="J3377" s="18" t="s">
        <v>4327</v>
      </c>
    </row>
    <row r="3378" spans="3:10" x14ac:dyDescent="0.25">
      <c r="C3378" s="17" t="str">
        <f t="shared" si="53"/>
        <v>28.801011.-104505.10188..CLEAR SCHEDULE.</v>
      </c>
      <c r="E3378">
        <v>28</v>
      </c>
      <c r="F3378">
        <v>801011</v>
      </c>
      <c r="G3378" s="1">
        <v>-1045.05</v>
      </c>
      <c r="H3378" t="s">
        <v>3776</v>
      </c>
      <c r="J3378" s="18" t="s">
        <v>4327</v>
      </c>
    </row>
    <row r="3379" spans="3:10" x14ac:dyDescent="0.25">
      <c r="C3379" s="17" t="str">
        <f t="shared" si="53"/>
        <v>28.801011.-56534.10189..CLEAR SCHEDULE.</v>
      </c>
      <c r="E3379">
        <v>28</v>
      </c>
      <c r="F3379">
        <v>801011</v>
      </c>
      <c r="G3379" s="2">
        <v>-565.34</v>
      </c>
      <c r="H3379" t="s">
        <v>3777</v>
      </c>
      <c r="J3379" s="18" t="s">
        <v>4327</v>
      </c>
    </row>
    <row r="3380" spans="3:10" x14ac:dyDescent="0.25">
      <c r="C3380" s="17" t="str">
        <f t="shared" si="53"/>
        <v>28.801011.-46784.10190..CLEAR SCHEDULE.</v>
      </c>
      <c r="E3380">
        <v>28</v>
      </c>
      <c r="F3380">
        <v>801011</v>
      </c>
      <c r="G3380" s="1">
        <v>-467.84</v>
      </c>
      <c r="H3380" t="s">
        <v>3778</v>
      </c>
      <c r="J3380" s="18" t="s">
        <v>4327</v>
      </c>
    </row>
    <row r="3381" spans="3:10" x14ac:dyDescent="0.25">
      <c r="C3381" s="17" t="str">
        <f t="shared" si="53"/>
        <v>28.801011.-14387.10192..CLEAR SCHEDULE.</v>
      </c>
      <c r="E3381">
        <v>28</v>
      </c>
      <c r="F3381">
        <v>801011</v>
      </c>
      <c r="G3381" s="2">
        <v>-143.87</v>
      </c>
      <c r="H3381" t="s">
        <v>3779</v>
      </c>
      <c r="J3381" s="18" t="s">
        <v>4327</v>
      </c>
    </row>
    <row r="3382" spans="3:10" x14ac:dyDescent="0.25">
      <c r="C3382" s="17" t="str">
        <f t="shared" si="53"/>
        <v>28.801011.-35881.10193..CLEAR SCHEDULE.</v>
      </c>
      <c r="E3382">
        <v>28</v>
      </c>
      <c r="F3382">
        <v>801011</v>
      </c>
      <c r="G3382" s="1">
        <v>-358.81</v>
      </c>
      <c r="H3382" t="s">
        <v>3780</v>
      </c>
      <c r="J3382" s="18" t="s">
        <v>4327</v>
      </c>
    </row>
    <row r="3383" spans="3:10" x14ac:dyDescent="0.25">
      <c r="C3383" s="17" t="str">
        <f t="shared" si="53"/>
        <v>28.801011.-158919.10197..CLEAR SCHEDULE.</v>
      </c>
      <c r="E3383">
        <v>28</v>
      </c>
      <c r="F3383">
        <v>801011</v>
      </c>
      <c r="G3383" s="2">
        <v>-1589.19</v>
      </c>
      <c r="H3383" t="s">
        <v>3781</v>
      </c>
      <c r="J3383" s="18" t="s">
        <v>4327</v>
      </c>
    </row>
    <row r="3384" spans="3:10" x14ac:dyDescent="0.25">
      <c r="C3384" s="17" t="str">
        <f t="shared" si="53"/>
        <v>28.801011.-15166.10198..CLEAR SCHEDULE.</v>
      </c>
      <c r="E3384">
        <v>28</v>
      </c>
      <c r="F3384">
        <v>801011</v>
      </c>
      <c r="G3384" s="1">
        <v>-151.66</v>
      </c>
      <c r="H3384" t="s">
        <v>3782</v>
      </c>
      <c r="J3384" s="18" t="s">
        <v>4327</v>
      </c>
    </row>
    <row r="3385" spans="3:10" x14ac:dyDescent="0.25">
      <c r="C3385" s="17" t="str">
        <f t="shared" si="53"/>
        <v>28.801011.-5415.10201..CLEAR SCHEDULE.</v>
      </c>
      <c r="E3385">
        <v>28</v>
      </c>
      <c r="F3385">
        <v>801011</v>
      </c>
      <c r="G3385" s="2">
        <v>-54.15</v>
      </c>
      <c r="H3385" t="s">
        <v>3783</v>
      </c>
      <c r="J3385" s="18" t="s">
        <v>4327</v>
      </c>
    </row>
    <row r="3386" spans="3:10" x14ac:dyDescent="0.25">
      <c r="C3386" s="17" t="str">
        <f t="shared" si="53"/>
        <v>28.801011.-49554.10203..CLEAR SCHEDULE.</v>
      </c>
      <c r="E3386">
        <v>28</v>
      </c>
      <c r="F3386">
        <v>801011</v>
      </c>
      <c r="G3386" s="1">
        <v>-495.54</v>
      </c>
      <c r="H3386" t="s">
        <v>3784</v>
      </c>
      <c r="J3386" s="18" t="s">
        <v>4327</v>
      </c>
    </row>
    <row r="3387" spans="3:10" x14ac:dyDescent="0.25">
      <c r="C3387" s="17" t="str">
        <f t="shared" si="53"/>
        <v>28.801011.-150317.10205..CLEAR SCHEDULE.</v>
      </c>
      <c r="E3387">
        <v>28</v>
      </c>
      <c r="F3387">
        <v>801011</v>
      </c>
      <c r="G3387" s="2">
        <v>-1503.17</v>
      </c>
      <c r="H3387" t="s">
        <v>3785</v>
      </c>
      <c r="J3387" s="18" t="s">
        <v>4327</v>
      </c>
    </row>
    <row r="3388" spans="3:10" x14ac:dyDescent="0.25">
      <c r="C3388" s="17" t="str">
        <f t="shared" si="53"/>
        <v>28.801011.-14387.10209..CLEAR SCHEDULE.</v>
      </c>
      <c r="E3388">
        <v>28</v>
      </c>
      <c r="F3388">
        <v>801011</v>
      </c>
      <c r="G3388" s="1">
        <v>-143.87</v>
      </c>
      <c r="H3388" t="s">
        <v>3786</v>
      </c>
      <c r="J3388" s="18" t="s">
        <v>4327</v>
      </c>
    </row>
    <row r="3389" spans="3:10" x14ac:dyDescent="0.25">
      <c r="C3389" s="17" t="str">
        <f t="shared" si="53"/>
        <v>28.801011.-39809.10211..CLEAR SCHEDULE.</v>
      </c>
      <c r="E3389">
        <v>28</v>
      </c>
      <c r="F3389">
        <v>801011</v>
      </c>
      <c r="G3389" s="2">
        <v>-398.09</v>
      </c>
      <c r="H3389" t="s">
        <v>3787</v>
      </c>
      <c r="J3389" s="18" t="s">
        <v>4327</v>
      </c>
    </row>
    <row r="3390" spans="3:10" x14ac:dyDescent="0.25">
      <c r="C3390" s="17" t="str">
        <f t="shared" si="53"/>
        <v>28.801011.-65475.10213..CLEAR SCHEDULE.</v>
      </c>
      <c r="E3390">
        <v>28</v>
      </c>
      <c r="F3390">
        <v>801011</v>
      </c>
      <c r="G3390" s="1">
        <v>-654.75</v>
      </c>
      <c r="H3390" t="s">
        <v>3788</v>
      </c>
      <c r="J3390" s="18" t="s">
        <v>4327</v>
      </c>
    </row>
    <row r="3391" spans="3:10" x14ac:dyDescent="0.25">
      <c r="C3391" s="17" t="str">
        <f t="shared" si="53"/>
        <v>28.801011.-14387.10214..CLEAR SCHEDULE.</v>
      </c>
      <c r="E3391">
        <v>28</v>
      </c>
      <c r="F3391">
        <v>801011</v>
      </c>
      <c r="G3391" s="2">
        <v>-143.87</v>
      </c>
      <c r="H3391" t="s">
        <v>3789</v>
      </c>
      <c r="J3391" s="18" t="s">
        <v>4327</v>
      </c>
    </row>
    <row r="3392" spans="3:10" x14ac:dyDescent="0.25">
      <c r="C3392" s="17" t="str">
        <f t="shared" si="53"/>
        <v>28.801011.-207463.10216..CLEAR SCHEDULE.</v>
      </c>
      <c r="E3392">
        <v>28</v>
      </c>
      <c r="F3392">
        <v>801011</v>
      </c>
      <c r="G3392" s="1">
        <v>-2074.63</v>
      </c>
      <c r="H3392" t="s">
        <v>3790</v>
      </c>
      <c r="J3392" s="18" t="s">
        <v>4327</v>
      </c>
    </row>
    <row r="3393" spans="3:10" x14ac:dyDescent="0.25">
      <c r="C3393" s="17" t="str">
        <f t="shared" si="53"/>
        <v>28.801011.-9751.10217..CLEAR SCHEDULE.</v>
      </c>
      <c r="E3393">
        <v>28</v>
      </c>
      <c r="F3393">
        <v>801011</v>
      </c>
      <c r="G3393" s="2">
        <v>-97.51</v>
      </c>
      <c r="H3393" t="s">
        <v>3791</v>
      </c>
      <c r="J3393" s="18" t="s">
        <v>4327</v>
      </c>
    </row>
    <row r="3394" spans="3:10" x14ac:dyDescent="0.25">
      <c r="C3394" s="17" t="str">
        <f t="shared" si="53"/>
        <v>28.801011.-95715.10219..CLEAR SCHEDULE.</v>
      </c>
      <c r="E3394">
        <v>28</v>
      </c>
      <c r="F3394">
        <v>801011</v>
      </c>
      <c r="G3394" s="1">
        <v>-957.15</v>
      </c>
      <c r="H3394" t="s">
        <v>3792</v>
      </c>
      <c r="J3394" s="18" t="s">
        <v>4327</v>
      </c>
    </row>
    <row r="3395" spans="3:10" x14ac:dyDescent="0.25">
      <c r="C3395" s="17" t="str">
        <f t="shared" si="53"/>
        <v>28.801011.-49248.10220..CLEAR SCHEDULE.</v>
      </c>
      <c r="E3395">
        <v>28</v>
      </c>
      <c r="F3395">
        <v>801011</v>
      </c>
      <c r="G3395" s="2">
        <v>-492.48</v>
      </c>
      <c r="H3395" t="s">
        <v>3793</v>
      </c>
      <c r="J3395" s="18" t="s">
        <v>4327</v>
      </c>
    </row>
    <row r="3396" spans="3:10" x14ac:dyDescent="0.25">
      <c r="C3396" s="17" t="str">
        <f t="shared" si="53"/>
        <v>28.801011.-206289.10221..CLEAR SCHEDULE.</v>
      </c>
      <c r="E3396">
        <v>28</v>
      </c>
      <c r="F3396">
        <v>801011</v>
      </c>
      <c r="G3396" s="1">
        <v>-2062.89</v>
      </c>
      <c r="H3396" t="s">
        <v>3794</v>
      </c>
      <c r="J3396" s="18" t="s">
        <v>4327</v>
      </c>
    </row>
    <row r="3397" spans="3:10" x14ac:dyDescent="0.25">
      <c r="C3397" s="17" t="str">
        <f t="shared" si="53"/>
        <v>28.801011.-68362.10223..CLEAR SCHEDULE.</v>
      </c>
      <c r="E3397">
        <v>28</v>
      </c>
      <c r="F3397">
        <v>801011</v>
      </c>
      <c r="G3397" s="2">
        <v>-683.62</v>
      </c>
      <c r="H3397" t="s">
        <v>3795</v>
      </c>
      <c r="J3397" s="18" t="s">
        <v>4327</v>
      </c>
    </row>
    <row r="3398" spans="3:10" x14ac:dyDescent="0.25">
      <c r="C3398" s="17" t="str">
        <f t="shared" si="53"/>
        <v>28.801011.-149045.10224..CLEAR SCHEDULE.</v>
      </c>
      <c r="E3398">
        <v>28</v>
      </c>
      <c r="F3398">
        <v>801011</v>
      </c>
      <c r="G3398" s="1">
        <v>-1490.45</v>
      </c>
      <c r="H3398" t="s">
        <v>3796</v>
      </c>
      <c r="J3398" s="18" t="s">
        <v>4327</v>
      </c>
    </row>
    <row r="3399" spans="3:10" x14ac:dyDescent="0.25">
      <c r="C3399" s="17" t="str">
        <f t="shared" si="53"/>
        <v>28.801011.-15203.10225..CLEAR SCHEDULE.</v>
      </c>
      <c r="E3399">
        <v>28</v>
      </c>
      <c r="F3399">
        <v>801011</v>
      </c>
      <c r="G3399" s="2">
        <v>-152.03</v>
      </c>
      <c r="H3399" t="s">
        <v>3797</v>
      </c>
      <c r="J3399" s="18" t="s">
        <v>4327</v>
      </c>
    </row>
    <row r="3400" spans="3:10" x14ac:dyDescent="0.25">
      <c r="C3400" s="17" t="str">
        <f t="shared" si="53"/>
        <v>28.801011.-11309.10227..CLEAR SCHEDULE.</v>
      </c>
      <c r="E3400">
        <v>28</v>
      </c>
      <c r="F3400">
        <v>801011</v>
      </c>
      <c r="G3400" s="1">
        <v>-113.09</v>
      </c>
      <c r="H3400" t="s">
        <v>3798</v>
      </c>
      <c r="J3400" s="18" t="s">
        <v>4327</v>
      </c>
    </row>
    <row r="3401" spans="3:10" x14ac:dyDescent="0.25">
      <c r="C3401" s="17" t="str">
        <f t="shared" si="53"/>
        <v>28.801011.-22371.10229..CLEAR SCHEDULE.</v>
      </c>
      <c r="E3401">
        <v>28</v>
      </c>
      <c r="F3401">
        <v>801011</v>
      </c>
      <c r="G3401" s="2">
        <v>-223.71</v>
      </c>
      <c r="H3401" t="s">
        <v>3799</v>
      </c>
      <c r="J3401" s="18" t="s">
        <v>4327</v>
      </c>
    </row>
    <row r="3402" spans="3:10" x14ac:dyDescent="0.25">
      <c r="C3402" s="17" t="str">
        <f t="shared" si="53"/>
        <v>28.801011.-37804.10230..CLEAR SCHEDULE.</v>
      </c>
      <c r="E3402">
        <v>28</v>
      </c>
      <c r="F3402">
        <v>801011</v>
      </c>
      <c r="G3402" s="1">
        <v>-378.04</v>
      </c>
      <c r="H3402" t="s">
        <v>3800</v>
      </c>
      <c r="J3402" s="18" t="s">
        <v>4327</v>
      </c>
    </row>
    <row r="3403" spans="3:10" x14ac:dyDescent="0.25">
      <c r="C3403" s="17" t="str">
        <f t="shared" ref="C3403:C3466" si="54">IF(G3403=0,"",(E3403&amp;"."&amp;F3403&amp;"."&amp;G3403*100&amp;"."&amp;H3403&amp;"."&amp;I3403&amp;"."&amp;J3403&amp;"."&amp;K3403))</f>
        <v>28.801011.-32290.10234..CLEAR SCHEDULE.</v>
      </c>
      <c r="E3403">
        <v>28</v>
      </c>
      <c r="F3403">
        <v>801011</v>
      </c>
      <c r="G3403" s="2">
        <v>-322.89999999999998</v>
      </c>
      <c r="H3403" t="s">
        <v>3801</v>
      </c>
      <c r="J3403" s="18" t="s">
        <v>4327</v>
      </c>
    </row>
    <row r="3404" spans="3:10" x14ac:dyDescent="0.25">
      <c r="C3404" s="17" t="str">
        <f t="shared" si="54"/>
        <v>28.801011.-72149.10235..CLEAR SCHEDULE.</v>
      </c>
      <c r="E3404">
        <v>28</v>
      </c>
      <c r="F3404">
        <v>801011</v>
      </c>
      <c r="G3404" s="1">
        <v>-721.49</v>
      </c>
      <c r="H3404" t="s">
        <v>3802</v>
      </c>
      <c r="J3404" s="18" t="s">
        <v>4327</v>
      </c>
    </row>
    <row r="3405" spans="3:10" x14ac:dyDescent="0.25">
      <c r="C3405" s="17" t="str">
        <f t="shared" si="54"/>
        <v>28.801011.-14387.10238..CLEAR SCHEDULE.</v>
      </c>
      <c r="E3405">
        <v>28</v>
      </c>
      <c r="F3405">
        <v>801011</v>
      </c>
      <c r="G3405" s="2">
        <v>-143.87</v>
      </c>
      <c r="H3405" t="s">
        <v>3803</v>
      </c>
      <c r="J3405" s="18" t="s">
        <v>4327</v>
      </c>
    </row>
    <row r="3406" spans="3:10" x14ac:dyDescent="0.25">
      <c r="C3406" s="17" t="str">
        <f t="shared" si="54"/>
        <v>28.801011.-14387.10239..CLEAR SCHEDULE.</v>
      </c>
      <c r="E3406">
        <v>28</v>
      </c>
      <c r="F3406">
        <v>801011</v>
      </c>
      <c r="G3406" s="1">
        <v>-143.87</v>
      </c>
      <c r="H3406" t="s">
        <v>3804</v>
      </c>
      <c r="J3406" s="18" t="s">
        <v>4327</v>
      </c>
    </row>
    <row r="3407" spans="3:10" x14ac:dyDescent="0.25">
      <c r="C3407" s="17" t="str">
        <f t="shared" si="54"/>
        <v>28.801011.-15945.10240..CLEAR SCHEDULE.</v>
      </c>
      <c r="E3407">
        <v>28</v>
      </c>
      <c r="F3407">
        <v>801011</v>
      </c>
      <c r="G3407" s="2">
        <v>-159.44999999999999</v>
      </c>
      <c r="H3407" t="s">
        <v>3805</v>
      </c>
      <c r="J3407" s="18" t="s">
        <v>4327</v>
      </c>
    </row>
    <row r="3408" spans="3:10" x14ac:dyDescent="0.25">
      <c r="C3408" s="17" t="str">
        <f t="shared" si="54"/>
        <v>28.801011.-92868.10241..CLEAR SCHEDULE.</v>
      </c>
      <c r="E3408">
        <v>28</v>
      </c>
      <c r="F3408">
        <v>801011</v>
      </c>
      <c r="G3408" s="1">
        <v>-928.68</v>
      </c>
      <c r="H3408" t="s">
        <v>3806</v>
      </c>
      <c r="J3408" s="18" t="s">
        <v>4327</v>
      </c>
    </row>
    <row r="3409" spans="3:10" x14ac:dyDescent="0.25">
      <c r="C3409" s="17" t="str">
        <f t="shared" si="54"/>
        <v>28.801011.-26177.10242..CLEAR SCHEDULE.</v>
      </c>
      <c r="E3409">
        <v>28</v>
      </c>
      <c r="F3409">
        <v>801011</v>
      </c>
      <c r="G3409" s="2">
        <v>-261.77</v>
      </c>
      <c r="H3409" t="s">
        <v>3807</v>
      </c>
      <c r="J3409" s="18" t="s">
        <v>4327</v>
      </c>
    </row>
    <row r="3410" spans="3:10" x14ac:dyDescent="0.25">
      <c r="C3410" s="17" t="str">
        <f t="shared" si="54"/>
        <v>28.801011.-14387.10243..CLEAR SCHEDULE.</v>
      </c>
      <c r="E3410">
        <v>28</v>
      </c>
      <c r="F3410">
        <v>801011</v>
      </c>
      <c r="G3410" s="1">
        <v>-143.87</v>
      </c>
      <c r="H3410" t="s">
        <v>3808</v>
      </c>
      <c r="J3410" s="18" t="s">
        <v>4327</v>
      </c>
    </row>
    <row r="3411" spans="3:10" x14ac:dyDescent="0.25">
      <c r="C3411" s="17" t="str">
        <f t="shared" si="54"/>
        <v>28.801011.-13668.10245..CLEAR SCHEDULE.</v>
      </c>
      <c r="E3411">
        <v>28</v>
      </c>
      <c r="F3411">
        <v>801011</v>
      </c>
      <c r="G3411" s="2">
        <v>-136.68</v>
      </c>
      <c r="H3411" t="s">
        <v>3809</v>
      </c>
      <c r="J3411" s="18" t="s">
        <v>4327</v>
      </c>
    </row>
    <row r="3412" spans="3:10" x14ac:dyDescent="0.25">
      <c r="C3412" s="17" t="str">
        <f t="shared" si="54"/>
        <v>28.801011.-14387.10249..CLEAR SCHEDULE.</v>
      </c>
      <c r="E3412">
        <v>28</v>
      </c>
      <c r="F3412">
        <v>801011</v>
      </c>
      <c r="G3412" s="1">
        <v>-143.87</v>
      </c>
      <c r="H3412" t="s">
        <v>3810</v>
      </c>
      <c r="J3412" s="18" t="s">
        <v>4327</v>
      </c>
    </row>
    <row r="3413" spans="3:10" x14ac:dyDescent="0.25">
      <c r="C3413" s="17" t="str">
        <f t="shared" si="54"/>
        <v>28.801011.-5505.10251..CLEAR SCHEDULE.</v>
      </c>
      <c r="E3413">
        <v>28</v>
      </c>
      <c r="F3413">
        <v>801011</v>
      </c>
      <c r="G3413" s="2">
        <v>-55.05</v>
      </c>
      <c r="H3413" t="s">
        <v>3811</v>
      </c>
      <c r="J3413" s="18" t="s">
        <v>4327</v>
      </c>
    </row>
    <row r="3414" spans="3:10" x14ac:dyDescent="0.25">
      <c r="C3414" s="17" t="str">
        <f t="shared" si="54"/>
        <v>28.801011.-15166.10252..CLEAR SCHEDULE.</v>
      </c>
      <c r="E3414">
        <v>28</v>
      </c>
      <c r="F3414">
        <v>801011</v>
      </c>
      <c r="G3414" s="1">
        <v>-151.66</v>
      </c>
      <c r="H3414" t="s">
        <v>3812</v>
      </c>
      <c r="J3414" s="18" t="s">
        <v>4327</v>
      </c>
    </row>
    <row r="3415" spans="3:10" x14ac:dyDescent="0.25">
      <c r="C3415" s="17" t="str">
        <f t="shared" si="54"/>
        <v>28.801011.-14387.10253..CLEAR SCHEDULE.</v>
      </c>
      <c r="E3415">
        <v>28</v>
      </c>
      <c r="F3415">
        <v>801011</v>
      </c>
      <c r="G3415" s="2">
        <v>-143.87</v>
      </c>
      <c r="H3415" t="s">
        <v>3813</v>
      </c>
      <c r="J3415" s="18" t="s">
        <v>4327</v>
      </c>
    </row>
    <row r="3416" spans="3:10" x14ac:dyDescent="0.25">
      <c r="C3416" s="17" t="str">
        <f t="shared" si="54"/>
        <v>28.801011.-8192.10254..CLEAR SCHEDULE.</v>
      </c>
      <c r="E3416">
        <v>28</v>
      </c>
      <c r="F3416">
        <v>801011</v>
      </c>
      <c r="G3416" s="1">
        <v>-81.92</v>
      </c>
      <c r="H3416" t="s">
        <v>3814</v>
      </c>
      <c r="J3416" s="18" t="s">
        <v>4327</v>
      </c>
    </row>
    <row r="3417" spans="3:10" x14ac:dyDescent="0.25">
      <c r="C3417" s="17" t="str">
        <f t="shared" si="54"/>
        <v>28.801011.-81836.10258..CLEAR SCHEDULE.</v>
      </c>
      <c r="E3417">
        <v>28</v>
      </c>
      <c r="F3417">
        <v>801011</v>
      </c>
      <c r="G3417" s="2">
        <v>-818.36</v>
      </c>
      <c r="H3417" t="s">
        <v>3815</v>
      </c>
      <c r="J3417" s="18" t="s">
        <v>4327</v>
      </c>
    </row>
    <row r="3418" spans="3:10" x14ac:dyDescent="0.25">
      <c r="C3418" s="17" t="str">
        <f t="shared" si="54"/>
        <v>28.801011.-107165.10263..CLEAR SCHEDULE.</v>
      </c>
      <c r="E3418">
        <v>28</v>
      </c>
      <c r="F3418">
        <v>801011</v>
      </c>
      <c r="G3418" s="1">
        <v>-1071.6500000000001</v>
      </c>
      <c r="H3418" t="s">
        <v>3816</v>
      </c>
      <c r="J3418" s="18" t="s">
        <v>4327</v>
      </c>
    </row>
    <row r="3419" spans="3:10" x14ac:dyDescent="0.25">
      <c r="C3419" s="17" t="str">
        <f t="shared" si="54"/>
        <v>28.801011.-77617.10265..CLEAR SCHEDULE.</v>
      </c>
      <c r="E3419">
        <v>28</v>
      </c>
      <c r="F3419">
        <v>801011</v>
      </c>
      <c r="G3419" s="2">
        <v>-776.17</v>
      </c>
      <c r="H3419" t="s">
        <v>3817</v>
      </c>
      <c r="J3419" s="18" t="s">
        <v>4327</v>
      </c>
    </row>
    <row r="3420" spans="3:10" x14ac:dyDescent="0.25">
      <c r="C3420" s="17" t="str">
        <f t="shared" si="54"/>
        <v>28.801011.-14969.10266..CLEAR SCHEDULE.</v>
      </c>
      <c r="E3420">
        <v>28</v>
      </c>
      <c r="F3420">
        <v>801011</v>
      </c>
      <c r="G3420" s="1">
        <v>-149.69</v>
      </c>
      <c r="H3420" t="s">
        <v>3818</v>
      </c>
      <c r="J3420" s="18" t="s">
        <v>4327</v>
      </c>
    </row>
    <row r="3421" spans="3:10" x14ac:dyDescent="0.25">
      <c r="C3421" s="17" t="str">
        <f t="shared" si="54"/>
        <v>28.801011.-15945.10270..CLEAR SCHEDULE.</v>
      </c>
      <c r="E3421">
        <v>28</v>
      </c>
      <c r="F3421">
        <v>801011</v>
      </c>
      <c r="G3421" s="2">
        <v>-159.44999999999999</v>
      </c>
      <c r="H3421" t="s">
        <v>3819</v>
      </c>
      <c r="J3421" s="18" t="s">
        <v>4327</v>
      </c>
    </row>
    <row r="3422" spans="3:10" x14ac:dyDescent="0.25">
      <c r="C3422" s="17" t="str">
        <f t="shared" si="54"/>
        <v>28.801011.-305800.10271..CLEAR SCHEDULE.</v>
      </c>
      <c r="E3422">
        <v>28</v>
      </c>
      <c r="F3422">
        <v>801011</v>
      </c>
      <c r="G3422" s="1">
        <v>-3058</v>
      </c>
      <c r="H3422" t="s">
        <v>3820</v>
      </c>
      <c r="J3422" s="18" t="s">
        <v>4327</v>
      </c>
    </row>
    <row r="3423" spans="3:10" x14ac:dyDescent="0.25">
      <c r="C3423" s="17" t="str">
        <f t="shared" si="54"/>
        <v>28.801011.-23000.10272..CLEAR SCHEDULE.</v>
      </c>
      <c r="E3423">
        <v>28</v>
      </c>
      <c r="F3423">
        <v>801011</v>
      </c>
      <c r="G3423" s="2">
        <v>-230</v>
      </c>
      <c r="H3423" t="s">
        <v>3821</v>
      </c>
      <c r="J3423" s="18" t="s">
        <v>4327</v>
      </c>
    </row>
    <row r="3424" spans="3:10" x14ac:dyDescent="0.25">
      <c r="C3424" s="17" t="str">
        <f t="shared" si="54"/>
        <v>28.801011.-18038.10275..CLEAR SCHEDULE.</v>
      </c>
      <c r="E3424">
        <v>28</v>
      </c>
      <c r="F3424">
        <v>801011</v>
      </c>
      <c r="G3424" s="1">
        <v>-180.38</v>
      </c>
      <c r="H3424" t="s">
        <v>3822</v>
      </c>
      <c r="J3424" s="18" t="s">
        <v>4327</v>
      </c>
    </row>
    <row r="3425" spans="3:10" x14ac:dyDescent="0.25">
      <c r="C3425" s="17" t="str">
        <f t="shared" si="54"/>
        <v>28.801011.-21000.10276..CLEAR SCHEDULE.</v>
      </c>
      <c r="E3425">
        <v>28</v>
      </c>
      <c r="F3425">
        <v>801011</v>
      </c>
      <c r="G3425" s="2">
        <v>-210</v>
      </c>
      <c r="H3425" t="s">
        <v>3823</v>
      </c>
      <c r="J3425" s="18" t="s">
        <v>4327</v>
      </c>
    </row>
    <row r="3426" spans="3:10" x14ac:dyDescent="0.25">
      <c r="C3426" s="17" t="str">
        <f t="shared" si="54"/>
        <v>28.801011.-17850.10277..CLEAR SCHEDULE.</v>
      </c>
      <c r="E3426">
        <v>28</v>
      </c>
      <c r="F3426">
        <v>801011</v>
      </c>
      <c r="G3426" s="1">
        <v>-178.5</v>
      </c>
      <c r="H3426" t="s">
        <v>3824</v>
      </c>
      <c r="J3426" s="18" t="s">
        <v>4327</v>
      </c>
    </row>
    <row r="3427" spans="3:10" x14ac:dyDescent="0.25">
      <c r="C3427" s="17" t="str">
        <f t="shared" si="54"/>
        <v>28.801011.-19917.10278..CLEAR SCHEDULE.</v>
      </c>
      <c r="E3427">
        <v>28</v>
      </c>
      <c r="F3427">
        <v>801011</v>
      </c>
      <c r="G3427" s="2">
        <v>-199.17</v>
      </c>
      <c r="H3427" t="s">
        <v>3825</v>
      </c>
      <c r="J3427" s="18" t="s">
        <v>4327</v>
      </c>
    </row>
    <row r="3428" spans="3:10" x14ac:dyDescent="0.25">
      <c r="C3428" s="17" t="str">
        <f t="shared" si="54"/>
        <v>28.801011.-25000.10279..CLEAR SCHEDULE.</v>
      </c>
      <c r="E3428">
        <v>28</v>
      </c>
      <c r="F3428">
        <v>801011</v>
      </c>
      <c r="G3428" s="1">
        <v>-250</v>
      </c>
      <c r="H3428" t="s">
        <v>3826</v>
      </c>
      <c r="J3428" s="18" t="s">
        <v>4327</v>
      </c>
    </row>
    <row r="3429" spans="3:10" x14ac:dyDescent="0.25">
      <c r="C3429" s="17" t="str">
        <f t="shared" si="54"/>
        <v>28.801011.-60539.10280..CLEAR SCHEDULE.</v>
      </c>
      <c r="E3429">
        <v>28</v>
      </c>
      <c r="F3429">
        <v>801011</v>
      </c>
      <c r="G3429" s="2">
        <v>-605.39</v>
      </c>
      <c r="H3429" t="s">
        <v>3827</v>
      </c>
      <c r="J3429" s="18" t="s">
        <v>4327</v>
      </c>
    </row>
    <row r="3430" spans="3:10" x14ac:dyDescent="0.25">
      <c r="C3430" s="17" t="str">
        <f t="shared" si="54"/>
        <v>28.801011.-15166.10281..CLEAR SCHEDULE.</v>
      </c>
      <c r="E3430">
        <v>28</v>
      </c>
      <c r="F3430">
        <v>801011</v>
      </c>
      <c r="G3430" s="1">
        <v>-151.66</v>
      </c>
      <c r="H3430" t="s">
        <v>3828</v>
      </c>
      <c r="J3430" s="18" t="s">
        <v>4327</v>
      </c>
    </row>
    <row r="3431" spans="3:10" x14ac:dyDescent="0.25">
      <c r="C3431" s="17" t="str">
        <f t="shared" si="54"/>
        <v>28.801011.-15961.10282..CLEAR SCHEDULE.</v>
      </c>
      <c r="E3431">
        <v>28</v>
      </c>
      <c r="F3431">
        <v>801011</v>
      </c>
      <c r="G3431" s="2">
        <v>-159.61000000000001</v>
      </c>
      <c r="H3431" t="s">
        <v>3829</v>
      </c>
      <c r="J3431" s="18" t="s">
        <v>4327</v>
      </c>
    </row>
    <row r="3432" spans="3:10" x14ac:dyDescent="0.25">
      <c r="C3432" s="17" t="str">
        <f t="shared" si="54"/>
        <v>28.801011.-31508.10286..CLEAR SCHEDULE.</v>
      </c>
      <c r="E3432">
        <v>28</v>
      </c>
      <c r="F3432">
        <v>801011</v>
      </c>
      <c r="G3432" s="1">
        <v>-315.08</v>
      </c>
      <c r="H3432" t="s">
        <v>3830</v>
      </c>
      <c r="J3432" s="18" t="s">
        <v>4327</v>
      </c>
    </row>
    <row r="3433" spans="3:10" x14ac:dyDescent="0.25">
      <c r="C3433" s="17" t="str">
        <f t="shared" si="54"/>
        <v>28.801011.-109825.10287..CLEAR SCHEDULE.</v>
      </c>
      <c r="E3433">
        <v>28</v>
      </c>
      <c r="F3433">
        <v>801011</v>
      </c>
      <c r="G3433" s="2">
        <v>-1098.25</v>
      </c>
      <c r="H3433" t="s">
        <v>3831</v>
      </c>
      <c r="J3433" s="18" t="s">
        <v>4327</v>
      </c>
    </row>
    <row r="3434" spans="3:10" x14ac:dyDescent="0.25">
      <c r="C3434" s="17" t="str">
        <f t="shared" si="54"/>
        <v>28.801011.-179113.10288..CLEAR SCHEDULE.</v>
      </c>
      <c r="E3434">
        <v>28</v>
      </c>
      <c r="F3434">
        <v>801011</v>
      </c>
      <c r="G3434" s="1">
        <v>-1791.13</v>
      </c>
      <c r="H3434" t="s">
        <v>3832</v>
      </c>
      <c r="J3434" s="18" t="s">
        <v>4327</v>
      </c>
    </row>
    <row r="3435" spans="3:10" x14ac:dyDescent="0.25">
      <c r="C3435" s="17" t="str">
        <f t="shared" si="54"/>
        <v>28.801011.-123841.10291..CLEAR SCHEDULE.</v>
      </c>
      <c r="E3435">
        <v>28</v>
      </c>
      <c r="F3435">
        <v>801011</v>
      </c>
      <c r="G3435" s="2">
        <v>-1238.4100000000001</v>
      </c>
      <c r="H3435" t="s">
        <v>3833</v>
      </c>
      <c r="J3435" s="18" t="s">
        <v>4327</v>
      </c>
    </row>
    <row r="3436" spans="3:10" x14ac:dyDescent="0.25">
      <c r="C3436" s="17" t="str">
        <f t="shared" si="54"/>
        <v>28.801011.-10530.10293..CLEAR SCHEDULE.</v>
      </c>
      <c r="E3436">
        <v>28</v>
      </c>
      <c r="F3436">
        <v>801011</v>
      </c>
      <c r="G3436" s="1">
        <v>-105.3</v>
      </c>
      <c r="H3436" t="s">
        <v>3834</v>
      </c>
      <c r="J3436" s="18" t="s">
        <v>4327</v>
      </c>
    </row>
    <row r="3437" spans="3:10" x14ac:dyDescent="0.25">
      <c r="C3437" s="17" t="str">
        <f t="shared" si="54"/>
        <v>28.801011.-17500.10296..CLEAR SCHEDULE.</v>
      </c>
      <c r="E3437">
        <v>28</v>
      </c>
      <c r="F3437">
        <v>801011</v>
      </c>
      <c r="G3437" s="2">
        <v>-175</v>
      </c>
      <c r="H3437" t="s">
        <v>3835</v>
      </c>
      <c r="J3437" s="18" t="s">
        <v>4327</v>
      </c>
    </row>
    <row r="3438" spans="3:10" x14ac:dyDescent="0.25">
      <c r="C3438" s="17" t="str">
        <f t="shared" si="54"/>
        <v>28.801011.-33896.10297..CLEAR SCHEDULE.</v>
      </c>
      <c r="E3438">
        <v>28</v>
      </c>
      <c r="F3438">
        <v>801011</v>
      </c>
      <c r="G3438" s="1">
        <v>-338.96</v>
      </c>
      <c r="H3438" t="s">
        <v>3836</v>
      </c>
      <c r="J3438" s="18" t="s">
        <v>4327</v>
      </c>
    </row>
    <row r="3439" spans="3:10" x14ac:dyDescent="0.25">
      <c r="C3439" s="17" t="str">
        <f t="shared" si="54"/>
        <v>28.801011.-536763.10299..CLEAR SCHEDULE.</v>
      </c>
      <c r="E3439">
        <v>28</v>
      </c>
      <c r="F3439">
        <v>801011</v>
      </c>
      <c r="G3439" s="2">
        <v>-5367.63</v>
      </c>
      <c r="H3439" t="s">
        <v>3837</v>
      </c>
      <c r="J3439" s="18" t="s">
        <v>4327</v>
      </c>
    </row>
    <row r="3440" spans="3:10" x14ac:dyDescent="0.25">
      <c r="C3440" s="17" t="str">
        <f t="shared" si="54"/>
        <v>28.801011.-64647.10300..CLEAR SCHEDULE.</v>
      </c>
      <c r="E3440">
        <v>28</v>
      </c>
      <c r="F3440">
        <v>801011</v>
      </c>
      <c r="G3440" s="1">
        <v>-646.47</v>
      </c>
      <c r="H3440" t="s">
        <v>3838</v>
      </c>
      <c r="J3440" s="18" t="s">
        <v>4327</v>
      </c>
    </row>
    <row r="3441" spans="3:10" x14ac:dyDescent="0.25">
      <c r="C3441" s="17" t="str">
        <f t="shared" si="54"/>
        <v>28.801011.-55895.10302..CLEAR SCHEDULE.</v>
      </c>
      <c r="E3441">
        <v>28</v>
      </c>
      <c r="F3441">
        <v>801011</v>
      </c>
      <c r="G3441" s="2">
        <v>-558.95000000000005</v>
      </c>
      <c r="H3441" t="s">
        <v>3839</v>
      </c>
      <c r="J3441" s="18" t="s">
        <v>4327</v>
      </c>
    </row>
    <row r="3442" spans="3:10" x14ac:dyDescent="0.25">
      <c r="C3442" s="17" t="str">
        <f t="shared" si="54"/>
        <v>28.801011.-41252.10303..CLEAR SCHEDULE.</v>
      </c>
      <c r="E3442">
        <v>28</v>
      </c>
      <c r="F3442">
        <v>801011</v>
      </c>
      <c r="G3442" s="1">
        <v>-412.52</v>
      </c>
      <c r="H3442" t="s">
        <v>3840</v>
      </c>
      <c r="J3442" s="18" t="s">
        <v>4327</v>
      </c>
    </row>
    <row r="3443" spans="3:10" x14ac:dyDescent="0.25">
      <c r="C3443" s="17" t="str">
        <f t="shared" si="54"/>
        <v>28.801011.-5415.10304..CLEAR SCHEDULE.</v>
      </c>
      <c r="E3443">
        <v>28</v>
      </c>
      <c r="F3443">
        <v>801011</v>
      </c>
      <c r="G3443" s="2">
        <v>-54.15</v>
      </c>
      <c r="H3443" t="s">
        <v>3841</v>
      </c>
      <c r="J3443" s="18" t="s">
        <v>4327</v>
      </c>
    </row>
    <row r="3444" spans="3:10" x14ac:dyDescent="0.25">
      <c r="C3444" s="17" t="str">
        <f t="shared" si="54"/>
        <v>28.801011.-48013.10305..CLEAR SCHEDULE.</v>
      </c>
      <c r="E3444">
        <v>28</v>
      </c>
      <c r="F3444">
        <v>801011</v>
      </c>
      <c r="G3444" s="1">
        <v>-480.13</v>
      </c>
      <c r="H3444" t="s">
        <v>3842</v>
      </c>
      <c r="J3444" s="18" t="s">
        <v>4327</v>
      </c>
    </row>
    <row r="3445" spans="3:10" x14ac:dyDescent="0.25">
      <c r="C3445" s="17" t="str">
        <f t="shared" si="54"/>
        <v>28.801011.-15945.10306..CLEAR SCHEDULE.</v>
      </c>
      <c r="E3445">
        <v>28</v>
      </c>
      <c r="F3445">
        <v>801011</v>
      </c>
      <c r="G3445" s="2">
        <v>-159.44999999999999</v>
      </c>
      <c r="H3445" t="s">
        <v>3843</v>
      </c>
      <c r="J3445" s="18" t="s">
        <v>4327</v>
      </c>
    </row>
    <row r="3446" spans="3:10" x14ac:dyDescent="0.25">
      <c r="C3446" s="17" t="str">
        <f t="shared" si="54"/>
        <v>28.801011.-5415.10307..CLEAR SCHEDULE.</v>
      </c>
      <c r="E3446">
        <v>28</v>
      </c>
      <c r="F3446">
        <v>801011</v>
      </c>
      <c r="G3446" s="1">
        <v>-54.15</v>
      </c>
      <c r="H3446" t="s">
        <v>3844</v>
      </c>
      <c r="J3446" s="18" t="s">
        <v>4327</v>
      </c>
    </row>
    <row r="3447" spans="3:10" x14ac:dyDescent="0.25">
      <c r="C3447" s="17" t="str">
        <f t="shared" si="54"/>
        <v>28.801011.-111086.10308..CLEAR SCHEDULE.</v>
      </c>
      <c r="E3447">
        <v>28</v>
      </c>
      <c r="F3447">
        <v>801011</v>
      </c>
      <c r="G3447" s="2">
        <v>-1110.8599999999999</v>
      </c>
      <c r="H3447" t="s">
        <v>3845</v>
      </c>
      <c r="J3447" s="18" t="s">
        <v>4327</v>
      </c>
    </row>
    <row r="3448" spans="3:10" x14ac:dyDescent="0.25">
      <c r="C3448" s="17" t="str">
        <f t="shared" si="54"/>
        <v>28.801011.-191378.10309..CLEAR SCHEDULE.</v>
      </c>
      <c r="E3448">
        <v>28</v>
      </c>
      <c r="F3448">
        <v>801011</v>
      </c>
      <c r="G3448" s="1">
        <v>-1913.78</v>
      </c>
      <c r="H3448" t="s">
        <v>3846</v>
      </c>
      <c r="J3448" s="18" t="s">
        <v>4327</v>
      </c>
    </row>
    <row r="3449" spans="3:10" x14ac:dyDescent="0.25">
      <c r="C3449" s="17" t="str">
        <f t="shared" si="54"/>
        <v>28.801011.-14387.10310..CLEAR SCHEDULE.</v>
      </c>
      <c r="E3449">
        <v>28</v>
      </c>
      <c r="F3449">
        <v>801011</v>
      </c>
      <c r="G3449" s="2">
        <v>-143.87</v>
      </c>
      <c r="H3449" t="s">
        <v>3847</v>
      </c>
      <c r="J3449" s="18" t="s">
        <v>4327</v>
      </c>
    </row>
    <row r="3450" spans="3:10" x14ac:dyDescent="0.25">
      <c r="C3450" s="17" t="str">
        <f t="shared" si="54"/>
        <v>28.801011.-39484.10312..CLEAR SCHEDULE.</v>
      </c>
      <c r="E3450">
        <v>28</v>
      </c>
      <c r="F3450">
        <v>801011</v>
      </c>
      <c r="G3450" s="1">
        <v>-394.84</v>
      </c>
      <c r="H3450" t="s">
        <v>3848</v>
      </c>
      <c r="J3450" s="18" t="s">
        <v>4327</v>
      </c>
    </row>
    <row r="3451" spans="3:10" x14ac:dyDescent="0.25">
      <c r="C3451" s="17" t="str">
        <f t="shared" si="54"/>
        <v>28.801011.-73214.10313..CLEAR SCHEDULE.</v>
      </c>
      <c r="E3451">
        <v>28</v>
      </c>
      <c r="F3451">
        <v>801011</v>
      </c>
      <c r="G3451" s="2">
        <v>-732.14</v>
      </c>
      <c r="H3451" t="s">
        <v>3849</v>
      </c>
      <c r="J3451" s="18" t="s">
        <v>4327</v>
      </c>
    </row>
    <row r="3452" spans="3:10" x14ac:dyDescent="0.25">
      <c r="C3452" s="17" t="str">
        <f t="shared" si="54"/>
        <v>28.801011.-25257.10319..CLEAR SCHEDULE.</v>
      </c>
      <c r="E3452">
        <v>28</v>
      </c>
      <c r="F3452">
        <v>801011</v>
      </c>
      <c r="G3452" s="1">
        <v>-252.57</v>
      </c>
      <c r="H3452" t="s">
        <v>3850</v>
      </c>
      <c r="J3452" s="18" t="s">
        <v>4327</v>
      </c>
    </row>
    <row r="3453" spans="3:10" x14ac:dyDescent="0.25">
      <c r="C3453" s="17" t="str">
        <f t="shared" si="54"/>
        <v>28.801011.-18206.10320..CLEAR SCHEDULE.</v>
      </c>
      <c r="E3453">
        <v>28</v>
      </c>
      <c r="F3453">
        <v>801011</v>
      </c>
      <c r="G3453" s="2">
        <v>-182.06</v>
      </c>
      <c r="H3453" t="s">
        <v>3851</v>
      </c>
      <c r="J3453" s="18" t="s">
        <v>4327</v>
      </c>
    </row>
    <row r="3454" spans="3:10" x14ac:dyDescent="0.25">
      <c r="C3454" s="17" t="str">
        <f t="shared" si="54"/>
        <v>28.801011.-14387.10321..CLEAR SCHEDULE.</v>
      </c>
      <c r="E3454">
        <v>28</v>
      </c>
      <c r="F3454">
        <v>801011</v>
      </c>
      <c r="G3454" s="1">
        <v>-143.87</v>
      </c>
      <c r="H3454" t="s">
        <v>3852</v>
      </c>
      <c r="J3454" s="18" t="s">
        <v>4327</v>
      </c>
    </row>
    <row r="3455" spans="3:10" x14ac:dyDescent="0.25">
      <c r="C3455" s="17" t="str">
        <f t="shared" si="54"/>
        <v>28.801011.-4061.10323..CLEAR SCHEDULE.</v>
      </c>
      <c r="E3455">
        <v>28</v>
      </c>
      <c r="F3455">
        <v>801011</v>
      </c>
      <c r="G3455" s="2">
        <v>-40.61</v>
      </c>
      <c r="H3455" t="s">
        <v>3853</v>
      </c>
      <c r="J3455" s="18" t="s">
        <v>4327</v>
      </c>
    </row>
    <row r="3456" spans="3:10" x14ac:dyDescent="0.25">
      <c r="C3456" s="17" t="str">
        <f t="shared" si="54"/>
        <v>28.801011.-16724.10326..CLEAR SCHEDULE.</v>
      </c>
      <c r="E3456">
        <v>28</v>
      </c>
      <c r="F3456">
        <v>801011</v>
      </c>
      <c r="G3456" s="1">
        <v>-167.24</v>
      </c>
      <c r="H3456" t="s">
        <v>3854</v>
      </c>
      <c r="J3456" s="18" t="s">
        <v>4327</v>
      </c>
    </row>
    <row r="3457" spans="3:10" x14ac:dyDescent="0.25">
      <c r="C3457" s="17" t="str">
        <f t="shared" si="54"/>
        <v>28.801011.-15005.10329..CLEAR SCHEDULE.</v>
      </c>
      <c r="E3457">
        <v>28</v>
      </c>
      <c r="F3457">
        <v>801011</v>
      </c>
      <c r="G3457" s="2">
        <v>-150.05000000000001</v>
      </c>
      <c r="H3457" t="s">
        <v>3855</v>
      </c>
      <c r="J3457" s="18" t="s">
        <v>4327</v>
      </c>
    </row>
    <row r="3458" spans="3:10" x14ac:dyDescent="0.25">
      <c r="C3458" s="17" t="str">
        <f t="shared" si="54"/>
        <v>28.801011.-14387.10331..CLEAR SCHEDULE.</v>
      </c>
      <c r="E3458">
        <v>28</v>
      </c>
      <c r="F3458">
        <v>801011</v>
      </c>
      <c r="G3458" s="1">
        <v>-143.87</v>
      </c>
      <c r="H3458" t="s">
        <v>3856</v>
      </c>
      <c r="J3458" s="18" t="s">
        <v>4327</v>
      </c>
    </row>
    <row r="3459" spans="3:10" x14ac:dyDescent="0.25">
      <c r="C3459" s="17" t="str">
        <f t="shared" si="54"/>
        <v>28.801011.-20000.10335..CLEAR SCHEDULE.</v>
      </c>
      <c r="E3459">
        <v>28</v>
      </c>
      <c r="F3459">
        <v>801011</v>
      </c>
      <c r="G3459" s="2">
        <v>-200</v>
      </c>
      <c r="H3459" t="s">
        <v>3857</v>
      </c>
      <c r="J3459" s="18" t="s">
        <v>4327</v>
      </c>
    </row>
    <row r="3460" spans="3:10" x14ac:dyDescent="0.25">
      <c r="C3460" s="17" t="str">
        <f t="shared" si="54"/>
        <v>28.801011.-8974.10336..CLEAR SCHEDULE.</v>
      </c>
      <c r="E3460">
        <v>28</v>
      </c>
      <c r="F3460">
        <v>801011</v>
      </c>
      <c r="G3460" s="1">
        <v>-89.74</v>
      </c>
      <c r="H3460" t="s">
        <v>3858</v>
      </c>
      <c r="J3460" s="18" t="s">
        <v>4327</v>
      </c>
    </row>
    <row r="3461" spans="3:10" x14ac:dyDescent="0.25">
      <c r="C3461" s="17" t="str">
        <f t="shared" si="54"/>
        <v>28.801011.-14387.10337..CLEAR SCHEDULE.</v>
      </c>
      <c r="E3461">
        <v>28</v>
      </c>
      <c r="F3461">
        <v>801011</v>
      </c>
      <c r="G3461" s="2">
        <v>-143.87</v>
      </c>
      <c r="H3461" t="s">
        <v>3859</v>
      </c>
      <c r="J3461" s="18" t="s">
        <v>4327</v>
      </c>
    </row>
    <row r="3462" spans="3:10" x14ac:dyDescent="0.25">
      <c r="C3462" s="17" t="str">
        <f t="shared" si="54"/>
        <v>28.801011.-12183.10338..CLEAR SCHEDULE.</v>
      </c>
      <c r="E3462">
        <v>28</v>
      </c>
      <c r="F3462">
        <v>801011</v>
      </c>
      <c r="G3462" s="1">
        <v>-121.83</v>
      </c>
      <c r="H3462" t="s">
        <v>3860</v>
      </c>
      <c r="J3462" s="18" t="s">
        <v>4327</v>
      </c>
    </row>
    <row r="3463" spans="3:10" x14ac:dyDescent="0.25">
      <c r="C3463" s="17" t="str">
        <f t="shared" si="54"/>
        <v>28.801011.-8972.10339..CLEAR SCHEDULE.</v>
      </c>
      <c r="E3463">
        <v>28</v>
      </c>
      <c r="F3463">
        <v>801011</v>
      </c>
      <c r="G3463" s="2">
        <v>-89.72</v>
      </c>
      <c r="H3463" t="s">
        <v>3861</v>
      </c>
      <c r="J3463" s="18" t="s">
        <v>4327</v>
      </c>
    </row>
    <row r="3464" spans="3:10" x14ac:dyDescent="0.25">
      <c r="C3464" s="17" t="str">
        <f t="shared" si="54"/>
        <v>28.801011.-47691.10340..CLEAR SCHEDULE.</v>
      </c>
      <c r="E3464">
        <v>28</v>
      </c>
      <c r="F3464">
        <v>801011</v>
      </c>
      <c r="G3464" s="1">
        <v>-476.91</v>
      </c>
      <c r="H3464" t="s">
        <v>3862</v>
      </c>
      <c r="J3464" s="18" t="s">
        <v>4327</v>
      </c>
    </row>
    <row r="3465" spans="3:10" x14ac:dyDescent="0.25">
      <c r="C3465" s="17" t="str">
        <f t="shared" si="54"/>
        <v>28.801011.-43497.10342..CLEAR SCHEDULE.</v>
      </c>
      <c r="E3465">
        <v>28</v>
      </c>
      <c r="F3465">
        <v>801011</v>
      </c>
      <c r="G3465" s="2">
        <v>-434.97</v>
      </c>
      <c r="H3465" t="s">
        <v>3863</v>
      </c>
      <c r="J3465" s="18" t="s">
        <v>4327</v>
      </c>
    </row>
    <row r="3466" spans="3:10" x14ac:dyDescent="0.25">
      <c r="C3466" s="17" t="str">
        <f t="shared" si="54"/>
        <v>28.801011.-14387.10344..CLEAR SCHEDULE.</v>
      </c>
      <c r="E3466">
        <v>28</v>
      </c>
      <c r="F3466">
        <v>801011</v>
      </c>
      <c r="G3466" s="1">
        <v>-143.87</v>
      </c>
      <c r="H3466" t="s">
        <v>3864</v>
      </c>
      <c r="J3466" s="18" t="s">
        <v>4327</v>
      </c>
    </row>
    <row r="3467" spans="3:10" x14ac:dyDescent="0.25">
      <c r="C3467" s="17" t="str">
        <f t="shared" ref="C3467:C3530" si="55">IF(G3467=0,"",(E3467&amp;"."&amp;F3467&amp;"."&amp;G3467*100&amp;"."&amp;H3467&amp;"."&amp;I3467&amp;"."&amp;J3467&amp;"."&amp;K3467))</f>
        <v>28.801011.-19742.10345..CLEAR SCHEDULE.</v>
      </c>
      <c r="E3467">
        <v>28</v>
      </c>
      <c r="F3467">
        <v>801011</v>
      </c>
      <c r="G3467" s="2">
        <v>-197.42</v>
      </c>
      <c r="H3467" t="s">
        <v>3865</v>
      </c>
      <c r="J3467" s="18" t="s">
        <v>4327</v>
      </c>
    </row>
    <row r="3468" spans="3:10" x14ac:dyDescent="0.25">
      <c r="C3468" s="17" t="str">
        <f t="shared" si="55"/>
        <v>28.801011.-13668.10346..CLEAR SCHEDULE.</v>
      </c>
      <c r="E3468">
        <v>28</v>
      </c>
      <c r="F3468">
        <v>801011</v>
      </c>
      <c r="G3468" s="1">
        <v>-136.68</v>
      </c>
      <c r="H3468" t="s">
        <v>3866</v>
      </c>
      <c r="J3468" s="18" t="s">
        <v>4327</v>
      </c>
    </row>
    <row r="3469" spans="3:10" x14ac:dyDescent="0.25">
      <c r="C3469" s="17" t="str">
        <f t="shared" si="55"/>
        <v>28.801011.-5613.10352..CLEAR SCHEDULE.</v>
      </c>
      <c r="E3469">
        <v>28</v>
      </c>
      <c r="F3469">
        <v>801011</v>
      </c>
      <c r="G3469" s="2">
        <v>-56.13</v>
      </c>
      <c r="H3469" t="s">
        <v>3867</v>
      </c>
      <c r="J3469" s="18" t="s">
        <v>4327</v>
      </c>
    </row>
    <row r="3470" spans="3:10" x14ac:dyDescent="0.25">
      <c r="C3470" s="17" t="str">
        <f t="shared" si="55"/>
        <v>28.801011.-38922.10353..CLEAR SCHEDULE.</v>
      </c>
      <c r="E3470">
        <v>28</v>
      </c>
      <c r="F3470">
        <v>801011</v>
      </c>
      <c r="G3470" s="1">
        <v>-389.22</v>
      </c>
      <c r="H3470" t="s">
        <v>3868</v>
      </c>
      <c r="J3470" s="18" t="s">
        <v>4327</v>
      </c>
    </row>
    <row r="3471" spans="3:10" x14ac:dyDescent="0.25">
      <c r="C3471" s="17" t="str">
        <f t="shared" si="55"/>
        <v>28.801011.-15149.10354..CLEAR SCHEDULE.</v>
      </c>
      <c r="E3471">
        <v>28</v>
      </c>
      <c r="F3471">
        <v>801011</v>
      </c>
      <c r="G3471" s="2">
        <v>-151.49</v>
      </c>
      <c r="H3471" t="s">
        <v>3869</v>
      </c>
      <c r="J3471" s="18" t="s">
        <v>4327</v>
      </c>
    </row>
    <row r="3472" spans="3:10" x14ac:dyDescent="0.25">
      <c r="C3472" s="17" t="str">
        <f t="shared" si="55"/>
        <v>28.801011.-45323.10357..CLEAR SCHEDULE.</v>
      </c>
      <c r="E3472">
        <v>28</v>
      </c>
      <c r="F3472">
        <v>801011</v>
      </c>
      <c r="G3472" s="1">
        <v>-453.23</v>
      </c>
      <c r="H3472" t="s">
        <v>3870</v>
      </c>
      <c r="J3472" s="18" t="s">
        <v>4327</v>
      </c>
    </row>
    <row r="3473" spans="3:10" x14ac:dyDescent="0.25">
      <c r="C3473" s="17" t="str">
        <f t="shared" si="55"/>
        <v>28.801011.-5923.10361..CLEAR SCHEDULE.</v>
      </c>
      <c r="E3473">
        <v>28</v>
      </c>
      <c r="F3473">
        <v>801011</v>
      </c>
      <c r="G3473" s="2">
        <v>-59.23</v>
      </c>
      <c r="H3473" t="s">
        <v>3871</v>
      </c>
      <c r="J3473" s="18" t="s">
        <v>4327</v>
      </c>
    </row>
    <row r="3474" spans="3:10" x14ac:dyDescent="0.25">
      <c r="C3474" s="17" t="str">
        <f t="shared" si="55"/>
        <v>28.801011.-86446.10364..CLEAR SCHEDULE.</v>
      </c>
      <c r="E3474">
        <v>28</v>
      </c>
      <c r="F3474">
        <v>801011</v>
      </c>
      <c r="G3474" s="1">
        <v>-864.46</v>
      </c>
      <c r="H3474" t="s">
        <v>3872</v>
      </c>
      <c r="J3474" s="18" t="s">
        <v>4327</v>
      </c>
    </row>
    <row r="3475" spans="3:10" x14ac:dyDescent="0.25">
      <c r="C3475" s="17" t="str">
        <f t="shared" si="55"/>
        <v>28.801011.-15166.10369..CLEAR SCHEDULE.</v>
      </c>
      <c r="E3475">
        <v>28</v>
      </c>
      <c r="F3475">
        <v>801011</v>
      </c>
      <c r="G3475" s="2">
        <v>-151.66</v>
      </c>
      <c r="H3475" t="s">
        <v>3873</v>
      </c>
      <c r="J3475" s="18" t="s">
        <v>4327</v>
      </c>
    </row>
    <row r="3476" spans="3:10" x14ac:dyDescent="0.25">
      <c r="C3476" s="17" t="str">
        <f t="shared" si="55"/>
        <v>28.801011.-21000.10370..CLEAR SCHEDULE.</v>
      </c>
      <c r="E3476">
        <v>28</v>
      </c>
      <c r="F3476">
        <v>801011</v>
      </c>
      <c r="G3476" s="1">
        <v>-210</v>
      </c>
      <c r="H3476" t="s">
        <v>3874</v>
      </c>
      <c r="J3476" s="18" t="s">
        <v>4327</v>
      </c>
    </row>
    <row r="3477" spans="3:10" x14ac:dyDescent="0.25">
      <c r="C3477" s="17" t="str">
        <f t="shared" si="55"/>
        <v>28.801011.-14387.10371..CLEAR SCHEDULE.</v>
      </c>
      <c r="E3477">
        <v>28</v>
      </c>
      <c r="F3477">
        <v>801011</v>
      </c>
      <c r="G3477" s="2">
        <v>-143.87</v>
      </c>
      <c r="H3477" t="s">
        <v>3875</v>
      </c>
      <c r="J3477" s="18" t="s">
        <v>4327</v>
      </c>
    </row>
    <row r="3478" spans="3:10" x14ac:dyDescent="0.25">
      <c r="C3478" s="17" t="str">
        <f t="shared" si="55"/>
        <v>28.801011.-175811.10372..CLEAR SCHEDULE.</v>
      </c>
      <c r="E3478">
        <v>28</v>
      </c>
      <c r="F3478">
        <v>801011</v>
      </c>
      <c r="G3478" s="1">
        <v>-1758.11</v>
      </c>
      <c r="H3478" t="s">
        <v>3876</v>
      </c>
      <c r="J3478" s="18" t="s">
        <v>4327</v>
      </c>
    </row>
    <row r="3479" spans="3:10" x14ac:dyDescent="0.25">
      <c r="C3479" s="17" t="str">
        <f t="shared" si="55"/>
        <v>28.801011.-139233.10374..CLEAR SCHEDULE.</v>
      </c>
      <c r="E3479">
        <v>28</v>
      </c>
      <c r="F3479">
        <v>801011</v>
      </c>
      <c r="G3479" s="2">
        <v>-1392.33</v>
      </c>
      <c r="H3479" t="s">
        <v>3877</v>
      </c>
      <c r="J3479" s="18" t="s">
        <v>4327</v>
      </c>
    </row>
    <row r="3480" spans="3:10" x14ac:dyDescent="0.25">
      <c r="C3480" s="17" t="str">
        <f t="shared" si="55"/>
        <v>28.801011.-182417.10375..CLEAR SCHEDULE.</v>
      </c>
      <c r="E3480">
        <v>28</v>
      </c>
      <c r="F3480">
        <v>801011</v>
      </c>
      <c r="G3480" s="1">
        <v>-1824.17</v>
      </c>
      <c r="H3480" t="s">
        <v>3878</v>
      </c>
      <c r="J3480" s="18" t="s">
        <v>4327</v>
      </c>
    </row>
    <row r="3481" spans="3:10" x14ac:dyDescent="0.25">
      <c r="C3481" s="17" t="str">
        <f t="shared" si="55"/>
        <v>28.801011.-23000.10376..CLEAR SCHEDULE.</v>
      </c>
      <c r="E3481">
        <v>28</v>
      </c>
      <c r="F3481">
        <v>801011</v>
      </c>
      <c r="G3481" s="2">
        <v>-230</v>
      </c>
      <c r="H3481" t="s">
        <v>3879</v>
      </c>
      <c r="J3481" s="18" t="s">
        <v>4327</v>
      </c>
    </row>
    <row r="3482" spans="3:10" x14ac:dyDescent="0.25">
      <c r="C3482" s="17" t="str">
        <f t="shared" si="55"/>
        <v>28.801011.-42034.10378..CLEAR SCHEDULE.</v>
      </c>
      <c r="E3482">
        <v>28</v>
      </c>
      <c r="F3482">
        <v>801011</v>
      </c>
      <c r="G3482" s="1">
        <v>-420.34</v>
      </c>
      <c r="H3482" t="s">
        <v>3880</v>
      </c>
      <c r="J3482" s="18" t="s">
        <v>4327</v>
      </c>
    </row>
    <row r="3483" spans="3:10" x14ac:dyDescent="0.25">
      <c r="C3483" s="17" t="str">
        <f t="shared" si="55"/>
        <v>28.801011.-14387.10379..CLEAR SCHEDULE.</v>
      </c>
      <c r="E3483">
        <v>28</v>
      </c>
      <c r="F3483">
        <v>801011</v>
      </c>
      <c r="G3483" s="2">
        <v>-143.87</v>
      </c>
      <c r="H3483" t="s">
        <v>3881</v>
      </c>
      <c r="J3483" s="18" t="s">
        <v>4327</v>
      </c>
    </row>
    <row r="3484" spans="3:10" x14ac:dyDescent="0.25">
      <c r="C3484" s="17" t="str">
        <f t="shared" si="55"/>
        <v>28.801011.-61154.10381..CLEAR SCHEDULE.</v>
      </c>
      <c r="E3484">
        <v>28</v>
      </c>
      <c r="F3484">
        <v>801011</v>
      </c>
      <c r="G3484" s="1">
        <v>-611.54</v>
      </c>
      <c r="H3484" t="s">
        <v>3882</v>
      </c>
      <c r="J3484" s="18" t="s">
        <v>4327</v>
      </c>
    </row>
    <row r="3485" spans="3:10" x14ac:dyDescent="0.25">
      <c r="C3485" s="17" t="str">
        <f t="shared" si="55"/>
        <v>28.801011.-14387.10384..CLEAR SCHEDULE.</v>
      </c>
      <c r="E3485">
        <v>28</v>
      </c>
      <c r="F3485">
        <v>801011</v>
      </c>
      <c r="G3485" s="2">
        <v>-143.87</v>
      </c>
      <c r="H3485" t="s">
        <v>3883</v>
      </c>
      <c r="J3485" s="18" t="s">
        <v>4327</v>
      </c>
    </row>
    <row r="3486" spans="3:10" x14ac:dyDescent="0.25">
      <c r="C3486" s="17" t="str">
        <f t="shared" si="55"/>
        <v>28.801011.-8972.10386..CLEAR SCHEDULE.</v>
      </c>
      <c r="E3486">
        <v>28</v>
      </c>
      <c r="F3486">
        <v>801011</v>
      </c>
      <c r="G3486" s="1">
        <v>-89.72</v>
      </c>
      <c r="H3486" t="s">
        <v>3884</v>
      </c>
      <c r="J3486" s="18" t="s">
        <v>4327</v>
      </c>
    </row>
    <row r="3487" spans="3:10" x14ac:dyDescent="0.25">
      <c r="C3487" s="17" t="str">
        <f t="shared" si="55"/>
        <v>28.801011.-15541.10387..CLEAR SCHEDULE.</v>
      </c>
      <c r="E3487">
        <v>28</v>
      </c>
      <c r="F3487">
        <v>801011</v>
      </c>
      <c r="G3487" s="2">
        <v>-155.41</v>
      </c>
      <c r="H3487" t="s">
        <v>3885</v>
      </c>
      <c r="J3487" s="18" t="s">
        <v>4327</v>
      </c>
    </row>
    <row r="3488" spans="3:10" x14ac:dyDescent="0.25">
      <c r="C3488" s="17" t="str">
        <f t="shared" si="55"/>
        <v>28.801011.-61520.10388..CLEAR SCHEDULE.</v>
      </c>
      <c r="E3488">
        <v>28</v>
      </c>
      <c r="F3488">
        <v>801011</v>
      </c>
      <c r="G3488" s="1">
        <v>-615.20000000000005</v>
      </c>
      <c r="H3488" t="s">
        <v>3886</v>
      </c>
      <c r="J3488" s="18" t="s">
        <v>4327</v>
      </c>
    </row>
    <row r="3489" spans="3:10" x14ac:dyDescent="0.25">
      <c r="C3489" s="17" t="str">
        <f t="shared" si="55"/>
        <v>28.801011.-5144.10390..CLEAR SCHEDULE.</v>
      </c>
      <c r="E3489">
        <v>28</v>
      </c>
      <c r="F3489">
        <v>801011</v>
      </c>
      <c r="G3489" s="2">
        <v>-51.44</v>
      </c>
      <c r="H3489" t="s">
        <v>3887</v>
      </c>
      <c r="J3489" s="18" t="s">
        <v>4327</v>
      </c>
    </row>
    <row r="3490" spans="3:10" x14ac:dyDescent="0.25">
      <c r="C3490" s="17" t="str">
        <f t="shared" si="55"/>
        <v>28.801011.-8972.10391..CLEAR SCHEDULE.</v>
      </c>
      <c r="E3490">
        <v>28</v>
      </c>
      <c r="F3490">
        <v>801011</v>
      </c>
      <c r="G3490" s="1">
        <v>-89.72</v>
      </c>
      <c r="H3490" t="s">
        <v>3888</v>
      </c>
      <c r="J3490" s="18" t="s">
        <v>4327</v>
      </c>
    </row>
    <row r="3491" spans="3:10" x14ac:dyDescent="0.25">
      <c r="C3491" s="17" t="str">
        <f t="shared" si="55"/>
        <v>28.801011.-194918.10392..CLEAR SCHEDULE.</v>
      </c>
      <c r="E3491">
        <v>28</v>
      </c>
      <c r="F3491">
        <v>801011</v>
      </c>
      <c r="G3491" s="2">
        <v>-1949.18</v>
      </c>
      <c r="H3491" t="s">
        <v>3889</v>
      </c>
      <c r="J3491" s="18" t="s">
        <v>4327</v>
      </c>
    </row>
    <row r="3492" spans="3:10" x14ac:dyDescent="0.25">
      <c r="C3492" s="17" t="str">
        <f t="shared" si="55"/>
        <v>28.801011.-161933.10393..CLEAR SCHEDULE.</v>
      </c>
      <c r="E3492">
        <v>28</v>
      </c>
      <c r="F3492">
        <v>801011</v>
      </c>
      <c r="G3492" s="1">
        <v>-1619.33</v>
      </c>
      <c r="H3492" t="s">
        <v>3890</v>
      </c>
      <c r="J3492" s="18" t="s">
        <v>4327</v>
      </c>
    </row>
    <row r="3493" spans="3:10" x14ac:dyDescent="0.25">
      <c r="C3493" s="17" t="str">
        <f t="shared" si="55"/>
        <v>28.801011.-125346.10395..CLEAR SCHEDULE.</v>
      </c>
      <c r="E3493">
        <v>28</v>
      </c>
      <c r="F3493">
        <v>801011</v>
      </c>
      <c r="G3493" s="2">
        <v>-1253.46</v>
      </c>
      <c r="H3493" t="s">
        <v>3891</v>
      </c>
      <c r="J3493" s="18" t="s">
        <v>4327</v>
      </c>
    </row>
    <row r="3494" spans="3:10" x14ac:dyDescent="0.25">
      <c r="C3494" s="17" t="str">
        <f t="shared" si="55"/>
        <v>28.801011.-15166.10397..CLEAR SCHEDULE.</v>
      </c>
      <c r="E3494">
        <v>28</v>
      </c>
      <c r="F3494">
        <v>801011</v>
      </c>
      <c r="G3494" s="1">
        <v>-151.66</v>
      </c>
      <c r="H3494" t="s">
        <v>3892</v>
      </c>
      <c r="J3494" s="18" t="s">
        <v>4327</v>
      </c>
    </row>
    <row r="3495" spans="3:10" x14ac:dyDescent="0.25">
      <c r="C3495" s="17" t="str">
        <f t="shared" si="55"/>
        <v>28.801011.-193964.10399..CLEAR SCHEDULE.</v>
      </c>
      <c r="E3495">
        <v>28</v>
      </c>
      <c r="F3495">
        <v>801011</v>
      </c>
      <c r="G3495" s="2">
        <v>-1939.64</v>
      </c>
      <c r="H3495" t="s">
        <v>3893</v>
      </c>
      <c r="J3495" s="18" t="s">
        <v>4327</v>
      </c>
    </row>
    <row r="3496" spans="3:10" x14ac:dyDescent="0.25">
      <c r="C3496" s="17" t="str">
        <f t="shared" si="55"/>
        <v>28.801011.-72226.10400..CLEAR SCHEDULE.</v>
      </c>
      <c r="E3496">
        <v>28</v>
      </c>
      <c r="F3496">
        <v>801011</v>
      </c>
      <c r="G3496" s="1">
        <v>-722.26</v>
      </c>
      <c r="H3496" t="s">
        <v>3894</v>
      </c>
      <c r="J3496" s="18" t="s">
        <v>4327</v>
      </c>
    </row>
    <row r="3497" spans="3:10" x14ac:dyDescent="0.25">
      <c r="C3497" s="17" t="str">
        <f t="shared" si="55"/>
        <v>28.801011.-30976.10401..CLEAR SCHEDULE.</v>
      </c>
      <c r="E3497">
        <v>28</v>
      </c>
      <c r="F3497">
        <v>801011</v>
      </c>
      <c r="G3497" s="2">
        <v>-309.76</v>
      </c>
      <c r="H3497" t="s">
        <v>3895</v>
      </c>
      <c r="J3497" s="18" t="s">
        <v>4327</v>
      </c>
    </row>
    <row r="3498" spans="3:10" x14ac:dyDescent="0.25">
      <c r="C3498" s="17" t="str">
        <f t="shared" si="55"/>
        <v>28.801011.-5798.10402..CLEAR SCHEDULE.</v>
      </c>
      <c r="E3498">
        <v>28</v>
      </c>
      <c r="F3498">
        <v>801011</v>
      </c>
      <c r="G3498" s="1">
        <v>-57.98</v>
      </c>
      <c r="H3498" t="s">
        <v>3896</v>
      </c>
      <c r="J3498" s="18" t="s">
        <v>4327</v>
      </c>
    </row>
    <row r="3499" spans="3:10" x14ac:dyDescent="0.25">
      <c r="C3499" s="17" t="str">
        <f t="shared" si="55"/>
        <v>28.801011.-19742.10403..CLEAR SCHEDULE.</v>
      </c>
      <c r="E3499">
        <v>28</v>
      </c>
      <c r="F3499">
        <v>801011</v>
      </c>
      <c r="G3499" s="2">
        <v>-197.42</v>
      </c>
      <c r="H3499" t="s">
        <v>3897</v>
      </c>
      <c r="J3499" s="18" t="s">
        <v>4327</v>
      </c>
    </row>
    <row r="3500" spans="3:10" x14ac:dyDescent="0.25">
      <c r="C3500" s="17" t="str">
        <f t="shared" si="55"/>
        <v>28.801011.-7828.10408..CLEAR SCHEDULE.</v>
      </c>
      <c r="E3500">
        <v>28</v>
      </c>
      <c r="F3500">
        <v>801011</v>
      </c>
      <c r="G3500" s="1">
        <v>-78.28</v>
      </c>
      <c r="H3500" t="s">
        <v>3898</v>
      </c>
      <c r="J3500" s="18" t="s">
        <v>4327</v>
      </c>
    </row>
    <row r="3501" spans="3:10" x14ac:dyDescent="0.25">
      <c r="C3501" s="17" t="str">
        <f t="shared" si="55"/>
        <v>28.801011.-57433.10409..CLEAR SCHEDULE.</v>
      </c>
      <c r="E3501">
        <v>28</v>
      </c>
      <c r="F3501">
        <v>801011</v>
      </c>
      <c r="G3501" s="2">
        <v>-574.33000000000004</v>
      </c>
      <c r="H3501" t="s">
        <v>3899</v>
      </c>
      <c r="J3501" s="18" t="s">
        <v>4327</v>
      </c>
    </row>
    <row r="3502" spans="3:10" x14ac:dyDescent="0.25">
      <c r="C3502" s="17" t="str">
        <f t="shared" si="55"/>
        <v>28.801011.-9751.10410..CLEAR SCHEDULE.</v>
      </c>
      <c r="E3502">
        <v>28</v>
      </c>
      <c r="F3502">
        <v>801011</v>
      </c>
      <c r="G3502" s="1">
        <v>-97.51</v>
      </c>
      <c r="H3502" t="s">
        <v>3900</v>
      </c>
      <c r="J3502" s="18" t="s">
        <v>4327</v>
      </c>
    </row>
    <row r="3503" spans="3:10" x14ac:dyDescent="0.25">
      <c r="C3503" s="17" t="str">
        <f t="shared" si="55"/>
        <v>28.801011.-15498.10412..CLEAR SCHEDULE.</v>
      </c>
      <c r="E3503">
        <v>28</v>
      </c>
      <c r="F3503">
        <v>801011</v>
      </c>
      <c r="G3503" s="2">
        <v>-154.97999999999999</v>
      </c>
      <c r="H3503" t="s">
        <v>3901</v>
      </c>
      <c r="J3503" s="18" t="s">
        <v>4327</v>
      </c>
    </row>
    <row r="3504" spans="3:10" x14ac:dyDescent="0.25">
      <c r="C3504" s="17" t="str">
        <f t="shared" si="55"/>
        <v>28.801011.-14387.10413..CLEAR SCHEDULE.</v>
      </c>
      <c r="E3504">
        <v>28</v>
      </c>
      <c r="F3504">
        <v>801011</v>
      </c>
      <c r="G3504" s="1">
        <v>-143.87</v>
      </c>
      <c r="H3504" t="s">
        <v>3902</v>
      </c>
      <c r="J3504" s="18" t="s">
        <v>4327</v>
      </c>
    </row>
    <row r="3505" spans="3:10" x14ac:dyDescent="0.25">
      <c r="C3505" s="17" t="str">
        <f t="shared" si="55"/>
        <v>28.801011.-140717.10415..CLEAR SCHEDULE.</v>
      </c>
      <c r="E3505">
        <v>28</v>
      </c>
      <c r="F3505">
        <v>801011</v>
      </c>
      <c r="G3505" s="2">
        <v>-1407.17</v>
      </c>
      <c r="H3505" t="s">
        <v>3903</v>
      </c>
      <c r="J3505" s="18" t="s">
        <v>4327</v>
      </c>
    </row>
    <row r="3506" spans="3:10" x14ac:dyDescent="0.25">
      <c r="C3506" s="17" t="str">
        <f t="shared" si="55"/>
        <v>28.801011.-93657.10416..CLEAR SCHEDULE.</v>
      </c>
      <c r="E3506">
        <v>28</v>
      </c>
      <c r="F3506">
        <v>801011</v>
      </c>
      <c r="G3506" s="1">
        <v>-936.57</v>
      </c>
      <c r="H3506" t="s">
        <v>3904</v>
      </c>
      <c r="J3506" s="18" t="s">
        <v>4327</v>
      </c>
    </row>
    <row r="3507" spans="3:10" x14ac:dyDescent="0.25">
      <c r="C3507" s="17" t="str">
        <f t="shared" si="55"/>
        <v>28.801011.-15945.10417..CLEAR SCHEDULE.</v>
      </c>
      <c r="E3507">
        <v>28</v>
      </c>
      <c r="F3507">
        <v>801011</v>
      </c>
      <c r="G3507" s="2">
        <v>-159.44999999999999</v>
      </c>
      <c r="H3507" t="s">
        <v>3905</v>
      </c>
      <c r="J3507" s="18" t="s">
        <v>4327</v>
      </c>
    </row>
    <row r="3508" spans="3:10" x14ac:dyDescent="0.25">
      <c r="C3508" s="17" t="str">
        <f t="shared" si="55"/>
        <v>28.801011.-14129.10418..CLEAR SCHEDULE.</v>
      </c>
      <c r="E3508">
        <v>28</v>
      </c>
      <c r="F3508">
        <v>801011</v>
      </c>
      <c r="G3508" s="1">
        <v>-141.29</v>
      </c>
      <c r="H3508" t="s">
        <v>3906</v>
      </c>
      <c r="J3508" s="18" t="s">
        <v>4327</v>
      </c>
    </row>
    <row r="3509" spans="3:10" x14ac:dyDescent="0.25">
      <c r="C3509" s="17" t="str">
        <f t="shared" si="55"/>
        <v>28.801011.-22729.10420..CLEAR SCHEDULE.</v>
      </c>
      <c r="E3509">
        <v>28</v>
      </c>
      <c r="F3509">
        <v>801011</v>
      </c>
      <c r="G3509" s="2">
        <v>-227.29</v>
      </c>
      <c r="H3509" t="s">
        <v>3907</v>
      </c>
      <c r="J3509" s="18" t="s">
        <v>4327</v>
      </c>
    </row>
    <row r="3510" spans="3:10" x14ac:dyDescent="0.25">
      <c r="C3510" s="17" t="str">
        <f t="shared" si="55"/>
        <v>28.801011.-9751.10422..CLEAR SCHEDULE.</v>
      </c>
      <c r="E3510">
        <v>28</v>
      </c>
      <c r="F3510">
        <v>801011</v>
      </c>
      <c r="G3510" s="1">
        <v>-97.51</v>
      </c>
      <c r="H3510" t="s">
        <v>3908</v>
      </c>
      <c r="J3510" s="18" t="s">
        <v>4327</v>
      </c>
    </row>
    <row r="3511" spans="3:10" x14ac:dyDescent="0.25">
      <c r="C3511" s="17" t="str">
        <f t="shared" si="55"/>
        <v>28.801011.-5415.10429..CLEAR SCHEDULE.</v>
      </c>
      <c r="E3511">
        <v>28</v>
      </c>
      <c r="F3511">
        <v>801011</v>
      </c>
      <c r="G3511" s="2">
        <v>-54.15</v>
      </c>
      <c r="H3511" t="s">
        <v>3909</v>
      </c>
      <c r="J3511" s="18" t="s">
        <v>4327</v>
      </c>
    </row>
    <row r="3512" spans="3:10" x14ac:dyDescent="0.25">
      <c r="C3512" s="17" t="str">
        <f t="shared" si="55"/>
        <v>28.801011.-14872.10432..CLEAR SCHEDULE.</v>
      </c>
      <c r="E3512">
        <v>28</v>
      </c>
      <c r="F3512">
        <v>801011</v>
      </c>
      <c r="G3512" s="1">
        <v>-148.72</v>
      </c>
      <c r="H3512" t="s">
        <v>3910</v>
      </c>
      <c r="J3512" s="18" t="s">
        <v>4327</v>
      </c>
    </row>
    <row r="3513" spans="3:10" x14ac:dyDescent="0.25">
      <c r="C3513" s="17" t="str">
        <f t="shared" si="55"/>
        <v>28.801011.-12590.10434..CLEAR SCHEDULE.</v>
      </c>
      <c r="E3513">
        <v>28</v>
      </c>
      <c r="F3513">
        <v>801011</v>
      </c>
      <c r="G3513" s="2">
        <v>-125.9</v>
      </c>
      <c r="H3513" t="s">
        <v>3911</v>
      </c>
      <c r="J3513" s="18" t="s">
        <v>4327</v>
      </c>
    </row>
    <row r="3514" spans="3:10" x14ac:dyDescent="0.25">
      <c r="C3514" s="17" t="str">
        <f t="shared" si="55"/>
        <v>28.801011.-25338.10436..CLEAR SCHEDULE.</v>
      </c>
      <c r="E3514">
        <v>28</v>
      </c>
      <c r="F3514">
        <v>801011</v>
      </c>
      <c r="G3514" s="1">
        <v>-253.38</v>
      </c>
      <c r="H3514" t="s">
        <v>3912</v>
      </c>
      <c r="J3514" s="18" t="s">
        <v>4327</v>
      </c>
    </row>
    <row r="3515" spans="3:10" x14ac:dyDescent="0.25">
      <c r="C3515" s="17" t="str">
        <f t="shared" si="55"/>
        <v>28.801011.-15166.10437..CLEAR SCHEDULE.</v>
      </c>
      <c r="E3515">
        <v>28</v>
      </c>
      <c r="F3515">
        <v>801011</v>
      </c>
      <c r="G3515" s="2">
        <v>-151.66</v>
      </c>
      <c r="H3515" t="s">
        <v>3913</v>
      </c>
      <c r="J3515" s="18" t="s">
        <v>4327</v>
      </c>
    </row>
    <row r="3516" spans="3:10" x14ac:dyDescent="0.25">
      <c r="C3516" s="17" t="str">
        <f t="shared" si="55"/>
        <v>28.801011.-181686.10438..CLEAR SCHEDULE.</v>
      </c>
      <c r="E3516">
        <v>28</v>
      </c>
      <c r="F3516">
        <v>801011</v>
      </c>
      <c r="G3516" s="1">
        <v>-1816.86</v>
      </c>
      <c r="H3516" t="s">
        <v>3914</v>
      </c>
      <c r="J3516" s="18" t="s">
        <v>4327</v>
      </c>
    </row>
    <row r="3517" spans="3:10" x14ac:dyDescent="0.25">
      <c r="C3517" s="17" t="str">
        <f t="shared" si="55"/>
        <v>28.801011.-9751.10439..CLEAR SCHEDULE.</v>
      </c>
      <c r="E3517">
        <v>28</v>
      </c>
      <c r="F3517">
        <v>801011</v>
      </c>
      <c r="G3517" s="2">
        <v>-97.51</v>
      </c>
      <c r="H3517" t="s">
        <v>3915</v>
      </c>
      <c r="J3517" s="18" t="s">
        <v>4327</v>
      </c>
    </row>
    <row r="3518" spans="3:10" x14ac:dyDescent="0.25">
      <c r="C3518" s="17" t="str">
        <f t="shared" si="55"/>
        <v>28.801011.-9751.10440..CLEAR SCHEDULE.</v>
      </c>
      <c r="E3518">
        <v>28</v>
      </c>
      <c r="F3518">
        <v>801011</v>
      </c>
      <c r="G3518" s="1">
        <v>-97.51</v>
      </c>
      <c r="H3518" t="s">
        <v>3916</v>
      </c>
      <c r="J3518" s="18" t="s">
        <v>4327</v>
      </c>
    </row>
    <row r="3519" spans="3:10" x14ac:dyDescent="0.25">
      <c r="C3519" s="17" t="str">
        <f t="shared" si="55"/>
        <v>28.801011.-5415.10441..CLEAR SCHEDULE.</v>
      </c>
      <c r="E3519">
        <v>28</v>
      </c>
      <c r="F3519">
        <v>801011</v>
      </c>
      <c r="G3519" s="2">
        <v>-54.15</v>
      </c>
      <c r="H3519" t="s">
        <v>3917</v>
      </c>
      <c r="J3519" s="18" t="s">
        <v>4327</v>
      </c>
    </row>
    <row r="3520" spans="3:10" x14ac:dyDescent="0.25">
      <c r="C3520" s="17" t="str">
        <f t="shared" si="55"/>
        <v>28.801011.-8972.10442..CLEAR SCHEDULE.</v>
      </c>
      <c r="E3520">
        <v>28</v>
      </c>
      <c r="F3520">
        <v>801011</v>
      </c>
      <c r="G3520" s="1">
        <v>-89.72</v>
      </c>
      <c r="H3520" t="s">
        <v>3918</v>
      </c>
      <c r="J3520" s="18" t="s">
        <v>4327</v>
      </c>
    </row>
    <row r="3521" spans="3:10" x14ac:dyDescent="0.25">
      <c r="C3521" s="17" t="str">
        <f t="shared" si="55"/>
        <v>28.801011.-53317.10443..CLEAR SCHEDULE.</v>
      </c>
      <c r="E3521">
        <v>28</v>
      </c>
      <c r="F3521">
        <v>801011</v>
      </c>
      <c r="G3521" s="2">
        <v>-533.16999999999996</v>
      </c>
      <c r="H3521" t="s">
        <v>3919</v>
      </c>
      <c r="J3521" s="18" t="s">
        <v>4327</v>
      </c>
    </row>
    <row r="3522" spans="3:10" x14ac:dyDescent="0.25">
      <c r="C3522" s="17" t="str">
        <f t="shared" si="55"/>
        <v>28.801011.-14387.10447..CLEAR SCHEDULE.</v>
      </c>
      <c r="E3522">
        <v>28</v>
      </c>
      <c r="F3522">
        <v>801011</v>
      </c>
      <c r="G3522" s="1">
        <v>-143.87</v>
      </c>
      <c r="H3522" t="s">
        <v>3920</v>
      </c>
      <c r="J3522" s="18" t="s">
        <v>4327</v>
      </c>
    </row>
    <row r="3523" spans="3:10" x14ac:dyDescent="0.25">
      <c r="C3523" s="17" t="str">
        <f t="shared" si="55"/>
        <v>28.801011.-14387.10449..CLEAR SCHEDULE.</v>
      </c>
      <c r="E3523">
        <v>28</v>
      </c>
      <c r="F3523">
        <v>801011</v>
      </c>
      <c r="G3523" s="2">
        <v>-143.87</v>
      </c>
      <c r="H3523" t="s">
        <v>3921</v>
      </c>
      <c r="J3523" s="18" t="s">
        <v>4327</v>
      </c>
    </row>
    <row r="3524" spans="3:10" x14ac:dyDescent="0.25">
      <c r="C3524" s="17" t="str">
        <f t="shared" si="55"/>
        <v>28.801011.-74297.10451..CLEAR SCHEDULE.</v>
      </c>
      <c r="E3524">
        <v>28</v>
      </c>
      <c r="F3524">
        <v>801011</v>
      </c>
      <c r="G3524" s="1">
        <v>-742.97</v>
      </c>
      <c r="H3524" t="s">
        <v>3922</v>
      </c>
      <c r="J3524" s="18" t="s">
        <v>4327</v>
      </c>
    </row>
    <row r="3525" spans="3:10" x14ac:dyDescent="0.25">
      <c r="C3525" s="17" t="str">
        <f t="shared" si="55"/>
        <v>28.801011.-8523.10452..CLEAR SCHEDULE.</v>
      </c>
      <c r="E3525">
        <v>28</v>
      </c>
      <c r="F3525">
        <v>801011</v>
      </c>
      <c r="G3525" s="2">
        <v>-85.23</v>
      </c>
      <c r="H3525" t="s">
        <v>3923</v>
      </c>
      <c r="J3525" s="18" t="s">
        <v>4327</v>
      </c>
    </row>
    <row r="3526" spans="3:10" x14ac:dyDescent="0.25">
      <c r="C3526" s="17" t="str">
        <f t="shared" si="55"/>
        <v>28.801011.-86692.10453..CLEAR SCHEDULE.</v>
      </c>
      <c r="E3526">
        <v>28</v>
      </c>
      <c r="F3526">
        <v>801011</v>
      </c>
      <c r="G3526" s="1">
        <v>-866.92</v>
      </c>
      <c r="H3526" t="s">
        <v>3924</v>
      </c>
      <c r="J3526" s="18" t="s">
        <v>4327</v>
      </c>
    </row>
    <row r="3527" spans="3:10" x14ac:dyDescent="0.25">
      <c r="C3527" s="17" t="str">
        <f t="shared" si="55"/>
        <v>28.801011.-15166.10465..CLEAR SCHEDULE.</v>
      </c>
      <c r="E3527">
        <v>28</v>
      </c>
      <c r="F3527">
        <v>801011</v>
      </c>
      <c r="G3527" s="2">
        <v>-151.66</v>
      </c>
      <c r="H3527" t="s">
        <v>3925</v>
      </c>
      <c r="J3527" s="18" t="s">
        <v>4327</v>
      </c>
    </row>
    <row r="3528" spans="3:10" x14ac:dyDescent="0.25">
      <c r="C3528" s="17" t="str">
        <f t="shared" si="55"/>
        <v>28.801011.-5415.10467..CLEAR SCHEDULE.</v>
      </c>
      <c r="E3528">
        <v>28</v>
      </c>
      <c r="F3528">
        <v>801011</v>
      </c>
      <c r="G3528" s="1">
        <v>-54.15</v>
      </c>
      <c r="H3528" t="s">
        <v>3926</v>
      </c>
      <c r="J3528" s="18" t="s">
        <v>4327</v>
      </c>
    </row>
    <row r="3529" spans="3:10" x14ac:dyDescent="0.25">
      <c r="C3529" s="17" t="str">
        <f t="shared" si="55"/>
        <v>28.801011.-14387.10470..CLEAR SCHEDULE.</v>
      </c>
      <c r="E3529">
        <v>28</v>
      </c>
      <c r="F3529">
        <v>801011</v>
      </c>
      <c r="G3529" s="2">
        <v>-143.87</v>
      </c>
      <c r="H3529" t="s">
        <v>3927</v>
      </c>
      <c r="J3529" s="18" t="s">
        <v>4327</v>
      </c>
    </row>
    <row r="3530" spans="3:10" x14ac:dyDescent="0.25">
      <c r="C3530" s="17" t="str">
        <f t="shared" si="55"/>
        <v>28.801011.-12576.10471..CLEAR SCHEDULE.</v>
      </c>
      <c r="E3530">
        <v>28</v>
      </c>
      <c r="F3530">
        <v>801011</v>
      </c>
      <c r="G3530" s="1">
        <v>-125.76</v>
      </c>
      <c r="H3530" t="s">
        <v>3928</v>
      </c>
      <c r="J3530" s="18" t="s">
        <v>4327</v>
      </c>
    </row>
    <row r="3531" spans="3:10" x14ac:dyDescent="0.25">
      <c r="C3531" s="17" t="str">
        <f t="shared" ref="C3531:C3594" si="56">IF(G3531=0,"",(E3531&amp;"."&amp;F3531&amp;"."&amp;G3531*100&amp;"."&amp;H3531&amp;"."&amp;I3531&amp;"."&amp;J3531&amp;"."&amp;K3531))</f>
        <v>28.801011.-29384.10472..CLEAR SCHEDULE.</v>
      </c>
      <c r="E3531">
        <v>28</v>
      </c>
      <c r="F3531">
        <v>801011</v>
      </c>
      <c r="G3531" s="2">
        <v>-293.83999999999997</v>
      </c>
      <c r="H3531" t="s">
        <v>3929</v>
      </c>
      <c r="J3531" s="18" t="s">
        <v>4327</v>
      </c>
    </row>
    <row r="3532" spans="3:10" x14ac:dyDescent="0.25">
      <c r="C3532" s="17" t="str">
        <f t="shared" si="56"/>
        <v>28.801011.-10530.10477..CLEAR SCHEDULE.</v>
      </c>
      <c r="E3532">
        <v>28</v>
      </c>
      <c r="F3532">
        <v>801011</v>
      </c>
      <c r="G3532" s="1">
        <v>-105.3</v>
      </c>
      <c r="H3532" t="s">
        <v>3930</v>
      </c>
      <c r="J3532" s="18" t="s">
        <v>4327</v>
      </c>
    </row>
    <row r="3533" spans="3:10" x14ac:dyDescent="0.25">
      <c r="C3533" s="17" t="str">
        <f t="shared" si="56"/>
        <v>28.801011.-17237.10481..CLEAR SCHEDULE.</v>
      </c>
      <c r="E3533">
        <v>28</v>
      </c>
      <c r="F3533">
        <v>801011</v>
      </c>
      <c r="G3533" s="2">
        <v>-172.37</v>
      </c>
      <c r="H3533" t="s">
        <v>3931</v>
      </c>
      <c r="J3533" s="18" t="s">
        <v>4327</v>
      </c>
    </row>
    <row r="3534" spans="3:10" x14ac:dyDescent="0.25">
      <c r="C3534" s="17" t="str">
        <f t="shared" si="56"/>
        <v>28.801011.-11971.10482..CLEAR SCHEDULE.</v>
      </c>
      <c r="E3534">
        <v>28</v>
      </c>
      <c r="F3534">
        <v>801011</v>
      </c>
      <c r="G3534" s="1">
        <v>-119.71</v>
      </c>
      <c r="H3534" t="s">
        <v>3932</v>
      </c>
      <c r="J3534" s="18" t="s">
        <v>4327</v>
      </c>
    </row>
    <row r="3535" spans="3:10" x14ac:dyDescent="0.25">
      <c r="C3535" s="17" t="str">
        <f t="shared" si="56"/>
        <v>28.801011.-39742.10483..CLEAR SCHEDULE.</v>
      </c>
      <c r="E3535">
        <v>28</v>
      </c>
      <c r="F3535">
        <v>801011</v>
      </c>
      <c r="G3535" s="2">
        <v>-397.42</v>
      </c>
      <c r="H3535" t="s">
        <v>3933</v>
      </c>
      <c r="J3535" s="18" t="s">
        <v>4327</v>
      </c>
    </row>
    <row r="3536" spans="3:10" x14ac:dyDescent="0.25">
      <c r="C3536" s="17" t="str">
        <f t="shared" si="56"/>
        <v>28.801011.-43108.10486..CLEAR SCHEDULE.</v>
      </c>
      <c r="E3536">
        <v>28</v>
      </c>
      <c r="F3536">
        <v>801011</v>
      </c>
      <c r="G3536" s="1">
        <v>-431.08</v>
      </c>
      <c r="H3536" t="s">
        <v>3934</v>
      </c>
      <c r="J3536" s="18" t="s">
        <v>4327</v>
      </c>
    </row>
    <row r="3537" spans="3:10" x14ac:dyDescent="0.25">
      <c r="C3537" s="17" t="str">
        <f t="shared" si="56"/>
        <v>28.801011.-302786.10492..CLEAR SCHEDULE.</v>
      </c>
      <c r="E3537">
        <v>28</v>
      </c>
      <c r="F3537">
        <v>801011</v>
      </c>
      <c r="G3537" s="2">
        <v>-3027.86</v>
      </c>
      <c r="H3537" t="s">
        <v>3935</v>
      </c>
      <c r="J3537" s="18" t="s">
        <v>4327</v>
      </c>
    </row>
    <row r="3538" spans="3:10" x14ac:dyDescent="0.25">
      <c r="C3538" s="17" t="str">
        <f t="shared" si="56"/>
        <v>28.801011.-15166.10493..CLEAR SCHEDULE.</v>
      </c>
      <c r="E3538">
        <v>28</v>
      </c>
      <c r="F3538">
        <v>801011</v>
      </c>
      <c r="G3538" s="1">
        <v>-151.66</v>
      </c>
      <c r="H3538" t="s">
        <v>3936</v>
      </c>
      <c r="J3538" s="18" t="s">
        <v>4327</v>
      </c>
    </row>
    <row r="3539" spans="3:10" x14ac:dyDescent="0.25">
      <c r="C3539" s="17" t="str">
        <f t="shared" si="56"/>
        <v>28.801011.-22465.10495..CLEAR SCHEDULE.</v>
      </c>
      <c r="E3539">
        <v>28</v>
      </c>
      <c r="F3539">
        <v>801011</v>
      </c>
      <c r="G3539" s="2">
        <v>-224.65</v>
      </c>
      <c r="H3539" t="s">
        <v>3937</v>
      </c>
      <c r="J3539" s="18" t="s">
        <v>4327</v>
      </c>
    </row>
    <row r="3540" spans="3:10" x14ac:dyDescent="0.25">
      <c r="C3540" s="17" t="str">
        <f t="shared" si="56"/>
        <v>28.801011.-16724.10496..CLEAR SCHEDULE.</v>
      </c>
      <c r="E3540">
        <v>28</v>
      </c>
      <c r="F3540">
        <v>801011</v>
      </c>
      <c r="G3540" s="1">
        <v>-167.24</v>
      </c>
      <c r="H3540" t="s">
        <v>3938</v>
      </c>
      <c r="J3540" s="18" t="s">
        <v>4327</v>
      </c>
    </row>
    <row r="3541" spans="3:10" x14ac:dyDescent="0.25">
      <c r="C3541" s="17" t="str">
        <f t="shared" si="56"/>
        <v>28.801011.-15945.10497..CLEAR SCHEDULE.</v>
      </c>
      <c r="E3541">
        <v>28</v>
      </c>
      <c r="F3541">
        <v>801011</v>
      </c>
      <c r="G3541" s="2">
        <v>-159.44999999999999</v>
      </c>
      <c r="H3541" t="s">
        <v>3939</v>
      </c>
      <c r="J3541" s="18" t="s">
        <v>4327</v>
      </c>
    </row>
    <row r="3542" spans="3:10" x14ac:dyDescent="0.25">
      <c r="C3542" s="17" t="str">
        <f t="shared" si="56"/>
        <v>28.801011.-34129.10499..CLEAR SCHEDULE.</v>
      </c>
      <c r="E3542">
        <v>28</v>
      </c>
      <c r="F3542">
        <v>801011</v>
      </c>
      <c r="G3542" s="1">
        <v>-341.29</v>
      </c>
      <c r="H3542" t="s">
        <v>3940</v>
      </c>
      <c r="J3542" s="18" t="s">
        <v>4327</v>
      </c>
    </row>
    <row r="3543" spans="3:10" x14ac:dyDescent="0.25">
      <c r="C3543" s="17" t="str">
        <f t="shared" si="56"/>
        <v>28.801011.-37938.10501..CLEAR SCHEDULE.</v>
      </c>
      <c r="E3543">
        <v>28</v>
      </c>
      <c r="F3543">
        <v>801011</v>
      </c>
      <c r="G3543" s="2">
        <v>-379.38</v>
      </c>
      <c r="H3543" t="s">
        <v>3941</v>
      </c>
      <c r="J3543" s="18" t="s">
        <v>4327</v>
      </c>
    </row>
    <row r="3544" spans="3:10" x14ac:dyDescent="0.25">
      <c r="C3544" s="17" t="str">
        <f t="shared" si="56"/>
        <v>28.801011.-15005.10503..CLEAR SCHEDULE.</v>
      </c>
      <c r="E3544">
        <v>28</v>
      </c>
      <c r="F3544">
        <v>801011</v>
      </c>
      <c r="G3544" s="1">
        <v>-150.05000000000001</v>
      </c>
      <c r="H3544" t="s">
        <v>3942</v>
      </c>
      <c r="J3544" s="18" t="s">
        <v>4327</v>
      </c>
    </row>
    <row r="3545" spans="3:10" x14ac:dyDescent="0.25">
      <c r="C3545" s="17" t="str">
        <f t="shared" si="56"/>
        <v>28.801011.-32389.10504..CLEAR SCHEDULE.</v>
      </c>
      <c r="E3545">
        <v>28</v>
      </c>
      <c r="F3545">
        <v>801011</v>
      </c>
      <c r="G3545" s="2">
        <v>-323.89</v>
      </c>
      <c r="H3545" t="s">
        <v>3943</v>
      </c>
      <c r="J3545" s="18" t="s">
        <v>4327</v>
      </c>
    </row>
    <row r="3546" spans="3:10" x14ac:dyDescent="0.25">
      <c r="C3546" s="17" t="str">
        <f t="shared" si="56"/>
        <v>28.801011.-166201.10507..CLEAR SCHEDULE.</v>
      </c>
      <c r="E3546">
        <v>28</v>
      </c>
      <c r="F3546">
        <v>801011</v>
      </c>
      <c r="G3546" s="1">
        <v>-1662.01</v>
      </c>
      <c r="H3546" t="s">
        <v>3944</v>
      </c>
      <c r="J3546" s="18" t="s">
        <v>4327</v>
      </c>
    </row>
    <row r="3547" spans="3:10" x14ac:dyDescent="0.25">
      <c r="C3547" s="17" t="str">
        <f t="shared" si="56"/>
        <v>28.801011.-81932.10508..CLEAR SCHEDULE.</v>
      </c>
      <c r="E3547">
        <v>28</v>
      </c>
      <c r="F3547">
        <v>801011</v>
      </c>
      <c r="G3547" s="2">
        <v>-819.32</v>
      </c>
      <c r="H3547" t="s">
        <v>3945</v>
      </c>
      <c r="J3547" s="18" t="s">
        <v>4327</v>
      </c>
    </row>
    <row r="3548" spans="3:10" x14ac:dyDescent="0.25">
      <c r="C3548" s="17" t="str">
        <f t="shared" si="56"/>
        <v>28.801011.-4244.10510..CLEAR SCHEDULE.</v>
      </c>
      <c r="E3548">
        <v>28</v>
      </c>
      <c r="F3548">
        <v>801011</v>
      </c>
      <c r="G3548" s="1">
        <v>-42.44</v>
      </c>
      <c r="H3548" t="s">
        <v>3946</v>
      </c>
      <c r="J3548" s="18" t="s">
        <v>4327</v>
      </c>
    </row>
    <row r="3549" spans="3:10" x14ac:dyDescent="0.25">
      <c r="C3549" s="17" t="str">
        <f t="shared" si="56"/>
        <v>28.801011.-10000.10514..CLEAR SCHEDULE.</v>
      </c>
      <c r="E3549">
        <v>28</v>
      </c>
      <c r="F3549">
        <v>801011</v>
      </c>
      <c r="G3549" s="2">
        <v>-100</v>
      </c>
      <c r="H3549" t="s">
        <v>3947</v>
      </c>
      <c r="J3549" s="18" t="s">
        <v>4327</v>
      </c>
    </row>
    <row r="3550" spans="3:10" x14ac:dyDescent="0.25">
      <c r="C3550" s="17" t="str">
        <f t="shared" si="56"/>
        <v>28.801011.-121189.10515..CLEAR SCHEDULE.</v>
      </c>
      <c r="E3550">
        <v>28</v>
      </c>
      <c r="F3550">
        <v>801011</v>
      </c>
      <c r="G3550" s="1">
        <v>-1211.8900000000001</v>
      </c>
      <c r="H3550" t="s">
        <v>3948</v>
      </c>
      <c r="J3550" s="18" t="s">
        <v>4327</v>
      </c>
    </row>
    <row r="3551" spans="3:10" x14ac:dyDescent="0.25">
      <c r="C3551" s="17" t="str">
        <f t="shared" si="56"/>
        <v>28.801011.-23366.10516..CLEAR SCHEDULE.</v>
      </c>
      <c r="E3551">
        <v>28</v>
      </c>
      <c r="F3551">
        <v>801011</v>
      </c>
      <c r="G3551" s="2">
        <v>-233.66</v>
      </c>
      <c r="H3551" t="s">
        <v>3949</v>
      </c>
      <c r="J3551" s="18" t="s">
        <v>4327</v>
      </c>
    </row>
    <row r="3552" spans="3:10" x14ac:dyDescent="0.25">
      <c r="C3552" s="17" t="str">
        <f t="shared" si="56"/>
        <v>28.801011.-13668.10518..CLEAR SCHEDULE.</v>
      </c>
      <c r="E3552">
        <v>28</v>
      </c>
      <c r="F3552">
        <v>801011</v>
      </c>
      <c r="G3552" s="1">
        <v>-136.68</v>
      </c>
      <c r="H3552" t="s">
        <v>3950</v>
      </c>
      <c r="J3552" s="18" t="s">
        <v>4327</v>
      </c>
    </row>
    <row r="3553" spans="3:10" x14ac:dyDescent="0.25">
      <c r="C3553" s="17" t="str">
        <f t="shared" si="56"/>
        <v>28.801011.-23976.10523..CLEAR SCHEDULE.</v>
      </c>
      <c r="E3553">
        <v>28</v>
      </c>
      <c r="F3553">
        <v>801011</v>
      </c>
      <c r="G3553" s="2">
        <v>-239.76</v>
      </c>
      <c r="H3553" t="s">
        <v>3951</v>
      </c>
      <c r="J3553" s="18" t="s">
        <v>4327</v>
      </c>
    </row>
    <row r="3554" spans="3:10" x14ac:dyDescent="0.25">
      <c r="C3554" s="17" t="str">
        <f t="shared" si="56"/>
        <v>28.801011.-67769.10525..CLEAR SCHEDULE.</v>
      </c>
      <c r="E3554">
        <v>28</v>
      </c>
      <c r="F3554">
        <v>801011</v>
      </c>
      <c r="G3554" s="1">
        <v>-677.69</v>
      </c>
      <c r="H3554" t="s">
        <v>3952</v>
      </c>
      <c r="J3554" s="18" t="s">
        <v>4327</v>
      </c>
    </row>
    <row r="3555" spans="3:10" x14ac:dyDescent="0.25">
      <c r="C3555" s="17" t="str">
        <f t="shared" si="56"/>
        <v>28.801011.-9751.10527..CLEAR SCHEDULE.</v>
      </c>
      <c r="E3555">
        <v>28</v>
      </c>
      <c r="F3555">
        <v>801011</v>
      </c>
      <c r="G3555" s="2">
        <v>-97.51</v>
      </c>
      <c r="H3555" t="s">
        <v>3953</v>
      </c>
      <c r="J3555" s="18" t="s">
        <v>4327</v>
      </c>
    </row>
    <row r="3556" spans="3:10" x14ac:dyDescent="0.25">
      <c r="C3556" s="17" t="str">
        <f t="shared" si="56"/>
        <v>28.801011.-13993.10528..CLEAR SCHEDULE.</v>
      </c>
      <c r="E3556">
        <v>28</v>
      </c>
      <c r="F3556">
        <v>801011</v>
      </c>
      <c r="G3556" s="1">
        <v>-139.93</v>
      </c>
      <c r="H3556" t="s">
        <v>3954</v>
      </c>
      <c r="J3556" s="18" t="s">
        <v>4327</v>
      </c>
    </row>
    <row r="3557" spans="3:10" x14ac:dyDescent="0.25">
      <c r="C3557" s="17" t="str">
        <f t="shared" si="56"/>
        <v>28.801011.-58680.10529..CLEAR SCHEDULE.</v>
      </c>
      <c r="E3557">
        <v>28</v>
      </c>
      <c r="F3557">
        <v>801011</v>
      </c>
      <c r="G3557" s="2">
        <v>-586.79999999999995</v>
      </c>
      <c r="H3557" t="s">
        <v>3955</v>
      </c>
      <c r="J3557" s="18" t="s">
        <v>4327</v>
      </c>
    </row>
    <row r="3558" spans="3:10" x14ac:dyDescent="0.25">
      <c r="C3558" s="17" t="str">
        <f t="shared" si="56"/>
        <v>28.801011.-10530.10531..CLEAR SCHEDULE.</v>
      </c>
      <c r="E3558">
        <v>28</v>
      </c>
      <c r="F3558">
        <v>801011</v>
      </c>
      <c r="G3558" s="1">
        <v>-105.3</v>
      </c>
      <c r="H3558" t="s">
        <v>3956</v>
      </c>
      <c r="J3558" s="18" t="s">
        <v>4327</v>
      </c>
    </row>
    <row r="3559" spans="3:10" x14ac:dyDescent="0.25">
      <c r="C3559" s="17" t="str">
        <f t="shared" si="56"/>
        <v>28.801011.-19742.10538..CLEAR SCHEDULE.</v>
      </c>
      <c r="E3559">
        <v>28</v>
      </c>
      <c r="F3559">
        <v>801011</v>
      </c>
      <c r="G3559" s="2">
        <v>-197.42</v>
      </c>
      <c r="H3559" t="s">
        <v>3957</v>
      </c>
      <c r="J3559" s="18" t="s">
        <v>4327</v>
      </c>
    </row>
    <row r="3560" spans="3:10" x14ac:dyDescent="0.25">
      <c r="C3560" s="17" t="str">
        <f t="shared" si="56"/>
        <v>28.801011.-26070.10539..CLEAR SCHEDULE.</v>
      </c>
      <c r="E3560">
        <v>28</v>
      </c>
      <c r="F3560">
        <v>801011</v>
      </c>
      <c r="G3560" s="1">
        <v>-260.7</v>
      </c>
      <c r="H3560" t="s">
        <v>3958</v>
      </c>
      <c r="J3560" s="18" t="s">
        <v>4327</v>
      </c>
    </row>
    <row r="3561" spans="3:10" x14ac:dyDescent="0.25">
      <c r="C3561" s="17" t="str">
        <f t="shared" si="56"/>
        <v>28.801011.-35687.10542..CLEAR SCHEDULE.</v>
      </c>
      <c r="E3561">
        <v>28</v>
      </c>
      <c r="F3561">
        <v>801011</v>
      </c>
      <c r="G3561" s="2">
        <v>-356.87</v>
      </c>
      <c r="H3561" t="s">
        <v>3959</v>
      </c>
      <c r="J3561" s="18" t="s">
        <v>4327</v>
      </c>
    </row>
    <row r="3562" spans="3:10" x14ac:dyDescent="0.25">
      <c r="C3562" s="17" t="str">
        <f t="shared" si="56"/>
        <v>28.801011.-13280.10545..CLEAR SCHEDULE.</v>
      </c>
      <c r="E3562">
        <v>28</v>
      </c>
      <c r="F3562">
        <v>801011</v>
      </c>
      <c r="G3562" s="1">
        <v>-132.80000000000001</v>
      </c>
      <c r="H3562" t="s">
        <v>3960</v>
      </c>
      <c r="J3562" s="18" t="s">
        <v>4327</v>
      </c>
    </row>
    <row r="3563" spans="3:10" x14ac:dyDescent="0.25">
      <c r="C3563" s="17" t="str">
        <f t="shared" si="56"/>
        <v>28.801011.-40870.10547..CLEAR SCHEDULE.</v>
      </c>
      <c r="E3563">
        <v>28</v>
      </c>
      <c r="F3563">
        <v>801011</v>
      </c>
      <c r="G3563" s="2">
        <v>-408.7</v>
      </c>
      <c r="H3563" t="s">
        <v>3961</v>
      </c>
      <c r="J3563" s="18" t="s">
        <v>4327</v>
      </c>
    </row>
    <row r="3564" spans="3:10" x14ac:dyDescent="0.25">
      <c r="C3564" s="17" t="str">
        <f t="shared" si="56"/>
        <v>28.801011.-62509.10548..CLEAR SCHEDULE.</v>
      </c>
      <c r="E3564">
        <v>28</v>
      </c>
      <c r="F3564">
        <v>801011</v>
      </c>
      <c r="G3564" s="1">
        <v>-625.09</v>
      </c>
      <c r="H3564" t="s">
        <v>3962</v>
      </c>
      <c r="J3564" s="18" t="s">
        <v>4327</v>
      </c>
    </row>
    <row r="3565" spans="3:10" x14ac:dyDescent="0.25">
      <c r="C3565" s="17" t="str">
        <f t="shared" si="56"/>
        <v>28.801011.-5415.10551..CLEAR SCHEDULE.</v>
      </c>
      <c r="E3565">
        <v>28</v>
      </c>
      <c r="F3565">
        <v>801011</v>
      </c>
      <c r="G3565" s="2">
        <v>-54.15</v>
      </c>
      <c r="H3565" t="s">
        <v>3963</v>
      </c>
      <c r="J3565" s="18" t="s">
        <v>4327</v>
      </c>
    </row>
    <row r="3566" spans="3:10" x14ac:dyDescent="0.25">
      <c r="C3566" s="17" t="str">
        <f t="shared" si="56"/>
        <v>28.801011.-37753.10553..CLEAR SCHEDULE.</v>
      </c>
      <c r="E3566">
        <v>28</v>
      </c>
      <c r="F3566">
        <v>801011</v>
      </c>
      <c r="G3566" s="1">
        <v>-377.53</v>
      </c>
      <c r="H3566" t="s">
        <v>3964</v>
      </c>
      <c r="J3566" s="18" t="s">
        <v>4327</v>
      </c>
    </row>
    <row r="3567" spans="3:10" x14ac:dyDescent="0.25">
      <c r="C3567" s="17" t="str">
        <f t="shared" si="56"/>
        <v>28.801011.-14387.10554..CLEAR SCHEDULE.</v>
      </c>
      <c r="E3567">
        <v>28</v>
      </c>
      <c r="F3567">
        <v>801011</v>
      </c>
      <c r="G3567" s="2">
        <v>-143.87</v>
      </c>
      <c r="H3567" t="s">
        <v>3965</v>
      </c>
      <c r="J3567" s="18" t="s">
        <v>4327</v>
      </c>
    </row>
    <row r="3568" spans="3:10" x14ac:dyDescent="0.25">
      <c r="C3568" s="17" t="str">
        <f t="shared" si="56"/>
        <v>28.801011.-9263.10555..CLEAR SCHEDULE.</v>
      </c>
      <c r="E3568">
        <v>28</v>
      </c>
      <c r="F3568">
        <v>801011</v>
      </c>
      <c r="G3568" s="1">
        <v>-92.63</v>
      </c>
      <c r="H3568" t="s">
        <v>3966</v>
      </c>
      <c r="J3568" s="18" t="s">
        <v>4327</v>
      </c>
    </row>
    <row r="3569" spans="3:10" x14ac:dyDescent="0.25">
      <c r="C3569" s="17" t="str">
        <f t="shared" si="56"/>
        <v>28.801011.-11028.10556..CLEAR SCHEDULE.</v>
      </c>
      <c r="E3569">
        <v>28</v>
      </c>
      <c r="F3569">
        <v>801011</v>
      </c>
      <c r="G3569" s="2">
        <v>-110.28</v>
      </c>
      <c r="H3569" t="s">
        <v>3967</v>
      </c>
      <c r="J3569" s="18" t="s">
        <v>4327</v>
      </c>
    </row>
    <row r="3570" spans="3:10" x14ac:dyDescent="0.25">
      <c r="C3570" s="17" t="str">
        <f t="shared" si="56"/>
        <v>28.801011.-20401.10557..CLEAR SCHEDULE.</v>
      </c>
      <c r="E3570">
        <v>28</v>
      </c>
      <c r="F3570">
        <v>801011</v>
      </c>
      <c r="G3570" s="1">
        <v>-204.01</v>
      </c>
      <c r="H3570" t="s">
        <v>3968</v>
      </c>
      <c r="J3570" s="18" t="s">
        <v>4327</v>
      </c>
    </row>
    <row r="3571" spans="3:10" x14ac:dyDescent="0.25">
      <c r="C3571" s="17" t="str">
        <f t="shared" si="56"/>
        <v>28.801011.-142500.10558..CLEAR SCHEDULE.</v>
      </c>
      <c r="E3571">
        <v>28</v>
      </c>
      <c r="F3571">
        <v>801011</v>
      </c>
      <c r="G3571" s="2">
        <v>-1425</v>
      </c>
      <c r="H3571" t="s">
        <v>3969</v>
      </c>
      <c r="J3571" s="18" t="s">
        <v>4327</v>
      </c>
    </row>
    <row r="3572" spans="3:10" x14ac:dyDescent="0.25">
      <c r="C3572" s="17" t="str">
        <f t="shared" si="56"/>
        <v>28.801011.-12089.10559..CLEAR SCHEDULE.</v>
      </c>
      <c r="E3572">
        <v>28</v>
      </c>
      <c r="F3572">
        <v>801011</v>
      </c>
      <c r="G3572" s="1">
        <v>-120.89</v>
      </c>
      <c r="H3572" t="s">
        <v>3970</v>
      </c>
      <c r="J3572" s="18" t="s">
        <v>4327</v>
      </c>
    </row>
    <row r="3573" spans="3:10" x14ac:dyDescent="0.25">
      <c r="C3573" s="17" t="str">
        <f t="shared" si="56"/>
        <v>28.801011.-72610.10560..CLEAR SCHEDULE.</v>
      </c>
      <c r="E3573">
        <v>28</v>
      </c>
      <c r="F3573">
        <v>801011</v>
      </c>
      <c r="G3573" s="2">
        <v>-726.1</v>
      </c>
      <c r="H3573" t="s">
        <v>3971</v>
      </c>
      <c r="J3573" s="18" t="s">
        <v>4327</v>
      </c>
    </row>
    <row r="3574" spans="3:10" x14ac:dyDescent="0.25">
      <c r="C3574" s="17" t="str">
        <f t="shared" si="56"/>
        <v>28.801011.-8972.10562..CLEAR SCHEDULE.</v>
      </c>
      <c r="E3574">
        <v>28</v>
      </c>
      <c r="F3574">
        <v>801011</v>
      </c>
      <c r="G3574" s="1">
        <v>-89.72</v>
      </c>
      <c r="H3574" t="s">
        <v>3972</v>
      </c>
      <c r="J3574" s="18" t="s">
        <v>4327</v>
      </c>
    </row>
    <row r="3575" spans="3:10" x14ac:dyDescent="0.25">
      <c r="C3575" s="17" t="str">
        <f t="shared" si="56"/>
        <v>28.801011.-15945.10566..CLEAR SCHEDULE.</v>
      </c>
      <c r="E3575">
        <v>28</v>
      </c>
      <c r="F3575">
        <v>801011</v>
      </c>
      <c r="G3575" s="2">
        <v>-159.44999999999999</v>
      </c>
      <c r="H3575" t="s">
        <v>3973</v>
      </c>
      <c r="J3575" s="18" t="s">
        <v>4327</v>
      </c>
    </row>
    <row r="3576" spans="3:10" x14ac:dyDescent="0.25">
      <c r="C3576" s="17" t="str">
        <f t="shared" si="56"/>
        <v>28.801011.-8523.10568..CLEAR SCHEDULE.</v>
      </c>
      <c r="E3576">
        <v>28</v>
      </c>
      <c r="F3576">
        <v>801011</v>
      </c>
      <c r="G3576" s="1">
        <v>-85.23</v>
      </c>
      <c r="H3576" t="s">
        <v>3974</v>
      </c>
      <c r="J3576" s="18" t="s">
        <v>4327</v>
      </c>
    </row>
    <row r="3577" spans="3:10" x14ac:dyDescent="0.25">
      <c r="C3577" s="17" t="str">
        <f t="shared" si="56"/>
        <v>28.801011.-80484.10572..CLEAR SCHEDULE.</v>
      </c>
      <c r="E3577">
        <v>28</v>
      </c>
      <c r="F3577">
        <v>801011</v>
      </c>
      <c r="G3577" s="2">
        <v>-804.84</v>
      </c>
      <c r="H3577" t="s">
        <v>3975</v>
      </c>
      <c r="J3577" s="18" t="s">
        <v>4327</v>
      </c>
    </row>
    <row r="3578" spans="3:10" x14ac:dyDescent="0.25">
      <c r="C3578" s="17" t="str">
        <f t="shared" si="56"/>
        <v>28.801011.-8972.10573..CLEAR SCHEDULE.</v>
      </c>
      <c r="E3578">
        <v>28</v>
      </c>
      <c r="F3578">
        <v>801011</v>
      </c>
      <c r="G3578" s="1">
        <v>-89.72</v>
      </c>
      <c r="H3578" t="s">
        <v>3976</v>
      </c>
      <c r="J3578" s="18" t="s">
        <v>4327</v>
      </c>
    </row>
    <row r="3579" spans="3:10" x14ac:dyDescent="0.25">
      <c r="C3579" s="17" t="str">
        <f t="shared" si="56"/>
        <v>28.801011.-14175.10575..CLEAR SCHEDULE.</v>
      </c>
      <c r="E3579">
        <v>28</v>
      </c>
      <c r="F3579">
        <v>801011</v>
      </c>
      <c r="G3579" s="2">
        <v>-141.75</v>
      </c>
      <c r="H3579" t="s">
        <v>3977</v>
      </c>
      <c r="J3579" s="18" t="s">
        <v>4327</v>
      </c>
    </row>
    <row r="3580" spans="3:10" x14ac:dyDescent="0.25">
      <c r="C3580" s="17" t="str">
        <f t="shared" si="56"/>
        <v>28.801011.-53980.10576..CLEAR SCHEDULE.</v>
      </c>
      <c r="E3580">
        <v>28</v>
      </c>
      <c r="F3580">
        <v>801011</v>
      </c>
      <c r="G3580" s="1">
        <v>-539.79999999999995</v>
      </c>
      <c r="H3580" t="s">
        <v>3978</v>
      </c>
      <c r="J3580" s="18" t="s">
        <v>4327</v>
      </c>
    </row>
    <row r="3581" spans="3:10" x14ac:dyDescent="0.25">
      <c r="C3581" s="17" t="str">
        <f t="shared" si="56"/>
        <v>28.801011.-4287.10578..CLEAR SCHEDULE.</v>
      </c>
      <c r="E3581">
        <v>28</v>
      </c>
      <c r="F3581">
        <v>801011</v>
      </c>
      <c r="G3581" s="2">
        <v>-42.87</v>
      </c>
      <c r="H3581" t="s">
        <v>3979</v>
      </c>
      <c r="J3581" s="18" t="s">
        <v>4327</v>
      </c>
    </row>
    <row r="3582" spans="3:10" x14ac:dyDescent="0.25">
      <c r="C3582" s="17" t="str">
        <f t="shared" si="56"/>
        <v>28.801011.-9572.10579..CLEAR SCHEDULE.</v>
      </c>
      <c r="E3582">
        <v>28</v>
      </c>
      <c r="F3582">
        <v>801011</v>
      </c>
      <c r="G3582" s="1">
        <v>-95.72</v>
      </c>
      <c r="H3582" t="s">
        <v>3980</v>
      </c>
      <c r="J3582" s="18" t="s">
        <v>4327</v>
      </c>
    </row>
    <row r="3583" spans="3:10" x14ac:dyDescent="0.25">
      <c r="C3583" s="17" t="str">
        <f t="shared" si="56"/>
        <v>28.801011.-104162.10580..CLEAR SCHEDULE.</v>
      </c>
      <c r="E3583">
        <v>28</v>
      </c>
      <c r="F3583">
        <v>801011</v>
      </c>
      <c r="G3583" s="2">
        <v>-1041.6199999999999</v>
      </c>
      <c r="H3583" t="s">
        <v>3981</v>
      </c>
      <c r="J3583" s="18" t="s">
        <v>4327</v>
      </c>
    </row>
    <row r="3584" spans="3:10" x14ac:dyDescent="0.25">
      <c r="C3584" s="17" t="str">
        <f t="shared" si="56"/>
        <v>28.801011.-10530.10583..CLEAR SCHEDULE.</v>
      </c>
      <c r="E3584">
        <v>28</v>
      </c>
      <c r="F3584">
        <v>801011</v>
      </c>
      <c r="G3584" s="1">
        <v>-105.3</v>
      </c>
      <c r="H3584" t="s">
        <v>3982</v>
      </c>
      <c r="J3584" s="18" t="s">
        <v>4327</v>
      </c>
    </row>
    <row r="3585" spans="3:10" x14ac:dyDescent="0.25">
      <c r="C3585" s="17" t="str">
        <f t="shared" si="56"/>
        <v>28.801011.-59617.10585..CLEAR SCHEDULE.</v>
      </c>
      <c r="E3585">
        <v>28</v>
      </c>
      <c r="F3585">
        <v>801011</v>
      </c>
      <c r="G3585" s="2">
        <v>-596.16999999999996</v>
      </c>
      <c r="H3585" t="s">
        <v>3983</v>
      </c>
      <c r="J3585" s="18" t="s">
        <v>4327</v>
      </c>
    </row>
    <row r="3586" spans="3:10" x14ac:dyDescent="0.25">
      <c r="C3586" s="17" t="str">
        <f t="shared" si="56"/>
        <v>28.801011.-32509.10588..CLEAR SCHEDULE.</v>
      </c>
      <c r="E3586">
        <v>28</v>
      </c>
      <c r="F3586">
        <v>801011</v>
      </c>
      <c r="G3586" s="1">
        <v>-325.08999999999997</v>
      </c>
      <c r="H3586" t="s">
        <v>3984</v>
      </c>
      <c r="J3586" s="18" t="s">
        <v>4327</v>
      </c>
    </row>
    <row r="3587" spans="3:10" x14ac:dyDescent="0.25">
      <c r="C3587" s="17" t="str">
        <f t="shared" si="56"/>
        <v>28.801011.-14387.10589..CLEAR SCHEDULE.</v>
      </c>
      <c r="E3587">
        <v>28</v>
      </c>
      <c r="F3587">
        <v>801011</v>
      </c>
      <c r="G3587" s="2">
        <v>-143.87</v>
      </c>
      <c r="H3587" t="s">
        <v>3985</v>
      </c>
      <c r="J3587" s="18" t="s">
        <v>4327</v>
      </c>
    </row>
    <row r="3588" spans="3:10" x14ac:dyDescent="0.25">
      <c r="C3588" s="17" t="str">
        <f t="shared" si="56"/>
        <v>28.801011.-8192.10591..CLEAR SCHEDULE.</v>
      </c>
      <c r="E3588">
        <v>28</v>
      </c>
      <c r="F3588">
        <v>801011</v>
      </c>
      <c r="G3588" s="1">
        <v>-81.92</v>
      </c>
      <c r="H3588" t="s">
        <v>3986</v>
      </c>
      <c r="J3588" s="18" t="s">
        <v>4327</v>
      </c>
    </row>
    <row r="3589" spans="3:10" x14ac:dyDescent="0.25">
      <c r="C3589" s="17" t="str">
        <f t="shared" si="56"/>
        <v>28.801011.-14387.10592..CLEAR SCHEDULE.</v>
      </c>
      <c r="E3589">
        <v>28</v>
      </c>
      <c r="F3589">
        <v>801011</v>
      </c>
      <c r="G3589" s="2">
        <v>-143.87</v>
      </c>
      <c r="H3589" t="s">
        <v>3987</v>
      </c>
      <c r="J3589" s="18" t="s">
        <v>4327</v>
      </c>
    </row>
    <row r="3590" spans="3:10" x14ac:dyDescent="0.25">
      <c r="C3590" s="17" t="str">
        <f t="shared" si="56"/>
        <v>28.801011.-63856.10593..CLEAR SCHEDULE.</v>
      </c>
      <c r="E3590">
        <v>28</v>
      </c>
      <c r="F3590">
        <v>801011</v>
      </c>
      <c r="G3590" s="1">
        <v>-638.55999999999995</v>
      </c>
      <c r="H3590" t="s">
        <v>3988</v>
      </c>
      <c r="J3590" s="18" t="s">
        <v>4327</v>
      </c>
    </row>
    <row r="3591" spans="3:10" x14ac:dyDescent="0.25">
      <c r="C3591" s="17" t="str">
        <f t="shared" si="56"/>
        <v>28.801011.-89101.10594..CLEAR SCHEDULE.</v>
      </c>
      <c r="E3591">
        <v>28</v>
      </c>
      <c r="F3591">
        <v>801011</v>
      </c>
      <c r="G3591" s="2">
        <v>-891.01</v>
      </c>
      <c r="H3591" t="s">
        <v>3989</v>
      </c>
      <c r="J3591" s="18" t="s">
        <v>4327</v>
      </c>
    </row>
    <row r="3592" spans="3:10" x14ac:dyDescent="0.25">
      <c r="C3592" s="17" t="str">
        <f t="shared" si="56"/>
        <v>28.801011.-5415.10599..CLEAR SCHEDULE.</v>
      </c>
      <c r="E3592">
        <v>28</v>
      </c>
      <c r="F3592">
        <v>801011</v>
      </c>
      <c r="G3592" s="1">
        <v>-54.15</v>
      </c>
      <c r="H3592" t="s">
        <v>3990</v>
      </c>
      <c r="J3592" s="18" t="s">
        <v>4327</v>
      </c>
    </row>
    <row r="3593" spans="3:10" x14ac:dyDescent="0.25">
      <c r="C3593" s="17" t="str">
        <f t="shared" si="56"/>
        <v>28.801011.-5415.10600..CLEAR SCHEDULE.</v>
      </c>
      <c r="E3593">
        <v>28</v>
      </c>
      <c r="F3593">
        <v>801011</v>
      </c>
      <c r="G3593" s="2">
        <v>-54.15</v>
      </c>
      <c r="H3593" t="s">
        <v>3991</v>
      </c>
      <c r="J3593" s="18" t="s">
        <v>4327</v>
      </c>
    </row>
    <row r="3594" spans="3:10" x14ac:dyDescent="0.25">
      <c r="C3594" s="17" t="str">
        <f t="shared" si="56"/>
        <v>28.801011.-13668.10601..CLEAR SCHEDULE.</v>
      </c>
      <c r="E3594">
        <v>28</v>
      </c>
      <c r="F3594">
        <v>801011</v>
      </c>
      <c r="G3594" s="1">
        <v>-136.68</v>
      </c>
      <c r="H3594" t="s">
        <v>3992</v>
      </c>
      <c r="J3594" s="18" t="s">
        <v>4327</v>
      </c>
    </row>
    <row r="3595" spans="3:10" x14ac:dyDescent="0.25">
      <c r="C3595" s="17" t="str">
        <f t="shared" ref="C3595:C3658" si="57">IF(G3595=0,"",(E3595&amp;"."&amp;F3595&amp;"."&amp;G3595*100&amp;"."&amp;H3595&amp;"."&amp;I3595&amp;"."&amp;J3595&amp;"."&amp;K3595))</f>
        <v>28.801011.-27913.10602..CLEAR SCHEDULE.</v>
      </c>
      <c r="E3595">
        <v>28</v>
      </c>
      <c r="F3595">
        <v>801011</v>
      </c>
      <c r="G3595" s="2">
        <v>-279.13</v>
      </c>
      <c r="H3595" t="s">
        <v>3993</v>
      </c>
      <c r="J3595" s="18" t="s">
        <v>4327</v>
      </c>
    </row>
    <row r="3596" spans="3:10" x14ac:dyDescent="0.25">
      <c r="C3596" s="17" t="str">
        <f t="shared" si="57"/>
        <v>28.801011.-18987.10604..CLEAR SCHEDULE.</v>
      </c>
      <c r="E3596">
        <v>28</v>
      </c>
      <c r="F3596">
        <v>801011</v>
      </c>
      <c r="G3596" s="1">
        <v>-189.87</v>
      </c>
      <c r="H3596" t="s">
        <v>3994</v>
      </c>
      <c r="J3596" s="18" t="s">
        <v>4327</v>
      </c>
    </row>
    <row r="3597" spans="3:10" x14ac:dyDescent="0.25">
      <c r="C3597" s="17" t="str">
        <f t="shared" si="57"/>
        <v>28.801011.-13668.10605..CLEAR SCHEDULE.</v>
      </c>
      <c r="E3597">
        <v>28</v>
      </c>
      <c r="F3597">
        <v>801011</v>
      </c>
      <c r="G3597" s="2">
        <v>-136.68</v>
      </c>
      <c r="H3597" t="s">
        <v>3995</v>
      </c>
      <c r="J3597" s="18" t="s">
        <v>4327</v>
      </c>
    </row>
    <row r="3598" spans="3:10" x14ac:dyDescent="0.25">
      <c r="C3598" s="17" t="str">
        <f t="shared" si="57"/>
        <v>28.801011.-9003.10606..CLEAR SCHEDULE.</v>
      </c>
      <c r="E3598">
        <v>28</v>
      </c>
      <c r="F3598">
        <v>801011</v>
      </c>
      <c r="G3598" s="1">
        <v>-90.03</v>
      </c>
      <c r="H3598" t="s">
        <v>3996</v>
      </c>
      <c r="J3598" s="18" t="s">
        <v>4327</v>
      </c>
    </row>
    <row r="3599" spans="3:10" x14ac:dyDescent="0.25">
      <c r="C3599" s="17" t="str">
        <f t="shared" si="57"/>
        <v>28.801011.-14387.10607..CLEAR SCHEDULE.</v>
      </c>
      <c r="E3599">
        <v>28</v>
      </c>
      <c r="F3599">
        <v>801011</v>
      </c>
      <c r="G3599" s="2">
        <v>-143.87</v>
      </c>
      <c r="H3599" t="s">
        <v>3997</v>
      </c>
      <c r="J3599" s="18" t="s">
        <v>4327</v>
      </c>
    </row>
    <row r="3600" spans="3:10" x14ac:dyDescent="0.25">
      <c r="C3600" s="17" t="str">
        <f t="shared" si="57"/>
        <v>28.801011.-8523.10608..CLEAR SCHEDULE.</v>
      </c>
      <c r="E3600">
        <v>28</v>
      </c>
      <c r="F3600">
        <v>801011</v>
      </c>
      <c r="G3600" s="1">
        <v>-85.23</v>
      </c>
      <c r="H3600" t="s">
        <v>3998</v>
      </c>
      <c r="J3600" s="18" t="s">
        <v>4327</v>
      </c>
    </row>
    <row r="3601" spans="3:10" x14ac:dyDescent="0.25">
      <c r="C3601" s="17" t="str">
        <f t="shared" si="57"/>
        <v>28.801011.-15945.10609..CLEAR SCHEDULE.</v>
      </c>
      <c r="E3601">
        <v>28</v>
      </c>
      <c r="F3601">
        <v>801011</v>
      </c>
      <c r="G3601" s="2">
        <v>-159.44999999999999</v>
      </c>
      <c r="H3601" t="s">
        <v>3999</v>
      </c>
      <c r="J3601" s="18" t="s">
        <v>4327</v>
      </c>
    </row>
    <row r="3602" spans="3:10" x14ac:dyDescent="0.25">
      <c r="C3602" s="17" t="str">
        <f t="shared" si="57"/>
        <v>28.801011.-14387.10610..CLEAR SCHEDULE.</v>
      </c>
      <c r="E3602">
        <v>28</v>
      </c>
      <c r="F3602">
        <v>801011</v>
      </c>
      <c r="G3602" s="1">
        <v>-143.87</v>
      </c>
      <c r="H3602" t="s">
        <v>4000</v>
      </c>
      <c r="J3602" s="18" t="s">
        <v>4327</v>
      </c>
    </row>
    <row r="3603" spans="3:10" x14ac:dyDescent="0.25">
      <c r="C3603" s="17" t="str">
        <f t="shared" si="57"/>
        <v>28.801011.-5415.10612..CLEAR SCHEDULE.</v>
      </c>
      <c r="E3603">
        <v>28</v>
      </c>
      <c r="F3603">
        <v>801011</v>
      </c>
      <c r="G3603" s="2">
        <v>-54.15</v>
      </c>
      <c r="H3603" t="s">
        <v>4001</v>
      </c>
      <c r="J3603" s="18" t="s">
        <v>4327</v>
      </c>
    </row>
    <row r="3604" spans="3:10" x14ac:dyDescent="0.25">
      <c r="C3604" s="17" t="str">
        <f t="shared" si="57"/>
        <v>28.801011.-14872.10620..CLEAR SCHEDULE.</v>
      </c>
      <c r="E3604">
        <v>28</v>
      </c>
      <c r="F3604">
        <v>801011</v>
      </c>
      <c r="G3604" s="1">
        <v>-148.72</v>
      </c>
      <c r="H3604" t="s">
        <v>4002</v>
      </c>
      <c r="J3604" s="18" t="s">
        <v>4327</v>
      </c>
    </row>
    <row r="3605" spans="3:10" x14ac:dyDescent="0.25">
      <c r="C3605" s="17" t="str">
        <f t="shared" si="57"/>
        <v>28.801011.-128934.10623..CLEAR SCHEDULE.</v>
      </c>
      <c r="E3605">
        <v>28</v>
      </c>
      <c r="F3605">
        <v>801011</v>
      </c>
      <c r="G3605" s="2">
        <v>-1289.3399999999999</v>
      </c>
      <c r="H3605" t="s">
        <v>4003</v>
      </c>
      <c r="J3605" s="18" t="s">
        <v>4327</v>
      </c>
    </row>
    <row r="3606" spans="3:10" x14ac:dyDescent="0.25">
      <c r="C3606" s="17" t="str">
        <f t="shared" si="57"/>
        <v>28.801011.-8972.10624..CLEAR SCHEDULE.</v>
      </c>
      <c r="E3606">
        <v>28</v>
      </c>
      <c r="F3606">
        <v>801011</v>
      </c>
      <c r="G3606" s="1">
        <v>-89.72</v>
      </c>
      <c r="H3606" t="s">
        <v>4004</v>
      </c>
      <c r="J3606" s="18" t="s">
        <v>4327</v>
      </c>
    </row>
    <row r="3607" spans="3:10" x14ac:dyDescent="0.25">
      <c r="C3607" s="17" t="str">
        <f t="shared" si="57"/>
        <v>28.801011.-10004.10626..CLEAR SCHEDULE.</v>
      </c>
      <c r="E3607">
        <v>28</v>
      </c>
      <c r="F3607">
        <v>801011</v>
      </c>
      <c r="G3607" s="2">
        <v>-100.04</v>
      </c>
      <c r="H3607" t="s">
        <v>4005</v>
      </c>
      <c r="J3607" s="18" t="s">
        <v>4327</v>
      </c>
    </row>
    <row r="3608" spans="3:10" x14ac:dyDescent="0.25">
      <c r="C3608" s="17" t="str">
        <f t="shared" si="57"/>
        <v>28.801011.-5415.10627..CLEAR SCHEDULE.</v>
      </c>
      <c r="E3608">
        <v>28</v>
      </c>
      <c r="F3608">
        <v>801011</v>
      </c>
      <c r="G3608" s="1">
        <v>-54.15</v>
      </c>
      <c r="H3608" t="s">
        <v>4006</v>
      </c>
      <c r="J3608" s="18" t="s">
        <v>4327</v>
      </c>
    </row>
    <row r="3609" spans="3:10" x14ac:dyDescent="0.25">
      <c r="C3609" s="17" t="str">
        <f t="shared" si="57"/>
        <v>28.801011.-77264.10629..CLEAR SCHEDULE.</v>
      </c>
      <c r="E3609">
        <v>28</v>
      </c>
      <c r="F3609">
        <v>801011</v>
      </c>
      <c r="G3609" s="2">
        <v>-772.64</v>
      </c>
      <c r="H3609" t="s">
        <v>4007</v>
      </c>
      <c r="J3609" s="18" t="s">
        <v>4327</v>
      </c>
    </row>
    <row r="3610" spans="3:10" x14ac:dyDescent="0.25">
      <c r="C3610" s="17" t="str">
        <f t="shared" si="57"/>
        <v>28.801011.-16724.10630..CLEAR SCHEDULE.</v>
      </c>
      <c r="E3610">
        <v>28</v>
      </c>
      <c r="F3610">
        <v>801011</v>
      </c>
      <c r="G3610" s="1">
        <v>-167.24</v>
      </c>
      <c r="H3610" t="s">
        <v>4008</v>
      </c>
      <c r="J3610" s="18" t="s">
        <v>4327</v>
      </c>
    </row>
    <row r="3611" spans="3:10" x14ac:dyDescent="0.25">
      <c r="C3611" s="17" t="str">
        <f t="shared" si="57"/>
        <v>28.801011.-14387.10632..CLEAR SCHEDULE.</v>
      </c>
      <c r="E3611">
        <v>28</v>
      </c>
      <c r="F3611">
        <v>801011</v>
      </c>
      <c r="G3611" s="2">
        <v>-143.87</v>
      </c>
      <c r="H3611" t="s">
        <v>4009</v>
      </c>
      <c r="J3611" s="18" t="s">
        <v>4327</v>
      </c>
    </row>
    <row r="3612" spans="3:10" x14ac:dyDescent="0.25">
      <c r="C3612" s="17" t="str">
        <f t="shared" si="57"/>
        <v>28.801011.-14387.10635..CLEAR SCHEDULE.</v>
      </c>
      <c r="E3612">
        <v>28</v>
      </c>
      <c r="F3612">
        <v>801011</v>
      </c>
      <c r="G3612" s="1">
        <v>-143.87</v>
      </c>
      <c r="H3612" t="s">
        <v>4010</v>
      </c>
      <c r="J3612" s="18" t="s">
        <v>4327</v>
      </c>
    </row>
    <row r="3613" spans="3:10" x14ac:dyDescent="0.25">
      <c r="C3613" s="17" t="str">
        <f t="shared" si="57"/>
        <v>28.801011.-90252.10640..CLEAR SCHEDULE.</v>
      </c>
      <c r="E3613">
        <v>28</v>
      </c>
      <c r="F3613">
        <v>801011</v>
      </c>
      <c r="G3613" s="2">
        <v>-902.52</v>
      </c>
      <c r="H3613" t="s">
        <v>4011</v>
      </c>
      <c r="J3613" s="18" t="s">
        <v>4327</v>
      </c>
    </row>
    <row r="3614" spans="3:10" x14ac:dyDescent="0.25">
      <c r="C3614" s="17" t="str">
        <f t="shared" si="57"/>
        <v>28.801011.-20779.10647..CLEAR SCHEDULE.</v>
      </c>
      <c r="E3614">
        <v>28</v>
      </c>
      <c r="F3614">
        <v>801011</v>
      </c>
      <c r="G3614" s="1">
        <v>-207.79</v>
      </c>
      <c r="H3614" t="s">
        <v>4012</v>
      </c>
      <c r="J3614" s="18" t="s">
        <v>4327</v>
      </c>
    </row>
    <row r="3615" spans="3:10" x14ac:dyDescent="0.25">
      <c r="C3615" s="17" t="str">
        <f t="shared" si="57"/>
        <v>28.801011.-55284.10648..CLEAR SCHEDULE.</v>
      </c>
      <c r="E3615">
        <v>28</v>
      </c>
      <c r="F3615">
        <v>801011</v>
      </c>
      <c r="G3615" s="2">
        <v>-552.84</v>
      </c>
      <c r="H3615" t="s">
        <v>4013</v>
      </c>
      <c r="J3615" s="18" t="s">
        <v>4327</v>
      </c>
    </row>
    <row r="3616" spans="3:10" x14ac:dyDescent="0.25">
      <c r="C3616" s="17" t="str">
        <f t="shared" si="57"/>
        <v>28.801011.-104971.10649..CLEAR SCHEDULE.</v>
      </c>
      <c r="E3616">
        <v>28</v>
      </c>
      <c r="F3616">
        <v>801011</v>
      </c>
      <c r="G3616" s="1">
        <v>-1049.71</v>
      </c>
      <c r="H3616" t="s">
        <v>4014</v>
      </c>
      <c r="J3616" s="18" t="s">
        <v>4327</v>
      </c>
    </row>
    <row r="3617" spans="3:10" x14ac:dyDescent="0.25">
      <c r="C3617" s="17" t="str">
        <f t="shared" si="57"/>
        <v>28.801011.-32338.10652..CLEAR SCHEDULE.</v>
      </c>
      <c r="E3617">
        <v>28</v>
      </c>
      <c r="F3617">
        <v>801011</v>
      </c>
      <c r="G3617" s="2">
        <v>-323.38</v>
      </c>
      <c r="H3617" t="s">
        <v>4015</v>
      </c>
      <c r="J3617" s="18" t="s">
        <v>4327</v>
      </c>
    </row>
    <row r="3618" spans="3:10" x14ac:dyDescent="0.25">
      <c r="C3618" s="17" t="str">
        <f t="shared" si="57"/>
        <v>28.801011.-19742.10653..CLEAR SCHEDULE.</v>
      </c>
      <c r="E3618">
        <v>28</v>
      </c>
      <c r="F3618">
        <v>801011</v>
      </c>
      <c r="G3618" s="1">
        <v>-197.42</v>
      </c>
      <c r="H3618" t="s">
        <v>4016</v>
      </c>
      <c r="J3618" s="18" t="s">
        <v>4327</v>
      </c>
    </row>
    <row r="3619" spans="3:10" x14ac:dyDescent="0.25">
      <c r="C3619" s="17" t="str">
        <f t="shared" si="57"/>
        <v>28.801011.-9871.10656..CLEAR SCHEDULE.</v>
      </c>
      <c r="E3619">
        <v>28</v>
      </c>
      <c r="F3619">
        <v>801011</v>
      </c>
      <c r="G3619" s="2">
        <v>-98.71</v>
      </c>
      <c r="H3619" t="s">
        <v>4017</v>
      </c>
      <c r="J3619" s="18" t="s">
        <v>4327</v>
      </c>
    </row>
    <row r="3620" spans="3:10" x14ac:dyDescent="0.25">
      <c r="C3620" s="17" t="str">
        <f t="shared" si="57"/>
        <v>28.801011.-191725.10657..CLEAR SCHEDULE.</v>
      </c>
      <c r="E3620">
        <v>28</v>
      </c>
      <c r="F3620">
        <v>801011</v>
      </c>
      <c r="G3620" s="1">
        <v>-1917.25</v>
      </c>
      <c r="H3620" t="s">
        <v>4018</v>
      </c>
      <c r="J3620" s="18" t="s">
        <v>4327</v>
      </c>
    </row>
    <row r="3621" spans="3:10" x14ac:dyDescent="0.25">
      <c r="C3621" s="17" t="str">
        <f t="shared" si="57"/>
        <v>28.801011.-16724.10659..CLEAR SCHEDULE.</v>
      </c>
      <c r="E3621">
        <v>28</v>
      </c>
      <c r="F3621">
        <v>801011</v>
      </c>
      <c r="G3621" s="2">
        <v>-167.24</v>
      </c>
      <c r="H3621" t="s">
        <v>4019</v>
      </c>
      <c r="J3621" s="18" t="s">
        <v>4327</v>
      </c>
    </row>
    <row r="3622" spans="3:10" x14ac:dyDescent="0.25">
      <c r="C3622" s="17" t="str">
        <f t="shared" si="57"/>
        <v>28.801011.-13668.10660..CLEAR SCHEDULE.</v>
      </c>
      <c r="E3622">
        <v>28</v>
      </c>
      <c r="F3622">
        <v>801011</v>
      </c>
      <c r="G3622" s="1">
        <v>-136.68</v>
      </c>
      <c r="H3622" t="s">
        <v>4020</v>
      </c>
      <c r="J3622" s="18" t="s">
        <v>4327</v>
      </c>
    </row>
    <row r="3623" spans="3:10" x14ac:dyDescent="0.25">
      <c r="C3623" s="17" t="str">
        <f t="shared" si="57"/>
        <v>28.801011.-31912.10661..CLEAR SCHEDULE.</v>
      </c>
      <c r="E3623">
        <v>28</v>
      </c>
      <c r="F3623">
        <v>801011</v>
      </c>
      <c r="G3623" s="2">
        <v>-319.12</v>
      </c>
      <c r="H3623" t="s">
        <v>4021</v>
      </c>
      <c r="J3623" s="18" t="s">
        <v>4327</v>
      </c>
    </row>
    <row r="3624" spans="3:10" x14ac:dyDescent="0.25">
      <c r="C3624" s="17" t="str">
        <f t="shared" si="57"/>
        <v>28.801011.-8972.10662..CLEAR SCHEDULE.</v>
      </c>
      <c r="E3624">
        <v>28</v>
      </c>
      <c r="F3624">
        <v>801011</v>
      </c>
      <c r="G3624" s="1">
        <v>-89.72</v>
      </c>
      <c r="H3624" t="s">
        <v>4022</v>
      </c>
      <c r="J3624" s="18" t="s">
        <v>4327</v>
      </c>
    </row>
    <row r="3625" spans="3:10" x14ac:dyDescent="0.25">
      <c r="C3625" s="17" t="str">
        <f t="shared" si="57"/>
        <v>28.801011.-75754.10664..CLEAR SCHEDULE.</v>
      </c>
      <c r="E3625">
        <v>28</v>
      </c>
      <c r="F3625">
        <v>801011</v>
      </c>
      <c r="G3625" s="2">
        <v>-757.54</v>
      </c>
      <c r="H3625" t="s">
        <v>4023</v>
      </c>
      <c r="J3625" s="18" t="s">
        <v>4327</v>
      </c>
    </row>
    <row r="3626" spans="3:10" x14ac:dyDescent="0.25">
      <c r="C3626" s="17" t="str">
        <f t="shared" si="57"/>
        <v>28.801011.-63137.10665..CLEAR SCHEDULE.</v>
      </c>
      <c r="E3626">
        <v>28</v>
      </c>
      <c r="F3626">
        <v>801011</v>
      </c>
      <c r="G3626" s="1">
        <v>-631.37</v>
      </c>
      <c r="H3626" t="s">
        <v>4024</v>
      </c>
      <c r="J3626" s="18" t="s">
        <v>4327</v>
      </c>
    </row>
    <row r="3627" spans="3:10" x14ac:dyDescent="0.25">
      <c r="C3627" s="17" t="str">
        <f t="shared" si="57"/>
        <v>28.801011.-102205.10666..CLEAR SCHEDULE.</v>
      </c>
      <c r="E3627">
        <v>28</v>
      </c>
      <c r="F3627">
        <v>801011</v>
      </c>
      <c r="G3627" s="2">
        <v>-1022.05</v>
      </c>
      <c r="H3627" t="s">
        <v>4025</v>
      </c>
      <c r="J3627" s="18" t="s">
        <v>4327</v>
      </c>
    </row>
    <row r="3628" spans="3:10" x14ac:dyDescent="0.25">
      <c r="C3628" s="17" t="str">
        <f t="shared" si="57"/>
        <v>28.801011.-6000.10667..CLEAR SCHEDULE.</v>
      </c>
      <c r="E3628">
        <v>28</v>
      </c>
      <c r="F3628">
        <v>801011</v>
      </c>
      <c r="G3628" s="1">
        <v>-60</v>
      </c>
      <c r="H3628" t="s">
        <v>4026</v>
      </c>
      <c r="J3628" s="18" t="s">
        <v>4327</v>
      </c>
    </row>
    <row r="3629" spans="3:10" x14ac:dyDescent="0.25">
      <c r="C3629" s="17" t="str">
        <f t="shared" si="57"/>
        <v>28.801011.-6769.10668..CLEAR SCHEDULE.</v>
      </c>
      <c r="E3629">
        <v>28</v>
      </c>
      <c r="F3629">
        <v>801011</v>
      </c>
      <c r="G3629" s="2">
        <v>-67.69</v>
      </c>
      <c r="H3629" t="s">
        <v>4027</v>
      </c>
      <c r="J3629" s="18" t="s">
        <v>4327</v>
      </c>
    </row>
    <row r="3630" spans="3:10" x14ac:dyDescent="0.25">
      <c r="C3630" s="17" t="str">
        <f t="shared" si="57"/>
        <v>28.801011.-19742.10671..CLEAR SCHEDULE.</v>
      </c>
      <c r="E3630">
        <v>28</v>
      </c>
      <c r="F3630">
        <v>801011</v>
      </c>
      <c r="G3630" s="1">
        <v>-197.42</v>
      </c>
      <c r="H3630" t="s">
        <v>4028</v>
      </c>
      <c r="J3630" s="18" t="s">
        <v>4327</v>
      </c>
    </row>
    <row r="3631" spans="3:10" x14ac:dyDescent="0.25">
      <c r="C3631" s="17" t="str">
        <f t="shared" si="57"/>
        <v>28.801011.-14387.10672..CLEAR SCHEDULE.</v>
      </c>
      <c r="E3631">
        <v>28</v>
      </c>
      <c r="F3631">
        <v>801011</v>
      </c>
      <c r="G3631" s="2">
        <v>-143.87</v>
      </c>
      <c r="H3631" t="s">
        <v>4029</v>
      </c>
      <c r="J3631" s="18" t="s">
        <v>4327</v>
      </c>
    </row>
    <row r="3632" spans="3:10" x14ac:dyDescent="0.25">
      <c r="C3632" s="17" t="str">
        <f t="shared" si="57"/>
        <v>28.801011.-34945.10673..CLEAR SCHEDULE.</v>
      </c>
      <c r="E3632">
        <v>28</v>
      </c>
      <c r="F3632">
        <v>801011</v>
      </c>
      <c r="G3632" s="1">
        <v>-349.45</v>
      </c>
      <c r="H3632" t="s">
        <v>4030</v>
      </c>
      <c r="J3632" s="18" t="s">
        <v>4327</v>
      </c>
    </row>
    <row r="3633" spans="3:10" x14ac:dyDescent="0.25">
      <c r="C3633" s="17" t="str">
        <f t="shared" si="57"/>
        <v>28.801011.-15274.10681..CLEAR SCHEDULE.</v>
      </c>
      <c r="E3633">
        <v>28</v>
      </c>
      <c r="F3633">
        <v>801011</v>
      </c>
      <c r="G3633" s="2">
        <v>-152.74</v>
      </c>
      <c r="H3633" t="s">
        <v>4031</v>
      </c>
      <c r="J3633" s="18" t="s">
        <v>4327</v>
      </c>
    </row>
    <row r="3634" spans="3:10" x14ac:dyDescent="0.25">
      <c r="C3634" s="17" t="str">
        <f t="shared" si="57"/>
        <v>28.801011.-2000.10682..CLEAR SCHEDULE.</v>
      </c>
      <c r="E3634">
        <v>28</v>
      </c>
      <c r="F3634">
        <v>801011</v>
      </c>
      <c r="G3634" s="1">
        <v>-20</v>
      </c>
      <c r="H3634" t="s">
        <v>4032</v>
      </c>
      <c r="J3634" s="18" t="s">
        <v>4327</v>
      </c>
    </row>
    <row r="3635" spans="3:10" x14ac:dyDescent="0.25">
      <c r="C3635" s="17" t="str">
        <f t="shared" si="57"/>
        <v>28.801011.-21343.10685..CLEAR SCHEDULE.</v>
      </c>
      <c r="E3635">
        <v>28</v>
      </c>
      <c r="F3635">
        <v>801011</v>
      </c>
      <c r="G3635" s="2">
        <v>-213.43</v>
      </c>
      <c r="H3635" t="s">
        <v>4033</v>
      </c>
      <c r="J3635" s="18" t="s">
        <v>4327</v>
      </c>
    </row>
    <row r="3636" spans="3:10" x14ac:dyDescent="0.25">
      <c r="C3636" s="17" t="str">
        <f t="shared" si="57"/>
        <v>28.801011.-15546.10690..CLEAR SCHEDULE.</v>
      </c>
      <c r="E3636">
        <v>28</v>
      </c>
      <c r="F3636">
        <v>801011</v>
      </c>
      <c r="G3636" s="1">
        <v>-155.46</v>
      </c>
      <c r="H3636" t="s">
        <v>4034</v>
      </c>
      <c r="J3636" s="18" t="s">
        <v>4327</v>
      </c>
    </row>
    <row r="3637" spans="3:10" x14ac:dyDescent="0.25">
      <c r="C3637" s="17" t="str">
        <f t="shared" si="57"/>
        <v>28.801011.-41552.10691..CLEAR SCHEDULE.</v>
      </c>
      <c r="E3637">
        <v>28</v>
      </c>
      <c r="F3637">
        <v>801011</v>
      </c>
      <c r="G3637" s="2">
        <v>-415.52</v>
      </c>
      <c r="H3637" t="s">
        <v>4035</v>
      </c>
      <c r="J3637" s="18" t="s">
        <v>4327</v>
      </c>
    </row>
    <row r="3638" spans="3:10" x14ac:dyDescent="0.25">
      <c r="C3638" s="17" t="str">
        <f t="shared" si="57"/>
        <v>28.801011.-14387.10693..CLEAR SCHEDULE.</v>
      </c>
      <c r="E3638">
        <v>28</v>
      </c>
      <c r="F3638">
        <v>801011</v>
      </c>
      <c r="G3638" s="1">
        <v>-143.87</v>
      </c>
      <c r="H3638" t="s">
        <v>4036</v>
      </c>
      <c r="J3638" s="18" t="s">
        <v>4327</v>
      </c>
    </row>
    <row r="3639" spans="3:10" x14ac:dyDescent="0.25">
      <c r="C3639" s="17" t="str">
        <f t="shared" si="57"/>
        <v>28.801011.-5415.10694..CLEAR SCHEDULE.</v>
      </c>
      <c r="E3639">
        <v>28</v>
      </c>
      <c r="F3639">
        <v>801011</v>
      </c>
      <c r="G3639" s="2">
        <v>-54.15</v>
      </c>
      <c r="H3639" t="s">
        <v>4037</v>
      </c>
      <c r="J3639" s="18" t="s">
        <v>4327</v>
      </c>
    </row>
    <row r="3640" spans="3:10" x14ac:dyDescent="0.25">
      <c r="C3640" s="17" t="str">
        <f t="shared" si="57"/>
        <v>28.801011.-125006.10695..CLEAR SCHEDULE.</v>
      </c>
      <c r="E3640">
        <v>28</v>
      </c>
      <c r="F3640">
        <v>801011</v>
      </c>
      <c r="G3640" s="1">
        <v>-1250.06</v>
      </c>
      <c r="H3640" t="s">
        <v>4038</v>
      </c>
      <c r="J3640" s="18" t="s">
        <v>4327</v>
      </c>
    </row>
    <row r="3641" spans="3:10" x14ac:dyDescent="0.25">
      <c r="C3641" s="17" t="str">
        <f t="shared" si="57"/>
        <v>28.801011.-14387.10697..CLEAR SCHEDULE.</v>
      </c>
      <c r="E3641">
        <v>28</v>
      </c>
      <c r="F3641">
        <v>801011</v>
      </c>
      <c r="G3641" s="2">
        <v>-143.87</v>
      </c>
      <c r="H3641" t="s">
        <v>4039</v>
      </c>
      <c r="J3641" s="18" t="s">
        <v>4327</v>
      </c>
    </row>
    <row r="3642" spans="3:10" x14ac:dyDescent="0.25">
      <c r="C3642" s="17" t="str">
        <f t="shared" si="57"/>
        <v>28.801011.-5415.10698..CLEAR SCHEDULE.</v>
      </c>
      <c r="E3642">
        <v>28</v>
      </c>
      <c r="F3642">
        <v>801011</v>
      </c>
      <c r="G3642" s="1">
        <v>-54.15</v>
      </c>
      <c r="H3642" t="s">
        <v>4040</v>
      </c>
      <c r="J3642" s="18" t="s">
        <v>4327</v>
      </c>
    </row>
    <row r="3643" spans="3:10" x14ac:dyDescent="0.25">
      <c r="C3643" s="17" t="str">
        <f t="shared" si="57"/>
        <v>28.801011.-11331.10701..CLEAR SCHEDULE.</v>
      </c>
      <c r="E3643">
        <v>28</v>
      </c>
      <c r="F3643">
        <v>801011</v>
      </c>
      <c r="G3643" s="2">
        <v>-113.31</v>
      </c>
      <c r="H3643" t="s">
        <v>4041</v>
      </c>
      <c r="J3643" s="18" t="s">
        <v>4327</v>
      </c>
    </row>
    <row r="3644" spans="3:10" x14ac:dyDescent="0.25">
      <c r="C3644" s="17" t="str">
        <f t="shared" si="57"/>
        <v>28.801011.-20000.10702..CLEAR SCHEDULE.</v>
      </c>
      <c r="E3644">
        <v>28</v>
      </c>
      <c r="F3644">
        <v>801011</v>
      </c>
      <c r="G3644" s="1">
        <v>-200</v>
      </c>
      <c r="H3644" t="s">
        <v>4042</v>
      </c>
      <c r="J3644" s="18" t="s">
        <v>4327</v>
      </c>
    </row>
    <row r="3645" spans="3:10" x14ac:dyDescent="0.25">
      <c r="C3645" s="17" t="str">
        <f t="shared" si="57"/>
        <v>28.801011.-58657.10706..CLEAR SCHEDULE.</v>
      </c>
      <c r="E3645">
        <v>28</v>
      </c>
      <c r="F3645">
        <v>801011</v>
      </c>
      <c r="G3645" s="2">
        <v>-586.57000000000005</v>
      </c>
      <c r="H3645" t="s">
        <v>4043</v>
      </c>
      <c r="J3645" s="18" t="s">
        <v>4327</v>
      </c>
    </row>
    <row r="3646" spans="3:10" x14ac:dyDescent="0.25">
      <c r="C3646" s="17" t="str">
        <f t="shared" si="57"/>
        <v>28.801011.-11022.10712..CLEAR SCHEDULE.</v>
      </c>
      <c r="E3646">
        <v>28</v>
      </c>
      <c r="F3646">
        <v>801011</v>
      </c>
      <c r="G3646" s="1">
        <v>-110.22</v>
      </c>
      <c r="H3646" t="s">
        <v>4044</v>
      </c>
      <c r="J3646" s="18" t="s">
        <v>4327</v>
      </c>
    </row>
    <row r="3647" spans="3:10" x14ac:dyDescent="0.25">
      <c r="C3647" s="17" t="str">
        <f t="shared" si="57"/>
        <v>28.801011.-76688.10714..CLEAR SCHEDULE.</v>
      </c>
      <c r="E3647">
        <v>28</v>
      </c>
      <c r="F3647">
        <v>801011</v>
      </c>
      <c r="G3647" s="2">
        <v>-766.88</v>
      </c>
      <c r="H3647" t="s">
        <v>4045</v>
      </c>
      <c r="J3647" s="18" t="s">
        <v>4327</v>
      </c>
    </row>
    <row r="3648" spans="3:10" x14ac:dyDescent="0.25">
      <c r="C3648" s="17" t="str">
        <f t="shared" si="57"/>
        <v>28.801011.-39362.10716..CLEAR SCHEDULE.</v>
      </c>
      <c r="E3648">
        <v>28</v>
      </c>
      <c r="F3648">
        <v>801011</v>
      </c>
      <c r="G3648" s="1">
        <v>-393.62</v>
      </c>
      <c r="H3648" t="s">
        <v>4046</v>
      </c>
      <c r="J3648" s="18" t="s">
        <v>4327</v>
      </c>
    </row>
    <row r="3649" spans="3:10" x14ac:dyDescent="0.25">
      <c r="C3649" s="17" t="str">
        <f t="shared" si="57"/>
        <v>28.801011.-22574.10717..CLEAR SCHEDULE.</v>
      </c>
      <c r="E3649">
        <v>28</v>
      </c>
      <c r="F3649">
        <v>801011</v>
      </c>
      <c r="G3649" s="2">
        <v>-225.74</v>
      </c>
      <c r="H3649" t="s">
        <v>4047</v>
      </c>
      <c r="J3649" s="18" t="s">
        <v>4327</v>
      </c>
    </row>
    <row r="3650" spans="3:10" x14ac:dyDescent="0.25">
      <c r="C3650" s="17" t="str">
        <f t="shared" si="57"/>
        <v>28.801011.-58961.10724..CLEAR SCHEDULE.</v>
      </c>
      <c r="E3650">
        <v>28</v>
      </c>
      <c r="F3650">
        <v>801011</v>
      </c>
      <c r="G3650" s="1">
        <v>-589.61</v>
      </c>
      <c r="H3650" t="s">
        <v>4048</v>
      </c>
      <c r="J3650" s="18" t="s">
        <v>4327</v>
      </c>
    </row>
    <row r="3651" spans="3:10" x14ac:dyDescent="0.25">
      <c r="C3651" s="17" t="str">
        <f t="shared" si="57"/>
        <v>28.801011.-199837.10725..CLEAR SCHEDULE.</v>
      </c>
      <c r="E3651">
        <v>28</v>
      </c>
      <c r="F3651">
        <v>801011</v>
      </c>
      <c r="G3651" s="2">
        <v>-1998.37</v>
      </c>
      <c r="H3651" t="s">
        <v>4049</v>
      </c>
      <c r="J3651" s="18" t="s">
        <v>4327</v>
      </c>
    </row>
    <row r="3652" spans="3:10" x14ac:dyDescent="0.25">
      <c r="C3652" s="17" t="str">
        <f t="shared" si="57"/>
        <v>28.801011.-20887.10726..CLEAR SCHEDULE.</v>
      </c>
      <c r="E3652">
        <v>28</v>
      </c>
      <c r="F3652">
        <v>801011</v>
      </c>
      <c r="G3652" s="1">
        <v>-208.87</v>
      </c>
      <c r="H3652" t="s">
        <v>4050</v>
      </c>
      <c r="J3652" s="18" t="s">
        <v>4327</v>
      </c>
    </row>
    <row r="3653" spans="3:10" x14ac:dyDescent="0.25">
      <c r="C3653" s="17" t="str">
        <f t="shared" si="57"/>
        <v>28.801011.-9263.10729..CLEAR SCHEDULE.</v>
      </c>
      <c r="E3653">
        <v>28</v>
      </c>
      <c r="F3653">
        <v>801011</v>
      </c>
      <c r="G3653" s="2">
        <v>-92.63</v>
      </c>
      <c r="H3653" t="s">
        <v>4051</v>
      </c>
      <c r="J3653" s="18" t="s">
        <v>4327</v>
      </c>
    </row>
    <row r="3654" spans="3:10" x14ac:dyDescent="0.25">
      <c r="C3654" s="17" t="str">
        <f t="shared" si="57"/>
        <v>28.801011.-32389.10730..CLEAR SCHEDULE.</v>
      </c>
      <c r="E3654">
        <v>28</v>
      </c>
      <c r="F3654">
        <v>801011</v>
      </c>
      <c r="G3654" s="1">
        <v>-323.89</v>
      </c>
      <c r="H3654" t="s">
        <v>4052</v>
      </c>
      <c r="J3654" s="18" t="s">
        <v>4327</v>
      </c>
    </row>
    <row r="3655" spans="3:10" x14ac:dyDescent="0.25">
      <c r="C3655" s="17" t="str">
        <f t="shared" si="57"/>
        <v>28.801011.-8972.10732..CLEAR SCHEDULE.</v>
      </c>
      <c r="E3655">
        <v>28</v>
      </c>
      <c r="F3655">
        <v>801011</v>
      </c>
      <c r="G3655" s="2">
        <v>-89.72</v>
      </c>
      <c r="H3655" t="s">
        <v>4053</v>
      </c>
      <c r="J3655" s="18" t="s">
        <v>4327</v>
      </c>
    </row>
    <row r="3656" spans="3:10" x14ac:dyDescent="0.25">
      <c r="C3656" s="17" t="str">
        <f t="shared" si="57"/>
        <v>28.801011.-8972.10733..CLEAR SCHEDULE.</v>
      </c>
      <c r="E3656">
        <v>28</v>
      </c>
      <c r="F3656">
        <v>801011</v>
      </c>
      <c r="G3656" s="1">
        <v>-89.72</v>
      </c>
      <c r="H3656" t="s">
        <v>4054</v>
      </c>
      <c r="J3656" s="18" t="s">
        <v>4327</v>
      </c>
    </row>
    <row r="3657" spans="3:10" x14ac:dyDescent="0.25">
      <c r="C3657" s="17" t="str">
        <f t="shared" si="57"/>
        <v>28.801011.-15166.10737..CLEAR SCHEDULE.</v>
      </c>
      <c r="E3657">
        <v>28</v>
      </c>
      <c r="F3657">
        <v>801011</v>
      </c>
      <c r="G3657" s="2">
        <v>-151.66</v>
      </c>
      <c r="H3657" t="s">
        <v>4055</v>
      </c>
      <c r="J3657" s="18" t="s">
        <v>4327</v>
      </c>
    </row>
    <row r="3658" spans="3:10" x14ac:dyDescent="0.25">
      <c r="C3658" s="17" t="str">
        <f t="shared" si="57"/>
        <v>28.801011.-36898.10738..CLEAR SCHEDULE.</v>
      </c>
      <c r="E3658">
        <v>28</v>
      </c>
      <c r="F3658">
        <v>801011</v>
      </c>
      <c r="G3658" s="1">
        <v>-368.98</v>
      </c>
      <c r="H3658" t="s">
        <v>4056</v>
      </c>
      <c r="J3658" s="18" t="s">
        <v>4327</v>
      </c>
    </row>
    <row r="3659" spans="3:10" x14ac:dyDescent="0.25">
      <c r="C3659" s="17" t="str">
        <f t="shared" ref="C3659:C3722" si="58">IF(G3659=0,"",(E3659&amp;"."&amp;F3659&amp;"."&amp;G3659*100&amp;"."&amp;H3659&amp;"."&amp;I3659&amp;"."&amp;J3659&amp;"."&amp;K3659))</f>
        <v>28.801011.-26788.10739..CLEAR SCHEDULE.</v>
      </c>
      <c r="E3659">
        <v>28</v>
      </c>
      <c r="F3659">
        <v>801011</v>
      </c>
      <c r="G3659" s="2">
        <v>-267.88</v>
      </c>
      <c r="H3659" t="s">
        <v>4057</v>
      </c>
      <c r="J3659" s="18" t="s">
        <v>4327</v>
      </c>
    </row>
    <row r="3660" spans="3:10" x14ac:dyDescent="0.25">
      <c r="C3660" s="17" t="str">
        <f t="shared" si="58"/>
        <v>28.801011.-14387.10742..CLEAR SCHEDULE.</v>
      </c>
      <c r="E3660">
        <v>28</v>
      </c>
      <c r="F3660">
        <v>801011</v>
      </c>
      <c r="G3660" s="1">
        <v>-143.87</v>
      </c>
      <c r="H3660" t="s">
        <v>4058</v>
      </c>
      <c r="J3660" s="18" t="s">
        <v>4327</v>
      </c>
    </row>
    <row r="3661" spans="3:10" x14ac:dyDescent="0.25">
      <c r="C3661" s="17" t="str">
        <f t="shared" si="58"/>
        <v>28.801011.-81956.10743..CLEAR SCHEDULE.</v>
      </c>
      <c r="E3661">
        <v>28</v>
      </c>
      <c r="F3661">
        <v>801011</v>
      </c>
      <c r="G3661" s="2">
        <v>-819.56</v>
      </c>
      <c r="H3661" t="s">
        <v>4059</v>
      </c>
      <c r="J3661" s="18" t="s">
        <v>4327</v>
      </c>
    </row>
    <row r="3662" spans="3:10" x14ac:dyDescent="0.25">
      <c r="C3662" s="17" t="str">
        <f t="shared" si="58"/>
        <v>28.801011.-92714.10746..CLEAR SCHEDULE.</v>
      </c>
      <c r="E3662">
        <v>28</v>
      </c>
      <c r="F3662">
        <v>801011</v>
      </c>
      <c r="G3662" s="1">
        <v>-927.14</v>
      </c>
      <c r="H3662" t="s">
        <v>4060</v>
      </c>
      <c r="J3662" s="18" t="s">
        <v>4327</v>
      </c>
    </row>
    <row r="3663" spans="3:10" x14ac:dyDescent="0.25">
      <c r="C3663" s="17" t="str">
        <f t="shared" si="58"/>
        <v>28.801011.-15187.10749..CLEAR SCHEDULE.</v>
      </c>
      <c r="E3663">
        <v>28</v>
      </c>
      <c r="F3663">
        <v>801011</v>
      </c>
      <c r="G3663" s="2">
        <v>-151.87</v>
      </c>
      <c r="H3663" t="s">
        <v>4061</v>
      </c>
      <c r="J3663" s="18" t="s">
        <v>4327</v>
      </c>
    </row>
    <row r="3664" spans="3:10" x14ac:dyDescent="0.25">
      <c r="C3664" s="17" t="str">
        <f t="shared" si="58"/>
        <v>28.801011.-15166.10750..CLEAR SCHEDULE.</v>
      </c>
      <c r="E3664">
        <v>28</v>
      </c>
      <c r="F3664">
        <v>801011</v>
      </c>
      <c r="G3664" s="1">
        <v>-151.66</v>
      </c>
      <c r="H3664" t="s">
        <v>4062</v>
      </c>
      <c r="J3664" s="18" t="s">
        <v>4327</v>
      </c>
    </row>
    <row r="3665" spans="3:10" x14ac:dyDescent="0.25">
      <c r="C3665" s="17" t="str">
        <f t="shared" si="58"/>
        <v>28.801011.-33332.10752..CLEAR SCHEDULE.</v>
      </c>
      <c r="E3665">
        <v>28</v>
      </c>
      <c r="F3665">
        <v>801011</v>
      </c>
      <c r="G3665" s="2">
        <v>-333.32</v>
      </c>
      <c r="H3665" t="s">
        <v>4063</v>
      </c>
      <c r="J3665" s="18" t="s">
        <v>4327</v>
      </c>
    </row>
    <row r="3666" spans="3:10" x14ac:dyDescent="0.25">
      <c r="C3666" s="17" t="str">
        <f t="shared" si="58"/>
        <v>28.801011.-8972.10753..CLEAR SCHEDULE.</v>
      </c>
      <c r="E3666">
        <v>28</v>
      </c>
      <c r="F3666">
        <v>801011</v>
      </c>
      <c r="G3666" s="1">
        <v>-89.72</v>
      </c>
      <c r="H3666" t="s">
        <v>4064</v>
      </c>
      <c r="J3666" s="18" t="s">
        <v>4327</v>
      </c>
    </row>
    <row r="3667" spans="3:10" x14ac:dyDescent="0.25">
      <c r="C3667" s="17" t="str">
        <f t="shared" si="58"/>
        <v>28.801011.-19742.10754..CLEAR SCHEDULE.</v>
      </c>
      <c r="E3667">
        <v>28</v>
      </c>
      <c r="F3667">
        <v>801011</v>
      </c>
      <c r="G3667" s="2">
        <v>-197.42</v>
      </c>
      <c r="H3667" t="s">
        <v>4065</v>
      </c>
      <c r="J3667" s="18" t="s">
        <v>4327</v>
      </c>
    </row>
    <row r="3668" spans="3:10" x14ac:dyDescent="0.25">
      <c r="C3668" s="17" t="str">
        <f t="shared" si="58"/>
        <v>28.801011.-11028.10755..CLEAR SCHEDULE.</v>
      </c>
      <c r="E3668">
        <v>28</v>
      </c>
      <c r="F3668">
        <v>801011</v>
      </c>
      <c r="G3668" s="1">
        <v>-110.28</v>
      </c>
      <c r="H3668" t="s">
        <v>4066</v>
      </c>
      <c r="J3668" s="18" t="s">
        <v>4327</v>
      </c>
    </row>
    <row r="3669" spans="3:10" x14ac:dyDescent="0.25">
      <c r="C3669" s="17" t="str">
        <f t="shared" si="58"/>
        <v>28.801011.-60551.10757..CLEAR SCHEDULE.</v>
      </c>
      <c r="E3669">
        <v>28</v>
      </c>
      <c r="F3669">
        <v>801011</v>
      </c>
      <c r="G3669" s="2">
        <v>-605.51</v>
      </c>
      <c r="H3669" t="s">
        <v>4067</v>
      </c>
      <c r="J3669" s="18" t="s">
        <v>4327</v>
      </c>
    </row>
    <row r="3670" spans="3:10" x14ac:dyDescent="0.25">
      <c r="C3670" s="17" t="str">
        <f t="shared" si="58"/>
        <v>28.801011.-33168.10758..CLEAR SCHEDULE.</v>
      </c>
      <c r="E3670">
        <v>28</v>
      </c>
      <c r="F3670">
        <v>801011</v>
      </c>
      <c r="G3670" s="1">
        <v>-331.68</v>
      </c>
      <c r="H3670" t="s">
        <v>4068</v>
      </c>
      <c r="J3670" s="18" t="s">
        <v>4327</v>
      </c>
    </row>
    <row r="3671" spans="3:10" x14ac:dyDescent="0.25">
      <c r="C3671" s="17" t="str">
        <f t="shared" si="58"/>
        <v>28.801011.-107391.10763..CLEAR SCHEDULE.</v>
      </c>
      <c r="E3671">
        <v>28</v>
      </c>
      <c r="F3671">
        <v>801011</v>
      </c>
      <c r="G3671" s="2">
        <v>-1073.9100000000001</v>
      </c>
      <c r="H3671" t="s">
        <v>4069</v>
      </c>
      <c r="J3671" s="18" t="s">
        <v>4327</v>
      </c>
    </row>
    <row r="3672" spans="3:10" x14ac:dyDescent="0.25">
      <c r="C3672" s="17" t="str">
        <f t="shared" si="58"/>
        <v>28.801011.-5415.10764..CLEAR SCHEDULE.</v>
      </c>
      <c r="E3672">
        <v>28</v>
      </c>
      <c r="F3672">
        <v>801011</v>
      </c>
      <c r="G3672" s="1">
        <v>-54.15</v>
      </c>
      <c r="H3672" t="s">
        <v>4070</v>
      </c>
      <c r="J3672" s="18" t="s">
        <v>4327</v>
      </c>
    </row>
    <row r="3673" spans="3:10" x14ac:dyDescent="0.25">
      <c r="C3673" s="17" t="str">
        <f t="shared" si="58"/>
        <v>28.801011.-59491.10767..CLEAR SCHEDULE.</v>
      </c>
      <c r="E3673">
        <v>28</v>
      </c>
      <c r="F3673">
        <v>801011</v>
      </c>
      <c r="G3673" s="2">
        <v>-594.91</v>
      </c>
      <c r="H3673" t="s">
        <v>4071</v>
      </c>
      <c r="J3673" s="18" t="s">
        <v>4327</v>
      </c>
    </row>
    <row r="3674" spans="3:10" x14ac:dyDescent="0.25">
      <c r="C3674" s="17" t="str">
        <f t="shared" si="58"/>
        <v>28.801011.-197392.10769..CLEAR SCHEDULE.</v>
      </c>
      <c r="E3674">
        <v>28</v>
      </c>
      <c r="F3674">
        <v>801011</v>
      </c>
      <c r="G3674" s="1">
        <v>-1973.92</v>
      </c>
      <c r="H3674" t="s">
        <v>4072</v>
      </c>
      <c r="J3674" s="18" t="s">
        <v>4327</v>
      </c>
    </row>
    <row r="3675" spans="3:10" x14ac:dyDescent="0.25">
      <c r="C3675" s="17" t="str">
        <f t="shared" si="58"/>
        <v>28.801011.-54042.10775..CLEAR SCHEDULE.</v>
      </c>
      <c r="E3675">
        <v>28</v>
      </c>
      <c r="F3675">
        <v>801011</v>
      </c>
      <c r="G3675" s="2">
        <v>-540.41999999999996</v>
      </c>
      <c r="H3675" t="s">
        <v>4073</v>
      </c>
      <c r="J3675" s="18" t="s">
        <v>4327</v>
      </c>
    </row>
    <row r="3676" spans="3:10" x14ac:dyDescent="0.25">
      <c r="C3676" s="17" t="str">
        <f t="shared" si="58"/>
        <v>28.801011.-72836.10776..CLEAR SCHEDULE.</v>
      </c>
      <c r="E3676">
        <v>28</v>
      </c>
      <c r="F3676">
        <v>801011</v>
      </c>
      <c r="G3676" s="1">
        <v>-728.36</v>
      </c>
      <c r="H3676" t="s">
        <v>4074</v>
      </c>
      <c r="J3676" s="18" t="s">
        <v>4327</v>
      </c>
    </row>
    <row r="3677" spans="3:10" x14ac:dyDescent="0.25">
      <c r="C3677" s="17" t="str">
        <f t="shared" si="58"/>
        <v>28.801011.-176083.10777..CLEAR SCHEDULE.</v>
      </c>
      <c r="E3677">
        <v>28</v>
      </c>
      <c r="F3677">
        <v>801011</v>
      </c>
      <c r="G3677" s="2">
        <v>-1760.83</v>
      </c>
      <c r="H3677" t="s">
        <v>4075</v>
      </c>
      <c r="J3677" s="18" t="s">
        <v>4327</v>
      </c>
    </row>
    <row r="3678" spans="3:10" x14ac:dyDescent="0.25">
      <c r="C3678" s="17" t="str">
        <f t="shared" si="58"/>
        <v>28.801011.-14387.10782..CLEAR SCHEDULE.</v>
      </c>
      <c r="E3678">
        <v>28</v>
      </c>
      <c r="F3678">
        <v>801011</v>
      </c>
      <c r="G3678" s="1">
        <v>-143.87</v>
      </c>
      <c r="H3678" t="s">
        <v>4076</v>
      </c>
      <c r="J3678" s="18" t="s">
        <v>4327</v>
      </c>
    </row>
    <row r="3679" spans="3:10" x14ac:dyDescent="0.25">
      <c r="C3679" s="17" t="str">
        <f t="shared" si="58"/>
        <v>28.801011.-10530.10783..CLEAR SCHEDULE.</v>
      </c>
      <c r="E3679">
        <v>28</v>
      </c>
      <c r="F3679">
        <v>801011</v>
      </c>
      <c r="G3679" s="2">
        <v>-105.3</v>
      </c>
      <c r="H3679" t="s">
        <v>4077</v>
      </c>
      <c r="J3679" s="18" t="s">
        <v>4327</v>
      </c>
    </row>
    <row r="3680" spans="3:10" x14ac:dyDescent="0.25">
      <c r="C3680" s="17" t="str">
        <f t="shared" si="58"/>
        <v>28.801011.-10530.10784..CLEAR SCHEDULE.</v>
      </c>
      <c r="E3680">
        <v>28</v>
      </c>
      <c r="F3680">
        <v>801011</v>
      </c>
      <c r="G3680" s="1">
        <v>-105.3</v>
      </c>
      <c r="H3680" t="s">
        <v>4078</v>
      </c>
      <c r="J3680" s="18" t="s">
        <v>4327</v>
      </c>
    </row>
    <row r="3681" spans="3:10" x14ac:dyDescent="0.25">
      <c r="C3681" s="17" t="str">
        <f t="shared" si="58"/>
        <v>28.801011.-19325.10785..CLEAR SCHEDULE.</v>
      </c>
      <c r="E3681">
        <v>28</v>
      </c>
      <c r="F3681">
        <v>801011</v>
      </c>
      <c r="G3681" s="2">
        <v>-193.25</v>
      </c>
      <c r="H3681" t="s">
        <v>4079</v>
      </c>
      <c r="J3681" s="18" t="s">
        <v>4327</v>
      </c>
    </row>
    <row r="3682" spans="3:10" x14ac:dyDescent="0.25">
      <c r="C3682" s="17" t="str">
        <f t="shared" si="58"/>
        <v>28.801011.-15166.10789..CLEAR SCHEDULE.</v>
      </c>
      <c r="E3682">
        <v>28</v>
      </c>
      <c r="F3682">
        <v>801011</v>
      </c>
      <c r="G3682" s="1">
        <v>-151.66</v>
      </c>
      <c r="H3682" t="s">
        <v>4080</v>
      </c>
      <c r="J3682" s="18" t="s">
        <v>4327</v>
      </c>
    </row>
    <row r="3683" spans="3:10" x14ac:dyDescent="0.25">
      <c r="C3683" s="17" t="str">
        <f t="shared" si="58"/>
        <v>28.801011.-293971.10791..CLEAR SCHEDULE.</v>
      </c>
      <c r="E3683">
        <v>28</v>
      </c>
      <c r="F3683">
        <v>801011</v>
      </c>
      <c r="G3683" s="2">
        <v>-2939.71</v>
      </c>
      <c r="H3683" t="s">
        <v>4081</v>
      </c>
      <c r="J3683" s="18" t="s">
        <v>4327</v>
      </c>
    </row>
    <row r="3684" spans="3:10" x14ac:dyDescent="0.25">
      <c r="C3684" s="17" t="str">
        <f t="shared" si="58"/>
        <v>28.801011.-23930.10793..CLEAR SCHEDULE.</v>
      </c>
      <c r="E3684">
        <v>28</v>
      </c>
      <c r="F3684">
        <v>801011</v>
      </c>
      <c r="G3684" s="1">
        <v>-239.3</v>
      </c>
      <c r="H3684" t="s">
        <v>4082</v>
      </c>
      <c r="J3684" s="18" t="s">
        <v>4327</v>
      </c>
    </row>
    <row r="3685" spans="3:10" x14ac:dyDescent="0.25">
      <c r="C3685" s="17" t="str">
        <f t="shared" si="58"/>
        <v>28.801011.-38532.10795..CLEAR SCHEDULE.</v>
      </c>
      <c r="E3685">
        <v>28</v>
      </c>
      <c r="F3685">
        <v>801011</v>
      </c>
      <c r="G3685" s="2">
        <v>-385.32</v>
      </c>
      <c r="H3685" t="s">
        <v>4083</v>
      </c>
      <c r="J3685" s="18" t="s">
        <v>4327</v>
      </c>
    </row>
    <row r="3686" spans="3:10" x14ac:dyDescent="0.25">
      <c r="C3686" s="17" t="str">
        <f t="shared" si="58"/>
        <v>28.801011.-32755.10798..CLEAR SCHEDULE.</v>
      </c>
      <c r="E3686">
        <v>28</v>
      </c>
      <c r="F3686">
        <v>801011</v>
      </c>
      <c r="G3686" s="1">
        <v>-327.55</v>
      </c>
      <c r="H3686" t="s">
        <v>4084</v>
      </c>
      <c r="J3686" s="18" t="s">
        <v>4327</v>
      </c>
    </row>
    <row r="3687" spans="3:10" x14ac:dyDescent="0.25">
      <c r="C3687" s="17" t="str">
        <f t="shared" si="58"/>
        <v>28.801011.-104522.10805..CLEAR SCHEDULE.</v>
      </c>
      <c r="E3687">
        <v>28</v>
      </c>
      <c r="F3687">
        <v>801011</v>
      </c>
      <c r="G3687" s="2">
        <v>-1045.22</v>
      </c>
      <c r="H3687" t="s">
        <v>4085</v>
      </c>
      <c r="J3687" s="18" t="s">
        <v>4327</v>
      </c>
    </row>
    <row r="3688" spans="3:10" x14ac:dyDescent="0.25">
      <c r="C3688" s="17" t="str">
        <f t="shared" si="58"/>
        <v>28.801011.-14387.10806..CLEAR SCHEDULE.</v>
      </c>
      <c r="E3688">
        <v>28</v>
      </c>
      <c r="F3688">
        <v>801011</v>
      </c>
      <c r="G3688" s="1">
        <v>-143.87</v>
      </c>
      <c r="H3688" t="s">
        <v>4086</v>
      </c>
      <c r="J3688" s="18" t="s">
        <v>4327</v>
      </c>
    </row>
    <row r="3689" spans="3:10" x14ac:dyDescent="0.25">
      <c r="C3689" s="17" t="str">
        <f t="shared" si="58"/>
        <v>28.801011.-39484.10807..CLEAR SCHEDULE.</v>
      </c>
      <c r="E3689">
        <v>28</v>
      </c>
      <c r="F3689">
        <v>801011</v>
      </c>
      <c r="G3689" s="2">
        <v>-394.84</v>
      </c>
      <c r="H3689" t="s">
        <v>4087</v>
      </c>
      <c r="J3689" s="18" t="s">
        <v>4327</v>
      </c>
    </row>
    <row r="3690" spans="3:10" x14ac:dyDescent="0.25">
      <c r="C3690" s="17" t="str">
        <f t="shared" si="58"/>
        <v>28.801011.-5415.10809..CLEAR SCHEDULE.</v>
      </c>
      <c r="E3690">
        <v>28</v>
      </c>
      <c r="F3690">
        <v>801011</v>
      </c>
      <c r="G3690" s="1">
        <v>-54.15</v>
      </c>
      <c r="H3690" t="s">
        <v>4088</v>
      </c>
      <c r="J3690" s="18" t="s">
        <v>4327</v>
      </c>
    </row>
    <row r="3691" spans="3:10" x14ac:dyDescent="0.25">
      <c r="C3691" s="17" t="str">
        <f t="shared" si="58"/>
        <v>28.801011.-135425.10811..CLEAR SCHEDULE.</v>
      </c>
      <c r="E3691">
        <v>28</v>
      </c>
      <c r="F3691">
        <v>801011</v>
      </c>
      <c r="G3691" s="2">
        <v>-1354.25</v>
      </c>
      <c r="H3691" t="s">
        <v>4089</v>
      </c>
      <c r="J3691" s="18" t="s">
        <v>4327</v>
      </c>
    </row>
    <row r="3692" spans="3:10" x14ac:dyDescent="0.25">
      <c r="C3692" s="17" t="str">
        <f t="shared" si="58"/>
        <v>28.801011.-14387.10812..CLEAR SCHEDULE.</v>
      </c>
      <c r="E3692">
        <v>28</v>
      </c>
      <c r="F3692">
        <v>801011</v>
      </c>
      <c r="G3692" s="1">
        <v>-143.87</v>
      </c>
      <c r="H3692" t="s">
        <v>4090</v>
      </c>
      <c r="J3692" s="18" t="s">
        <v>4327</v>
      </c>
    </row>
    <row r="3693" spans="3:10" x14ac:dyDescent="0.25">
      <c r="C3693" s="17" t="str">
        <f t="shared" si="58"/>
        <v>28.801011.-95303.10813..CLEAR SCHEDULE.</v>
      </c>
      <c r="E3693">
        <v>28</v>
      </c>
      <c r="F3693">
        <v>801011</v>
      </c>
      <c r="G3693" s="2">
        <v>-953.03</v>
      </c>
      <c r="H3693" t="s">
        <v>4091</v>
      </c>
      <c r="J3693" s="18" t="s">
        <v>4327</v>
      </c>
    </row>
    <row r="3694" spans="3:10" x14ac:dyDescent="0.25">
      <c r="C3694" s="17" t="str">
        <f t="shared" si="58"/>
        <v>28.801011.-8972.10818..CLEAR SCHEDULE.</v>
      </c>
      <c r="E3694">
        <v>28</v>
      </c>
      <c r="F3694">
        <v>801011</v>
      </c>
      <c r="G3694" s="1">
        <v>-89.72</v>
      </c>
      <c r="H3694" t="s">
        <v>4092</v>
      </c>
      <c r="J3694" s="18" t="s">
        <v>4327</v>
      </c>
    </row>
    <row r="3695" spans="3:10" x14ac:dyDescent="0.25">
      <c r="C3695" s="17" t="str">
        <f t="shared" si="58"/>
        <v>28.801011.-4800.10819..CLEAR SCHEDULE.</v>
      </c>
      <c r="E3695">
        <v>28</v>
      </c>
      <c r="F3695">
        <v>801011</v>
      </c>
      <c r="G3695" s="2">
        <v>-48</v>
      </c>
      <c r="H3695" t="s">
        <v>4093</v>
      </c>
      <c r="J3695" s="18" t="s">
        <v>4327</v>
      </c>
    </row>
    <row r="3696" spans="3:10" x14ac:dyDescent="0.25">
      <c r="C3696" s="17" t="str">
        <f t="shared" si="58"/>
        <v>28.801011.-101432.10823..CLEAR SCHEDULE.</v>
      </c>
      <c r="E3696">
        <v>28</v>
      </c>
      <c r="F3696">
        <v>801011</v>
      </c>
      <c r="G3696" s="1">
        <v>-1014.32</v>
      </c>
      <c r="H3696" t="s">
        <v>4094</v>
      </c>
      <c r="J3696" s="18" t="s">
        <v>4327</v>
      </c>
    </row>
    <row r="3697" spans="3:10" x14ac:dyDescent="0.25">
      <c r="C3697" s="17" t="str">
        <f t="shared" si="58"/>
        <v>28.801011.-72210.10824..CLEAR SCHEDULE.</v>
      </c>
      <c r="E3697">
        <v>28</v>
      </c>
      <c r="F3697">
        <v>801011</v>
      </c>
      <c r="G3697" s="2">
        <v>-722.1</v>
      </c>
      <c r="H3697" t="s">
        <v>4095</v>
      </c>
      <c r="J3697" s="18" t="s">
        <v>4327</v>
      </c>
    </row>
    <row r="3698" spans="3:10" x14ac:dyDescent="0.25">
      <c r="C3698" s="17" t="str">
        <f t="shared" si="58"/>
        <v>28.801011.-8972.10834..CLEAR SCHEDULE.</v>
      </c>
      <c r="E3698">
        <v>28</v>
      </c>
      <c r="F3698">
        <v>801011</v>
      </c>
      <c r="G3698" s="1">
        <v>-89.72</v>
      </c>
      <c r="H3698" t="s">
        <v>4096</v>
      </c>
      <c r="J3698" s="18" t="s">
        <v>4327</v>
      </c>
    </row>
    <row r="3699" spans="3:10" x14ac:dyDescent="0.25">
      <c r="C3699" s="17" t="str">
        <f t="shared" si="58"/>
        <v>28.801011.-10477.10836..CLEAR SCHEDULE.</v>
      </c>
      <c r="E3699">
        <v>28</v>
      </c>
      <c r="F3699">
        <v>801011</v>
      </c>
      <c r="G3699" s="2">
        <v>-104.77</v>
      </c>
      <c r="H3699" t="s">
        <v>4097</v>
      </c>
      <c r="J3699" s="18" t="s">
        <v>4327</v>
      </c>
    </row>
    <row r="3700" spans="3:10" x14ac:dyDescent="0.25">
      <c r="C3700" s="17" t="str">
        <f t="shared" si="58"/>
        <v>28.801011.-65097.10838..CLEAR SCHEDULE.</v>
      </c>
      <c r="E3700">
        <v>28</v>
      </c>
      <c r="F3700">
        <v>801011</v>
      </c>
      <c r="G3700" s="1">
        <v>-650.97</v>
      </c>
      <c r="H3700" t="s">
        <v>4098</v>
      </c>
      <c r="J3700" s="18" t="s">
        <v>4327</v>
      </c>
    </row>
    <row r="3701" spans="3:10" x14ac:dyDescent="0.25">
      <c r="C3701" s="17" t="str">
        <f t="shared" si="58"/>
        <v>28.801011.-51927.10840..CLEAR SCHEDULE.</v>
      </c>
      <c r="E3701">
        <v>28</v>
      </c>
      <c r="F3701">
        <v>801011</v>
      </c>
      <c r="G3701" s="2">
        <v>-519.27</v>
      </c>
      <c r="H3701" t="s">
        <v>4099</v>
      </c>
      <c r="J3701" s="18" t="s">
        <v>4327</v>
      </c>
    </row>
    <row r="3702" spans="3:10" x14ac:dyDescent="0.25">
      <c r="C3702" s="17" t="str">
        <f t="shared" si="58"/>
        <v>28.801011.-15945.10842..CLEAR SCHEDULE.</v>
      </c>
      <c r="E3702">
        <v>28</v>
      </c>
      <c r="F3702">
        <v>801011</v>
      </c>
      <c r="G3702" s="1">
        <v>-159.44999999999999</v>
      </c>
      <c r="H3702" t="s">
        <v>4100</v>
      </c>
      <c r="J3702" s="18" t="s">
        <v>4327</v>
      </c>
    </row>
    <row r="3703" spans="3:10" x14ac:dyDescent="0.25">
      <c r="C3703" s="17" t="str">
        <f t="shared" si="58"/>
        <v>28.801011.-54418.10843..CLEAR SCHEDULE.</v>
      </c>
      <c r="E3703">
        <v>28</v>
      </c>
      <c r="F3703">
        <v>801011</v>
      </c>
      <c r="G3703" s="2">
        <v>-544.17999999999995</v>
      </c>
      <c r="H3703" t="s">
        <v>4101</v>
      </c>
      <c r="J3703" s="18" t="s">
        <v>4327</v>
      </c>
    </row>
    <row r="3704" spans="3:10" x14ac:dyDescent="0.25">
      <c r="C3704" s="17" t="str">
        <f t="shared" si="58"/>
        <v>28.801011.-15945.10844..CLEAR SCHEDULE.</v>
      </c>
      <c r="E3704">
        <v>28</v>
      </c>
      <c r="F3704">
        <v>801011</v>
      </c>
      <c r="G3704" s="1">
        <v>-159.44999999999999</v>
      </c>
      <c r="H3704" t="s">
        <v>4102</v>
      </c>
      <c r="J3704" s="18" t="s">
        <v>4327</v>
      </c>
    </row>
    <row r="3705" spans="3:10" x14ac:dyDescent="0.25">
      <c r="C3705" s="17" t="str">
        <f t="shared" si="58"/>
        <v>28.801011.-20618.10845..CLEAR SCHEDULE.</v>
      </c>
      <c r="E3705">
        <v>28</v>
      </c>
      <c r="F3705">
        <v>801011</v>
      </c>
      <c r="G3705" s="2">
        <v>-206.18</v>
      </c>
      <c r="H3705" t="s">
        <v>4103</v>
      </c>
      <c r="J3705" s="18" t="s">
        <v>4327</v>
      </c>
    </row>
    <row r="3706" spans="3:10" x14ac:dyDescent="0.25">
      <c r="C3706" s="17" t="str">
        <f t="shared" si="58"/>
        <v>28.801011.-62049.10847..CLEAR SCHEDULE.</v>
      </c>
      <c r="E3706">
        <v>28</v>
      </c>
      <c r="F3706">
        <v>801011</v>
      </c>
      <c r="G3706" s="1">
        <v>-620.49</v>
      </c>
      <c r="H3706" t="s">
        <v>4104</v>
      </c>
      <c r="J3706" s="18" t="s">
        <v>4327</v>
      </c>
    </row>
    <row r="3707" spans="3:10" x14ac:dyDescent="0.25">
      <c r="C3707" s="17" t="str">
        <f t="shared" si="58"/>
        <v>28.801011.-5415.10848..CLEAR SCHEDULE.</v>
      </c>
      <c r="E3707">
        <v>28</v>
      </c>
      <c r="F3707">
        <v>801011</v>
      </c>
      <c r="G3707" s="2">
        <v>-54.15</v>
      </c>
      <c r="H3707" t="s">
        <v>4105</v>
      </c>
      <c r="J3707" s="18" t="s">
        <v>4327</v>
      </c>
    </row>
    <row r="3708" spans="3:10" x14ac:dyDescent="0.25">
      <c r="C3708" s="17" t="str">
        <f t="shared" si="58"/>
        <v>28.801011.-14708.10849..CLEAR SCHEDULE.</v>
      </c>
      <c r="E3708">
        <v>28</v>
      </c>
      <c r="F3708">
        <v>801011</v>
      </c>
      <c r="G3708" s="1">
        <v>-147.08000000000001</v>
      </c>
      <c r="H3708" t="s">
        <v>4106</v>
      </c>
      <c r="J3708" s="18" t="s">
        <v>4327</v>
      </c>
    </row>
    <row r="3709" spans="3:10" x14ac:dyDescent="0.25">
      <c r="C3709" s="17" t="str">
        <f t="shared" si="58"/>
        <v>28.801011.-39535.10855..CLEAR SCHEDULE.</v>
      </c>
      <c r="E3709">
        <v>28</v>
      </c>
      <c r="F3709">
        <v>801011</v>
      </c>
      <c r="G3709" s="2">
        <v>-395.35</v>
      </c>
      <c r="H3709" t="s">
        <v>4107</v>
      </c>
      <c r="J3709" s="18" t="s">
        <v>4327</v>
      </c>
    </row>
    <row r="3710" spans="3:10" x14ac:dyDescent="0.25">
      <c r="C3710" s="17" t="str">
        <f t="shared" si="58"/>
        <v>28.801011.-19742.10856..CLEAR SCHEDULE.</v>
      </c>
      <c r="E3710">
        <v>28</v>
      </c>
      <c r="F3710">
        <v>801011</v>
      </c>
      <c r="G3710" s="1">
        <v>-197.42</v>
      </c>
      <c r="H3710" t="s">
        <v>4108</v>
      </c>
      <c r="J3710" s="18" t="s">
        <v>4327</v>
      </c>
    </row>
    <row r="3711" spans="3:10" x14ac:dyDescent="0.25">
      <c r="C3711" s="17" t="str">
        <f t="shared" si="58"/>
        <v>28.801011.-8972.10858..CLEAR SCHEDULE.</v>
      </c>
      <c r="E3711">
        <v>28</v>
      </c>
      <c r="F3711">
        <v>801011</v>
      </c>
      <c r="G3711" s="2">
        <v>-89.72</v>
      </c>
      <c r="H3711" t="s">
        <v>4109</v>
      </c>
      <c r="J3711" s="18" t="s">
        <v>4327</v>
      </c>
    </row>
    <row r="3712" spans="3:10" x14ac:dyDescent="0.25">
      <c r="C3712" s="17" t="str">
        <f t="shared" si="58"/>
        <v>28.801011.-14387.10859..CLEAR SCHEDULE.</v>
      </c>
      <c r="E3712">
        <v>28</v>
      </c>
      <c r="F3712">
        <v>801011</v>
      </c>
      <c r="G3712" s="1">
        <v>-143.87</v>
      </c>
      <c r="H3712" t="s">
        <v>4110</v>
      </c>
      <c r="J3712" s="18" t="s">
        <v>4327</v>
      </c>
    </row>
    <row r="3713" spans="3:10" x14ac:dyDescent="0.25">
      <c r="C3713" s="17" t="str">
        <f t="shared" si="58"/>
        <v>28.801011.-20483.10860..CLEAR SCHEDULE.</v>
      </c>
      <c r="E3713">
        <v>28</v>
      </c>
      <c r="F3713">
        <v>801011</v>
      </c>
      <c r="G3713" s="2">
        <v>-204.83</v>
      </c>
      <c r="H3713" t="s">
        <v>4111</v>
      </c>
      <c r="J3713" s="18" t="s">
        <v>4327</v>
      </c>
    </row>
    <row r="3714" spans="3:10" x14ac:dyDescent="0.25">
      <c r="C3714" s="17" t="str">
        <f t="shared" si="58"/>
        <v>28.801011.-18275.10862..CLEAR SCHEDULE.</v>
      </c>
      <c r="E3714">
        <v>28</v>
      </c>
      <c r="F3714">
        <v>801011</v>
      </c>
      <c r="G3714" s="1">
        <v>-182.75</v>
      </c>
      <c r="H3714" t="s">
        <v>4112</v>
      </c>
      <c r="J3714" s="18" t="s">
        <v>4327</v>
      </c>
    </row>
    <row r="3715" spans="3:10" x14ac:dyDescent="0.25">
      <c r="C3715" s="17" t="str">
        <f t="shared" si="58"/>
        <v>28.801011.-10004.10864..CLEAR SCHEDULE.</v>
      </c>
      <c r="E3715">
        <v>28</v>
      </c>
      <c r="F3715">
        <v>801011</v>
      </c>
      <c r="G3715" s="2">
        <v>-100.04</v>
      </c>
      <c r="H3715" t="s">
        <v>4113</v>
      </c>
      <c r="J3715" s="18" t="s">
        <v>4327</v>
      </c>
    </row>
    <row r="3716" spans="3:10" x14ac:dyDescent="0.25">
      <c r="C3716" s="17" t="str">
        <f t="shared" si="58"/>
        <v>28.801011.-49020.10865..CLEAR SCHEDULE.</v>
      </c>
      <c r="E3716">
        <v>28</v>
      </c>
      <c r="F3716">
        <v>801011</v>
      </c>
      <c r="G3716" s="1">
        <v>-490.2</v>
      </c>
      <c r="H3716" t="s">
        <v>4114</v>
      </c>
      <c r="J3716" s="18" t="s">
        <v>4327</v>
      </c>
    </row>
    <row r="3717" spans="3:10" x14ac:dyDescent="0.25">
      <c r="C3717" s="17" t="str">
        <f t="shared" si="58"/>
        <v>28.801011.-5798.10866..CLEAR SCHEDULE.</v>
      </c>
      <c r="E3717">
        <v>28</v>
      </c>
      <c r="F3717">
        <v>801011</v>
      </c>
      <c r="G3717" s="2">
        <v>-57.98</v>
      </c>
      <c r="H3717" t="s">
        <v>4115</v>
      </c>
      <c r="J3717" s="18" t="s">
        <v>4327</v>
      </c>
    </row>
    <row r="3718" spans="3:10" x14ac:dyDescent="0.25">
      <c r="C3718" s="17" t="str">
        <f t="shared" si="58"/>
        <v>28.801011.-76023.10867..CLEAR SCHEDULE.</v>
      </c>
      <c r="E3718">
        <v>28</v>
      </c>
      <c r="F3718">
        <v>801011</v>
      </c>
      <c r="G3718" s="1">
        <v>-760.23</v>
      </c>
      <c r="H3718" t="s">
        <v>4116</v>
      </c>
      <c r="J3718" s="18" t="s">
        <v>4327</v>
      </c>
    </row>
    <row r="3719" spans="3:10" x14ac:dyDescent="0.25">
      <c r="C3719" s="17" t="str">
        <f t="shared" si="58"/>
        <v>28.801011.-5415.10868..CLEAR SCHEDULE.</v>
      </c>
      <c r="E3719">
        <v>28</v>
      </c>
      <c r="F3719">
        <v>801011</v>
      </c>
      <c r="G3719" s="2">
        <v>-54.15</v>
      </c>
      <c r="H3719" t="s">
        <v>4117</v>
      </c>
      <c r="J3719" s="18" t="s">
        <v>4327</v>
      </c>
    </row>
    <row r="3720" spans="3:10" x14ac:dyDescent="0.25">
      <c r="C3720" s="17" t="str">
        <f t="shared" si="58"/>
        <v>28.801011.-35790.10869..CLEAR SCHEDULE.</v>
      </c>
      <c r="E3720">
        <v>28</v>
      </c>
      <c r="F3720">
        <v>801011</v>
      </c>
      <c r="G3720" s="1">
        <v>-357.9</v>
      </c>
      <c r="H3720" t="s">
        <v>4118</v>
      </c>
      <c r="J3720" s="18" t="s">
        <v>4327</v>
      </c>
    </row>
    <row r="3721" spans="3:10" x14ac:dyDescent="0.25">
      <c r="C3721" s="17" t="str">
        <f t="shared" si="58"/>
        <v>28.801011.-7828.10870..CLEAR SCHEDULE.</v>
      </c>
      <c r="E3721">
        <v>28</v>
      </c>
      <c r="F3721">
        <v>801011</v>
      </c>
      <c r="G3721" s="2">
        <v>-78.28</v>
      </c>
      <c r="H3721" t="s">
        <v>4119</v>
      </c>
      <c r="J3721" s="18" t="s">
        <v>4327</v>
      </c>
    </row>
    <row r="3722" spans="3:10" x14ac:dyDescent="0.25">
      <c r="C3722" s="17" t="str">
        <f t="shared" si="58"/>
        <v>28.801011.-14387.10871..CLEAR SCHEDULE.</v>
      </c>
      <c r="E3722">
        <v>28</v>
      </c>
      <c r="F3722">
        <v>801011</v>
      </c>
      <c r="G3722" s="1">
        <v>-143.87</v>
      </c>
      <c r="H3722" t="s">
        <v>4120</v>
      </c>
      <c r="J3722" s="18" t="s">
        <v>4327</v>
      </c>
    </row>
    <row r="3723" spans="3:10" x14ac:dyDescent="0.25">
      <c r="C3723" s="17" t="str">
        <f t="shared" ref="C3723:C3786" si="59">IF(G3723=0,"",(E3723&amp;"."&amp;F3723&amp;"."&amp;G3723*100&amp;"."&amp;H3723&amp;"."&amp;I3723&amp;"."&amp;J3723&amp;"."&amp;K3723))</f>
        <v>28.801011.-9476.10876..CLEAR SCHEDULE.</v>
      </c>
      <c r="E3723">
        <v>28</v>
      </c>
      <c r="F3723">
        <v>801011</v>
      </c>
      <c r="G3723" s="2">
        <v>-94.76</v>
      </c>
      <c r="H3723" t="s">
        <v>4121</v>
      </c>
      <c r="J3723" s="18" t="s">
        <v>4327</v>
      </c>
    </row>
    <row r="3724" spans="3:10" x14ac:dyDescent="0.25">
      <c r="C3724" s="17" t="str">
        <f t="shared" si="59"/>
        <v>28.801011.-22294.10877..CLEAR SCHEDULE.</v>
      </c>
      <c r="E3724">
        <v>28</v>
      </c>
      <c r="F3724">
        <v>801011</v>
      </c>
      <c r="G3724" s="1">
        <v>-222.94</v>
      </c>
      <c r="H3724" t="s">
        <v>4122</v>
      </c>
      <c r="J3724" s="18" t="s">
        <v>4327</v>
      </c>
    </row>
    <row r="3725" spans="3:10" x14ac:dyDescent="0.25">
      <c r="C3725" s="17" t="str">
        <f t="shared" si="59"/>
        <v>28.801011.-127620.10878..CLEAR SCHEDULE.</v>
      </c>
      <c r="E3725">
        <v>28</v>
      </c>
      <c r="F3725">
        <v>801011</v>
      </c>
      <c r="G3725" s="2">
        <v>-1276.2</v>
      </c>
      <c r="H3725" t="s">
        <v>4123</v>
      </c>
      <c r="J3725" s="18" t="s">
        <v>4327</v>
      </c>
    </row>
    <row r="3726" spans="3:10" x14ac:dyDescent="0.25">
      <c r="C3726" s="17" t="str">
        <f t="shared" si="59"/>
        <v>28.801011.-5250.10881..CLEAR SCHEDULE.</v>
      </c>
      <c r="E3726">
        <v>28</v>
      </c>
      <c r="F3726">
        <v>801011</v>
      </c>
      <c r="G3726" s="1">
        <v>-52.5</v>
      </c>
      <c r="H3726" t="s">
        <v>4124</v>
      </c>
      <c r="J3726" s="18" t="s">
        <v>4327</v>
      </c>
    </row>
    <row r="3727" spans="3:10" x14ac:dyDescent="0.25">
      <c r="C3727" s="17" t="str">
        <f t="shared" si="59"/>
        <v>28.801011.-15865.10882..CLEAR SCHEDULE.</v>
      </c>
      <c r="E3727">
        <v>28</v>
      </c>
      <c r="F3727">
        <v>801011</v>
      </c>
      <c r="G3727" s="2">
        <v>-158.65</v>
      </c>
      <c r="H3727" t="s">
        <v>4125</v>
      </c>
      <c r="J3727" s="18" t="s">
        <v>4327</v>
      </c>
    </row>
    <row r="3728" spans="3:10" x14ac:dyDescent="0.25">
      <c r="C3728" s="17" t="str">
        <f t="shared" si="59"/>
        <v>28.801011.-8972.10884..CLEAR SCHEDULE.</v>
      </c>
      <c r="E3728">
        <v>28</v>
      </c>
      <c r="F3728">
        <v>801011</v>
      </c>
      <c r="G3728" s="1">
        <v>-89.72</v>
      </c>
      <c r="H3728" t="s">
        <v>4126</v>
      </c>
      <c r="J3728" s="18" t="s">
        <v>4327</v>
      </c>
    </row>
    <row r="3729" spans="3:10" x14ac:dyDescent="0.25">
      <c r="C3729" s="17" t="str">
        <f t="shared" si="59"/>
        <v>28.801011.-62323.10886..CLEAR SCHEDULE.</v>
      </c>
      <c r="E3729">
        <v>28</v>
      </c>
      <c r="F3729">
        <v>801011</v>
      </c>
      <c r="G3729" s="2">
        <v>-623.23</v>
      </c>
      <c r="H3729" t="s">
        <v>4127</v>
      </c>
      <c r="J3729" s="18" t="s">
        <v>4327</v>
      </c>
    </row>
    <row r="3730" spans="3:10" x14ac:dyDescent="0.25">
      <c r="C3730" s="17" t="str">
        <f t="shared" si="59"/>
        <v>28.801011.-6645.10888..CLEAR SCHEDULE.</v>
      </c>
      <c r="E3730">
        <v>28</v>
      </c>
      <c r="F3730">
        <v>801011</v>
      </c>
      <c r="G3730" s="1">
        <v>-66.45</v>
      </c>
      <c r="H3730" t="s">
        <v>4128</v>
      </c>
      <c r="J3730" s="18" t="s">
        <v>4327</v>
      </c>
    </row>
    <row r="3731" spans="3:10" x14ac:dyDescent="0.25">
      <c r="C3731" s="17" t="str">
        <f t="shared" si="59"/>
        <v>28.801011.-60162.10890..CLEAR SCHEDULE.</v>
      </c>
      <c r="E3731">
        <v>28</v>
      </c>
      <c r="F3731">
        <v>801011</v>
      </c>
      <c r="G3731" s="2">
        <v>-601.62</v>
      </c>
      <c r="H3731" t="s">
        <v>4129</v>
      </c>
      <c r="J3731" s="18" t="s">
        <v>4327</v>
      </c>
    </row>
    <row r="3732" spans="3:10" x14ac:dyDescent="0.25">
      <c r="C3732" s="17" t="str">
        <f t="shared" si="59"/>
        <v>28.801011.-77336.10891..CLEAR SCHEDULE.</v>
      </c>
      <c r="E3732">
        <v>28</v>
      </c>
      <c r="F3732">
        <v>801011</v>
      </c>
      <c r="G3732" s="1">
        <v>-773.36</v>
      </c>
      <c r="H3732" t="s">
        <v>4130</v>
      </c>
      <c r="J3732" s="18" t="s">
        <v>4327</v>
      </c>
    </row>
    <row r="3733" spans="3:10" x14ac:dyDescent="0.25">
      <c r="C3733" s="17" t="str">
        <f t="shared" si="59"/>
        <v>28.801011.-22797.10898..CLEAR SCHEDULE.</v>
      </c>
      <c r="E3733">
        <v>28</v>
      </c>
      <c r="F3733">
        <v>801011</v>
      </c>
      <c r="G3733" s="2">
        <v>-227.97</v>
      </c>
      <c r="H3733" t="s">
        <v>4131</v>
      </c>
      <c r="J3733" s="18" t="s">
        <v>4327</v>
      </c>
    </row>
    <row r="3734" spans="3:10" x14ac:dyDescent="0.25">
      <c r="C3734" s="17" t="str">
        <f t="shared" si="59"/>
        <v>28.801011.-63004.10899..CLEAR SCHEDULE.</v>
      </c>
      <c r="E3734">
        <v>28</v>
      </c>
      <c r="F3734">
        <v>801011</v>
      </c>
      <c r="G3734" s="1">
        <v>-630.04</v>
      </c>
      <c r="H3734" t="s">
        <v>4132</v>
      </c>
      <c r="J3734" s="18" t="s">
        <v>4327</v>
      </c>
    </row>
    <row r="3735" spans="3:10" x14ac:dyDescent="0.25">
      <c r="C3735" s="17" t="str">
        <f t="shared" si="59"/>
        <v>28.801011.-8972.10900..CLEAR SCHEDULE.</v>
      </c>
      <c r="E3735">
        <v>28</v>
      </c>
      <c r="F3735">
        <v>801011</v>
      </c>
      <c r="G3735" s="2">
        <v>-89.72</v>
      </c>
      <c r="H3735" t="s">
        <v>4133</v>
      </c>
      <c r="J3735" s="18" t="s">
        <v>4327</v>
      </c>
    </row>
    <row r="3736" spans="3:10" x14ac:dyDescent="0.25">
      <c r="C3736" s="17" t="str">
        <f t="shared" si="59"/>
        <v>28.801011.-14387.10903..CLEAR SCHEDULE.</v>
      </c>
      <c r="E3736">
        <v>28</v>
      </c>
      <c r="F3736">
        <v>801011</v>
      </c>
      <c r="G3736" s="1">
        <v>-143.87</v>
      </c>
      <c r="H3736" t="s">
        <v>4134</v>
      </c>
      <c r="J3736" s="18" t="s">
        <v>4327</v>
      </c>
    </row>
    <row r="3737" spans="3:10" x14ac:dyDescent="0.25">
      <c r="C3737" s="17" t="str">
        <f t="shared" si="59"/>
        <v>28.801011.-18275.10904..CLEAR SCHEDULE.</v>
      </c>
      <c r="E3737">
        <v>28</v>
      </c>
      <c r="F3737">
        <v>801011</v>
      </c>
      <c r="G3737" s="2">
        <v>-182.75</v>
      </c>
      <c r="H3737" t="s">
        <v>4135</v>
      </c>
      <c r="J3737" s="18" t="s">
        <v>4327</v>
      </c>
    </row>
    <row r="3738" spans="3:10" x14ac:dyDescent="0.25">
      <c r="C3738" s="17" t="str">
        <f t="shared" si="59"/>
        <v>28.801011.-34124.10908..CLEAR SCHEDULE.</v>
      </c>
      <c r="E3738">
        <v>28</v>
      </c>
      <c r="F3738">
        <v>801011</v>
      </c>
      <c r="G3738" s="1">
        <v>-341.24</v>
      </c>
      <c r="H3738" t="s">
        <v>4136</v>
      </c>
      <c r="J3738" s="18" t="s">
        <v>4327</v>
      </c>
    </row>
    <row r="3739" spans="3:10" x14ac:dyDescent="0.25">
      <c r="C3739" s="17" t="str">
        <f t="shared" si="59"/>
        <v>28.801011.-5415.10909..CLEAR SCHEDULE.</v>
      </c>
      <c r="E3739">
        <v>28</v>
      </c>
      <c r="F3739">
        <v>801011</v>
      </c>
      <c r="G3739" s="2">
        <v>-54.15</v>
      </c>
      <c r="H3739" t="s">
        <v>4137</v>
      </c>
      <c r="J3739" s="18" t="s">
        <v>4327</v>
      </c>
    </row>
    <row r="3740" spans="3:10" x14ac:dyDescent="0.25">
      <c r="C3740" s="17" t="str">
        <f t="shared" si="59"/>
        <v>28.801011.-92111.10912..CLEAR SCHEDULE.</v>
      </c>
      <c r="E3740">
        <v>28</v>
      </c>
      <c r="F3740">
        <v>801011</v>
      </c>
      <c r="G3740" s="1">
        <v>-921.11</v>
      </c>
      <c r="H3740" t="s">
        <v>4138</v>
      </c>
      <c r="J3740" s="18" t="s">
        <v>4327</v>
      </c>
    </row>
    <row r="3741" spans="3:10" x14ac:dyDescent="0.25">
      <c r="C3741" s="17" t="str">
        <f t="shared" si="59"/>
        <v>28.801011.-14408.10913..CLEAR SCHEDULE.</v>
      </c>
      <c r="E3741">
        <v>28</v>
      </c>
      <c r="F3741">
        <v>801011</v>
      </c>
      <c r="G3741" s="2">
        <v>-144.08000000000001</v>
      </c>
      <c r="H3741" t="s">
        <v>4139</v>
      </c>
      <c r="J3741" s="18" t="s">
        <v>4327</v>
      </c>
    </row>
    <row r="3742" spans="3:10" x14ac:dyDescent="0.25">
      <c r="C3742" s="17" t="str">
        <f t="shared" si="59"/>
        <v>28.801011.-43431.10914..CLEAR SCHEDULE.</v>
      </c>
      <c r="E3742">
        <v>28</v>
      </c>
      <c r="F3742">
        <v>801011</v>
      </c>
      <c r="G3742" s="1">
        <v>-434.31</v>
      </c>
      <c r="H3742" t="s">
        <v>4140</v>
      </c>
      <c r="J3742" s="18" t="s">
        <v>4327</v>
      </c>
    </row>
    <row r="3743" spans="3:10" x14ac:dyDescent="0.25">
      <c r="C3743" s="17" t="str">
        <f t="shared" si="59"/>
        <v>28.801011.-201723.10915..CLEAR SCHEDULE.</v>
      </c>
      <c r="E3743">
        <v>28</v>
      </c>
      <c r="F3743">
        <v>801011</v>
      </c>
      <c r="G3743" s="2">
        <v>-2017.23</v>
      </c>
      <c r="H3743" t="s">
        <v>4141</v>
      </c>
      <c r="J3743" s="18" t="s">
        <v>4327</v>
      </c>
    </row>
    <row r="3744" spans="3:10" x14ac:dyDescent="0.25">
      <c r="C3744" s="17" t="str">
        <f t="shared" si="59"/>
        <v>28.801011.-99449.10918..CLEAR SCHEDULE.</v>
      </c>
      <c r="E3744">
        <v>28</v>
      </c>
      <c r="F3744">
        <v>801011</v>
      </c>
      <c r="G3744" s="1">
        <v>-994.49</v>
      </c>
      <c r="H3744" t="s">
        <v>4142</v>
      </c>
      <c r="J3744" s="18" t="s">
        <v>4327</v>
      </c>
    </row>
    <row r="3745" spans="3:10" x14ac:dyDescent="0.25">
      <c r="C3745" s="17" t="str">
        <f t="shared" si="59"/>
        <v>28.801011.-15149.10919..CLEAR SCHEDULE.</v>
      </c>
      <c r="E3745">
        <v>28</v>
      </c>
      <c r="F3745">
        <v>801011</v>
      </c>
      <c r="G3745" s="2">
        <v>-151.49</v>
      </c>
      <c r="H3745" t="s">
        <v>4143</v>
      </c>
      <c r="J3745" s="18" t="s">
        <v>4327</v>
      </c>
    </row>
    <row r="3746" spans="3:10" x14ac:dyDescent="0.25">
      <c r="C3746" s="17" t="str">
        <f t="shared" si="59"/>
        <v>28.801011.-6769.10920..CLEAR SCHEDULE.</v>
      </c>
      <c r="E3746">
        <v>28</v>
      </c>
      <c r="F3746">
        <v>801011</v>
      </c>
      <c r="G3746" s="1">
        <v>-67.69</v>
      </c>
      <c r="H3746" t="s">
        <v>4144</v>
      </c>
      <c r="J3746" s="18" t="s">
        <v>4327</v>
      </c>
    </row>
    <row r="3747" spans="3:10" x14ac:dyDescent="0.25">
      <c r="C3747" s="17" t="str">
        <f t="shared" si="59"/>
        <v>28.801011.-5798.10927..CLEAR SCHEDULE.</v>
      </c>
      <c r="E3747">
        <v>28</v>
      </c>
      <c r="F3747">
        <v>801011</v>
      </c>
      <c r="G3747" s="2">
        <v>-57.98</v>
      </c>
      <c r="H3747" t="s">
        <v>4145</v>
      </c>
      <c r="J3747" s="18" t="s">
        <v>4327</v>
      </c>
    </row>
    <row r="3748" spans="3:10" x14ac:dyDescent="0.25">
      <c r="C3748" s="17" t="str">
        <f t="shared" si="59"/>
        <v>28.801011.-181081.10928..CLEAR SCHEDULE.</v>
      </c>
      <c r="E3748">
        <v>28</v>
      </c>
      <c r="F3748">
        <v>801011</v>
      </c>
      <c r="G3748" s="1">
        <v>-1810.81</v>
      </c>
      <c r="H3748" t="s">
        <v>4146</v>
      </c>
      <c r="J3748" s="18" t="s">
        <v>4327</v>
      </c>
    </row>
    <row r="3749" spans="3:10" x14ac:dyDescent="0.25">
      <c r="C3749" s="17" t="str">
        <f t="shared" si="59"/>
        <v>28.801011.-356088.10931..CLEAR SCHEDULE.</v>
      </c>
      <c r="E3749">
        <v>28</v>
      </c>
      <c r="F3749">
        <v>801011</v>
      </c>
      <c r="G3749" s="2">
        <v>-3560.88</v>
      </c>
      <c r="H3749" t="s">
        <v>4147</v>
      </c>
      <c r="J3749" s="18" t="s">
        <v>4327</v>
      </c>
    </row>
    <row r="3750" spans="3:10" x14ac:dyDescent="0.25">
      <c r="C3750" s="17" t="str">
        <f t="shared" si="59"/>
        <v>28.801011.-15166.10932..CLEAR SCHEDULE.</v>
      </c>
      <c r="E3750">
        <v>28</v>
      </c>
      <c r="F3750">
        <v>801011</v>
      </c>
      <c r="G3750" s="1">
        <v>-151.66</v>
      </c>
      <c r="H3750" t="s">
        <v>4148</v>
      </c>
      <c r="J3750" s="18" t="s">
        <v>4327</v>
      </c>
    </row>
    <row r="3751" spans="3:10" x14ac:dyDescent="0.25">
      <c r="C3751" s="17" t="str">
        <f t="shared" si="59"/>
        <v>28.801011.-10530.10934..CLEAR SCHEDULE.</v>
      </c>
      <c r="E3751">
        <v>28</v>
      </c>
      <c r="F3751">
        <v>801011</v>
      </c>
      <c r="G3751" s="2">
        <v>-105.3</v>
      </c>
      <c r="H3751" t="s">
        <v>4149</v>
      </c>
      <c r="J3751" s="18" t="s">
        <v>4327</v>
      </c>
    </row>
    <row r="3752" spans="3:10" x14ac:dyDescent="0.25">
      <c r="C3752" s="17" t="str">
        <f t="shared" si="59"/>
        <v>28.801011.-19742.10935..CLEAR SCHEDULE.</v>
      </c>
      <c r="E3752">
        <v>28</v>
      </c>
      <c r="F3752">
        <v>801011</v>
      </c>
      <c r="G3752" s="1">
        <v>-197.42</v>
      </c>
      <c r="H3752" t="s">
        <v>4150</v>
      </c>
      <c r="J3752" s="18" t="s">
        <v>4327</v>
      </c>
    </row>
    <row r="3753" spans="3:10" x14ac:dyDescent="0.25">
      <c r="C3753" s="17" t="str">
        <f t="shared" si="59"/>
        <v>28.801011.-8972.10936..CLEAR SCHEDULE.</v>
      </c>
      <c r="E3753">
        <v>28</v>
      </c>
      <c r="F3753">
        <v>801011</v>
      </c>
      <c r="G3753" s="2">
        <v>-89.72</v>
      </c>
      <c r="H3753" t="s">
        <v>4151</v>
      </c>
      <c r="J3753" s="18" t="s">
        <v>4327</v>
      </c>
    </row>
    <row r="3754" spans="3:10" x14ac:dyDescent="0.25">
      <c r="C3754" s="17" t="str">
        <f t="shared" si="59"/>
        <v>28.801011.-45649.10937..CLEAR SCHEDULE.</v>
      </c>
      <c r="E3754">
        <v>28</v>
      </c>
      <c r="F3754">
        <v>801011</v>
      </c>
      <c r="G3754" s="1">
        <v>-456.49</v>
      </c>
      <c r="H3754" t="s">
        <v>4152</v>
      </c>
      <c r="J3754" s="18" t="s">
        <v>4327</v>
      </c>
    </row>
    <row r="3755" spans="3:10" x14ac:dyDescent="0.25">
      <c r="C3755" s="17" t="str">
        <f t="shared" si="59"/>
        <v>28.801011.-15945.10938..CLEAR SCHEDULE.</v>
      </c>
      <c r="E3755">
        <v>28</v>
      </c>
      <c r="F3755">
        <v>801011</v>
      </c>
      <c r="G3755" s="2">
        <v>-159.44999999999999</v>
      </c>
      <c r="H3755" t="s">
        <v>4153</v>
      </c>
      <c r="J3755" s="18" t="s">
        <v>4327</v>
      </c>
    </row>
    <row r="3756" spans="3:10" x14ac:dyDescent="0.25">
      <c r="C3756" s="17" t="str">
        <f t="shared" si="59"/>
        <v>28.801011.-15721.10939..CLEAR SCHEDULE.</v>
      </c>
      <c r="E3756">
        <v>28</v>
      </c>
      <c r="F3756">
        <v>801011</v>
      </c>
      <c r="G3756" s="1">
        <v>-157.21</v>
      </c>
      <c r="H3756" t="s">
        <v>4154</v>
      </c>
      <c r="J3756" s="18" t="s">
        <v>4327</v>
      </c>
    </row>
    <row r="3757" spans="3:10" x14ac:dyDescent="0.25">
      <c r="C3757" s="17" t="str">
        <f t="shared" si="59"/>
        <v>28.801011.-80640.10941..CLEAR SCHEDULE.</v>
      </c>
      <c r="E3757">
        <v>28</v>
      </c>
      <c r="F3757">
        <v>801011</v>
      </c>
      <c r="G3757" s="2">
        <v>-806.4</v>
      </c>
      <c r="H3757" t="s">
        <v>4155</v>
      </c>
      <c r="J3757" s="18" t="s">
        <v>4327</v>
      </c>
    </row>
    <row r="3758" spans="3:10" x14ac:dyDescent="0.25">
      <c r="C3758" s="17" t="str">
        <f t="shared" si="59"/>
        <v>28.801011.-18899.10942..CLEAR SCHEDULE.</v>
      </c>
      <c r="E3758">
        <v>28</v>
      </c>
      <c r="F3758">
        <v>801011</v>
      </c>
      <c r="G3758" s="1">
        <v>-188.99</v>
      </c>
      <c r="H3758" t="s">
        <v>4156</v>
      </c>
      <c r="J3758" s="18" t="s">
        <v>4327</v>
      </c>
    </row>
    <row r="3759" spans="3:10" x14ac:dyDescent="0.25">
      <c r="C3759" s="17" t="str">
        <f t="shared" si="59"/>
        <v>28.801011.-10530.10943..CLEAR SCHEDULE.</v>
      </c>
      <c r="E3759">
        <v>28</v>
      </c>
      <c r="F3759">
        <v>801011</v>
      </c>
      <c r="G3759" s="2">
        <v>-105.3</v>
      </c>
      <c r="H3759" t="s">
        <v>4157</v>
      </c>
      <c r="J3759" s="18" t="s">
        <v>4327</v>
      </c>
    </row>
    <row r="3760" spans="3:10" x14ac:dyDescent="0.25">
      <c r="C3760" s="17" t="str">
        <f t="shared" si="59"/>
        <v>28.801011.-34908.10944..CLEAR SCHEDULE.</v>
      </c>
      <c r="E3760">
        <v>28</v>
      </c>
      <c r="F3760">
        <v>801011</v>
      </c>
      <c r="G3760" s="1">
        <v>-349.08</v>
      </c>
      <c r="H3760" t="s">
        <v>4158</v>
      </c>
      <c r="J3760" s="18" t="s">
        <v>4327</v>
      </c>
    </row>
    <row r="3761" spans="3:10" x14ac:dyDescent="0.25">
      <c r="C3761" s="17" t="str">
        <f t="shared" si="59"/>
        <v>28.801011.-9752.10946..CLEAR SCHEDULE.</v>
      </c>
      <c r="E3761">
        <v>28</v>
      </c>
      <c r="F3761">
        <v>801011</v>
      </c>
      <c r="G3761" s="2">
        <v>-97.52</v>
      </c>
      <c r="H3761" t="s">
        <v>4159</v>
      </c>
      <c r="J3761" s="18" t="s">
        <v>4327</v>
      </c>
    </row>
    <row r="3762" spans="3:10" x14ac:dyDescent="0.25">
      <c r="C3762" s="17" t="str">
        <f t="shared" si="59"/>
        <v>28.801011.-527662.10949..CLEAR SCHEDULE.</v>
      </c>
      <c r="E3762">
        <v>28</v>
      </c>
      <c r="F3762">
        <v>801011</v>
      </c>
      <c r="G3762" s="1">
        <v>-5276.62</v>
      </c>
      <c r="H3762" t="s">
        <v>4160</v>
      </c>
      <c r="J3762" s="18" t="s">
        <v>4327</v>
      </c>
    </row>
    <row r="3763" spans="3:10" x14ac:dyDescent="0.25">
      <c r="C3763" s="17" t="str">
        <f t="shared" si="59"/>
        <v>28.801011.-15945.10950..CLEAR SCHEDULE.</v>
      </c>
      <c r="E3763">
        <v>28</v>
      </c>
      <c r="F3763">
        <v>801011</v>
      </c>
      <c r="G3763" s="2">
        <v>-159.44999999999999</v>
      </c>
      <c r="H3763" t="s">
        <v>4161</v>
      </c>
      <c r="J3763" s="18" t="s">
        <v>4327</v>
      </c>
    </row>
    <row r="3764" spans="3:10" x14ac:dyDescent="0.25">
      <c r="C3764" s="17" t="str">
        <f t="shared" si="59"/>
        <v>28.801011.-19600.10952..CLEAR SCHEDULE.</v>
      </c>
      <c r="E3764">
        <v>28</v>
      </c>
      <c r="F3764">
        <v>801011</v>
      </c>
      <c r="G3764" s="1">
        <v>-196</v>
      </c>
      <c r="H3764" t="s">
        <v>4162</v>
      </c>
      <c r="J3764" s="18" t="s">
        <v>4327</v>
      </c>
    </row>
    <row r="3765" spans="3:10" x14ac:dyDescent="0.25">
      <c r="C3765" s="17" t="str">
        <f t="shared" si="59"/>
        <v>28.801011.-58286.10954..CLEAR SCHEDULE.</v>
      </c>
      <c r="E3765">
        <v>28</v>
      </c>
      <c r="F3765">
        <v>801011</v>
      </c>
      <c r="G3765" s="2">
        <v>-582.86</v>
      </c>
      <c r="H3765" t="s">
        <v>4163</v>
      </c>
      <c r="J3765" s="18" t="s">
        <v>4327</v>
      </c>
    </row>
    <row r="3766" spans="3:10" x14ac:dyDescent="0.25">
      <c r="C3766" s="17" t="str">
        <f t="shared" si="59"/>
        <v>28.801011.-228184.10955..CLEAR SCHEDULE.</v>
      </c>
      <c r="E3766">
        <v>28</v>
      </c>
      <c r="F3766">
        <v>801011</v>
      </c>
      <c r="G3766" s="1">
        <v>-2281.84</v>
      </c>
      <c r="H3766" t="s">
        <v>4164</v>
      </c>
      <c r="J3766" s="18" t="s">
        <v>4327</v>
      </c>
    </row>
    <row r="3767" spans="3:10" x14ac:dyDescent="0.25">
      <c r="C3767" s="17" t="str">
        <f t="shared" si="59"/>
        <v>28.801011.-229477.10958..CLEAR SCHEDULE.</v>
      </c>
      <c r="E3767">
        <v>28</v>
      </c>
      <c r="F3767">
        <v>801011</v>
      </c>
      <c r="G3767" s="2">
        <v>-2294.77</v>
      </c>
      <c r="H3767" t="s">
        <v>4165</v>
      </c>
      <c r="J3767" s="18" t="s">
        <v>4327</v>
      </c>
    </row>
    <row r="3768" spans="3:10" x14ac:dyDescent="0.25">
      <c r="C3768" s="17" t="str">
        <f t="shared" si="59"/>
        <v>28.801011.-15203.10959..CLEAR SCHEDULE.</v>
      </c>
      <c r="E3768">
        <v>28</v>
      </c>
      <c r="F3768">
        <v>801011</v>
      </c>
      <c r="G3768" s="1">
        <v>-152.03</v>
      </c>
      <c r="H3768" t="s">
        <v>4166</v>
      </c>
      <c r="J3768" s="18" t="s">
        <v>4327</v>
      </c>
    </row>
    <row r="3769" spans="3:10" x14ac:dyDescent="0.25">
      <c r="C3769" s="17" t="str">
        <f t="shared" si="59"/>
        <v>28.801011.-47964.10964..CLEAR SCHEDULE.</v>
      </c>
      <c r="E3769">
        <v>28</v>
      </c>
      <c r="F3769">
        <v>801011</v>
      </c>
      <c r="G3769" s="2">
        <v>-479.64</v>
      </c>
      <c r="H3769" t="s">
        <v>4167</v>
      </c>
      <c r="J3769" s="18" t="s">
        <v>4327</v>
      </c>
    </row>
    <row r="3770" spans="3:10" x14ac:dyDescent="0.25">
      <c r="C3770" s="17" t="str">
        <f t="shared" si="59"/>
        <v>28.801011.-158731.10968..CLEAR SCHEDULE.</v>
      </c>
      <c r="E3770">
        <v>28</v>
      </c>
      <c r="F3770">
        <v>801011</v>
      </c>
      <c r="G3770" s="1">
        <v>-1587.31</v>
      </c>
      <c r="H3770" t="s">
        <v>4168</v>
      </c>
      <c r="J3770" s="18" t="s">
        <v>4327</v>
      </c>
    </row>
    <row r="3771" spans="3:10" x14ac:dyDescent="0.25">
      <c r="C3771" s="17" t="str">
        <f t="shared" si="59"/>
        <v>28.801011.-23366.10974..CLEAR SCHEDULE.</v>
      </c>
      <c r="E3771">
        <v>28</v>
      </c>
      <c r="F3771">
        <v>801011</v>
      </c>
      <c r="G3771" s="2">
        <v>-233.66</v>
      </c>
      <c r="H3771" t="s">
        <v>4169</v>
      </c>
      <c r="J3771" s="18" t="s">
        <v>4327</v>
      </c>
    </row>
    <row r="3772" spans="3:10" x14ac:dyDescent="0.25">
      <c r="C3772" s="17" t="str">
        <f t="shared" si="59"/>
        <v>28.801011.-5144.10975..CLEAR SCHEDULE.</v>
      </c>
      <c r="E3772">
        <v>28</v>
      </c>
      <c r="F3772">
        <v>801011</v>
      </c>
      <c r="G3772" s="1">
        <v>-51.44</v>
      </c>
      <c r="H3772" t="s">
        <v>4170</v>
      </c>
      <c r="J3772" s="18" t="s">
        <v>4327</v>
      </c>
    </row>
    <row r="3773" spans="3:10" x14ac:dyDescent="0.25">
      <c r="C3773" s="17" t="str">
        <f t="shared" si="59"/>
        <v>28.801011.-14387.10976..CLEAR SCHEDULE.</v>
      </c>
      <c r="E3773">
        <v>28</v>
      </c>
      <c r="F3773">
        <v>801011</v>
      </c>
      <c r="G3773" s="2">
        <v>-143.87</v>
      </c>
      <c r="H3773" t="s">
        <v>4171</v>
      </c>
      <c r="J3773" s="18" t="s">
        <v>4327</v>
      </c>
    </row>
    <row r="3774" spans="3:10" x14ac:dyDescent="0.25">
      <c r="C3774" s="17" t="str">
        <f t="shared" si="59"/>
        <v>28.801011.-24174.10977..CLEAR SCHEDULE.</v>
      </c>
      <c r="E3774">
        <v>28</v>
      </c>
      <c r="F3774">
        <v>801011</v>
      </c>
      <c r="G3774" s="1">
        <v>-241.74</v>
      </c>
      <c r="H3774" t="s">
        <v>4172</v>
      </c>
      <c r="J3774" s="18" t="s">
        <v>4327</v>
      </c>
    </row>
    <row r="3775" spans="3:10" x14ac:dyDescent="0.25">
      <c r="C3775" s="17" t="str">
        <f t="shared" si="59"/>
        <v>28.801011.-8972.10981..CLEAR SCHEDULE.</v>
      </c>
      <c r="E3775">
        <v>28</v>
      </c>
      <c r="F3775">
        <v>801011</v>
      </c>
      <c r="G3775" s="2">
        <v>-89.72</v>
      </c>
      <c r="H3775" t="s">
        <v>4173</v>
      </c>
      <c r="J3775" s="18" t="s">
        <v>4327</v>
      </c>
    </row>
    <row r="3776" spans="3:10" x14ac:dyDescent="0.25">
      <c r="C3776" s="17" t="str">
        <f t="shared" si="59"/>
        <v>28.801011.-14387.10984..CLEAR SCHEDULE.</v>
      </c>
      <c r="E3776">
        <v>28</v>
      </c>
      <c r="F3776">
        <v>801011</v>
      </c>
      <c r="G3776" s="1">
        <v>-143.87</v>
      </c>
      <c r="H3776" t="s">
        <v>4174</v>
      </c>
      <c r="J3776" s="18" t="s">
        <v>4327</v>
      </c>
    </row>
    <row r="3777" spans="3:10" x14ac:dyDescent="0.25">
      <c r="C3777" s="17" t="str">
        <f t="shared" si="59"/>
        <v>28.801011.-23366.10985..CLEAR SCHEDULE.</v>
      </c>
      <c r="E3777">
        <v>28</v>
      </c>
      <c r="F3777">
        <v>801011</v>
      </c>
      <c r="G3777" s="2">
        <v>-233.66</v>
      </c>
      <c r="H3777" t="s">
        <v>4175</v>
      </c>
      <c r="J3777" s="18" t="s">
        <v>4327</v>
      </c>
    </row>
    <row r="3778" spans="3:10" x14ac:dyDescent="0.25">
      <c r="C3778" s="17" t="str">
        <f t="shared" si="59"/>
        <v>28.801011.-5415.10986..CLEAR SCHEDULE.</v>
      </c>
      <c r="E3778">
        <v>28</v>
      </c>
      <c r="F3778">
        <v>801011</v>
      </c>
      <c r="G3778" s="1">
        <v>-54.15</v>
      </c>
      <c r="H3778" t="s">
        <v>4176</v>
      </c>
      <c r="J3778" s="18" t="s">
        <v>4327</v>
      </c>
    </row>
    <row r="3779" spans="3:10" x14ac:dyDescent="0.25">
      <c r="C3779" s="17" t="str">
        <f t="shared" si="59"/>
        <v>28.801011.-37946.10987..CLEAR SCHEDULE.</v>
      </c>
      <c r="E3779">
        <v>28</v>
      </c>
      <c r="F3779">
        <v>801011</v>
      </c>
      <c r="G3779" s="2">
        <v>-379.46</v>
      </c>
      <c r="H3779" t="s">
        <v>4177</v>
      </c>
      <c r="J3779" s="18" t="s">
        <v>4327</v>
      </c>
    </row>
    <row r="3780" spans="3:10" x14ac:dyDescent="0.25">
      <c r="C3780" s="17" t="str">
        <f t="shared" si="59"/>
        <v>28.801011.-20622.10988..CLEAR SCHEDULE.</v>
      </c>
      <c r="E3780">
        <v>28</v>
      </c>
      <c r="F3780">
        <v>801011</v>
      </c>
      <c r="G3780" s="1">
        <v>-206.22</v>
      </c>
      <c r="H3780" t="s">
        <v>4178</v>
      </c>
      <c r="J3780" s="18" t="s">
        <v>4327</v>
      </c>
    </row>
    <row r="3781" spans="3:10" x14ac:dyDescent="0.25">
      <c r="C3781" s="17" t="str">
        <f t="shared" si="59"/>
        <v>28.801011.-67809.10989..CLEAR SCHEDULE.</v>
      </c>
      <c r="E3781">
        <v>28</v>
      </c>
      <c r="F3781">
        <v>801011</v>
      </c>
      <c r="G3781" s="2">
        <v>-678.09</v>
      </c>
      <c r="H3781" t="s">
        <v>4179</v>
      </c>
      <c r="J3781" s="18" t="s">
        <v>4327</v>
      </c>
    </row>
    <row r="3782" spans="3:10" x14ac:dyDescent="0.25">
      <c r="C3782" s="17" t="str">
        <f t="shared" si="59"/>
        <v>28.801011.-28832.10990..CLEAR SCHEDULE.</v>
      </c>
      <c r="E3782">
        <v>28</v>
      </c>
      <c r="F3782">
        <v>801011</v>
      </c>
      <c r="G3782" s="1">
        <v>-288.32</v>
      </c>
      <c r="H3782" t="s">
        <v>4180</v>
      </c>
      <c r="J3782" s="18" t="s">
        <v>4327</v>
      </c>
    </row>
    <row r="3783" spans="3:10" x14ac:dyDescent="0.25">
      <c r="C3783" s="17" t="str">
        <f t="shared" si="59"/>
        <v>28.801011.-9599.10991..CLEAR SCHEDULE.</v>
      </c>
      <c r="E3783">
        <v>28</v>
      </c>
      <c r="F3783">
        <v>801011</v>
      </c>
      <c r="G3783" s="2">
        <v>-95.99</v>
      </c>
      <c r="H3783" t="s">
        <v>4181</v>
      </c>
      <c r="J3783" s="18" t="s">
        <v>4327</v>
      </c>
    </row>
    <row r="3784" spans="3:10" x14ac:dyDescent="0.25">
      <c r="C3784" s="17" t="str">
        <f t="shared" si="59"/>
        <v>28.801011.-94359.10992..CLEAR SCHEDULE.</v>
      </c>
      <c r="E3784">
        <v>28</v>
      </c>
      <c r="F3784">
        <v>801011</v>
      </c>
      <c r="G3784" s="1">
        <v>-943.59</v>
      </c>
      <c r="H3784" t="s">
        <v>4182</v>
      </c>
      <c r="J3784" s="18" t="s">
        <v>4327</v>
      </c>
    </row>
    <row r="3785" spans="3:10" x14ac:dyDescent="0.25">
      <c r="C3785" s="17" t="str">
        <f t="shared" si="59"/>
        <v>28.801011.-8972.10994..CLEAR SCHEDULE.</v>
      </c>
      <c r="E3785">
        <v>28</v>
      </c>
      <c r="F3785">
        <v>801011</v>
      </c>
      <c r="G3785" s="2">
        <v>-89.72</v>
      </c>
      <c r="H3785" t="s">
        <v>4183</v>
      </c>
      <c r="J3785" s="18" t="s">
        <v>4327</v>
      </c>
    </row>
    <row r="3786" spans="3:10" x14ac:dyDescent="0.25">
      <c r="C3786" s="17" t="str">
        <f t="shared" si="59"/>
        <v>28.801011.-37753.10996..CLEAR SCHEDULE.</v>
      </c>
      <c r="E3786">
        <v>28</v>
      </c>
      <c r="F3786">
        <v>801011</v>
      </c>
      <c r="G3786" s="1">
        <v>-377.53</v>
      </c>
      <c r="H3786" t="s">
        <v>4184</v>
      </c>
      <c r="J3786" s="18" t="s">
        <v>4327</v>
      </c>
    </row>
    <row r="3787" spans="3:10" x14ac:dyDescent="0.25">
      <c r="C3787" s="17" t="str">
        <f t="shared" ref="C3787:C3850" si="60">IF(G3787=0,"",(E3787&amp;"."&amp;F3787&amp;"."&amp;G3787*100&amp;"."&amp;H3787&amp;"."&amp;I3787&amp;"."&amp;J3787&amp;"."&amp;K3787))</f>
        <v>28.801011.-15945.10997..CLEAR SCHEDULE.</v>
      </c>
      <c r="E3787">
        <v>28</v>
      </c>
      <c r="F3787">
        <v>801011</v>
      </c>
      <c r="G3787" s="2">
        <v>-159.44999999999999</v>
      </c>
      <c r="H3787" t="s">
        <v>4185</v>
      </c>
      <c r="J3787" s="18" t="s">
        <v>4327</v>
      </c>
    </row>
    <row r="3788" spans="3:10" x14ac:dyDescent="0.25">
      <c r="C3788" s="17" t="str">
        <f t="shared" si="60"/>
        <v>28.801011.-45141.10998..CLEAR SCHEDULE.</v>
      </c>
      <c r="E3788">
        <v>28</v>
      </c>
      <c r="F3788">
        <v>801011</v>
      </c>
      <c r="G3788" s="1">
        <v>-451.41</v>
      </c>
      <c r="H3788" t="s">
        <v>4186</v>
      </c>
      <c r="J3788" s="18" t="s">
        <v>4327</v>
      </c>
    </row>
    <row r="3789" spans="3:10" x14ac:dyDescent="0.25">
      <c r="C3789" s="17" t="str">
        <f t="shared" si="60"/>
        <v>28.801011.-245165.10999..CLEAR SCHEDULE.</v>
      </c>
      <c r="E3789">
        <v>28</v>
      </c>
      <c r="F3789">
        <v>801011</v>
      </c>
      <c r="G3789" s="2">
        <v>-2451.65</v>
      </c>
      <c r="H3789" t="s">
        <v>4187</v>
      </c>
      <c r="J3789" s="18" t="s">
        <v>4327</v>
      </c>
    </row>
    <row r="3790" spans="3:10" x14ac:dyDescent="0.25">
      <c r="C3790" s="17" t="str">
        <f t="shared" si="60"/>
        <v>28.801011.-5415.11000..CLEAR SCHEDULE.</v>
      </c>
      <c r="E3790">
        <v>28</v>
      </c>
      <c r="F3790">
        <v>801011</v>
      </c>
      <c r="G3790" s="1">
        <v>-54.15</v>
      </c>
      <c r="H3790" t="s">
        <v>4188</v>
      </c>
      <c r="J3790" s="18" t="s">
        <v>4327</v>
      </c>
    </row>
    <row r="3791" spans="3:10" x14ac:dyDescent="0.25">
      <c r="C3791" s="17" t="str">
        <f t="shared" si="60"/>
        <v>28.801011.-60373.11003..CLEAR SCHEDULE.</v>
      </c>
      <c r="E3791">
        <v>28</v>
      </c>
      <c r="F3791">
        <v>801011</v>
      </c>
      <c r="G3791" s="2">
        <v>-603.73</v>
      </c>
      <c r="H3791" t="s">
        <v>4189</v>
      </c>
      <c r="J3791" s="18" t="s">
        <v>4327</v>
      </c>
    </row>
    <row r="3792" spans="3:10" x14ac:dyDescent="0.25">
      <c r="C3792" s="17" t="str">
        <f t="shared" si="60"/>
        <v>28.801011.-8972.11009..CLEAR SCHEDULE.</v>
      </c>
      <c r="E3792">
        <v>28</v>
      </c>
      <c r="F3792">
        <v>801011</v>
      </c>
      <c r="G3792" s="1">
        <v>-89.72</v>
      </c>
      <c r="H3792" t="s">
        <v>4190</v>
      </c>
      <c r="J3792" s="18" t="s">
        <v>4327</v>
      </c>
    </row>
    <row r="3793" spans="3:10" x14ac:dyDescent="0.25">
      <c r="C3793" s="17" t="str">
        <f t="shared" si="60"/>
        <v>28.801011.-33977.11010..CLEAR SCHEDULE.</v>
      </c>
      <c r="E3793">
        <v>28</v>
      </c>
      <c r="F3793">
        <v>801011</v>
      </c>
      <c r="G3793" s="2">
        <v>-339.77</v>
      </c>
      <c r="H3793" t="s">
        <v>4191</v>
      </c>
      <c r="J3793" s="18" t="s">
        <v>4327</v>
      </c>
    </row>
    <row r="3794" spans="3:10" x14ac:dyDescent="0.25">
      <c r="C3794" s="17" t="str">
        <f t="shared" si="60"/>
        <v>28.801011.-91605.11011..CLEAR SCHEDULE.</v>
      </c>
      <c r="E3794">
        <v>28</v>
      </c>
      <c r="F3794">
        <v>801011</v>
      </c>
      <c r="G3794" s="1">
        <v>-916.05</v>
      </c>
      <c r="H3794" t="s">
        <v>4192</v>
      </c>
      <c r="J3794" s="18" t="s">
        <v>4327</v>
      </c>
    </row>
    <row r="3795" spans="3:10" x14ac:dyDescent="0.25">
      <c r="C3795" s="17" t="str">
        <f t="shared" si="60"/>
        <v>28.801011.-15721.11013..CLEAR SCHEDULE.</v>
      </c>
      <c r="E3795">
        <v>28</v>
      </c>
      <c r="F3795">
        <v>801011</v>
      </c>
      <c r="G3795" s="2">
        <v>-157.21</v>
      </c>
      <c r="H3795" t="s">
        <v>4193</v>
      </c>
      <c r="J3795" s="18" t="s">
        <v>4327</v>
      </c>
    </row>
    <row r="3796" spans="3:10" x14ac:dyDescent="0.25">
      <c r="C3796" s="17" t="str">
        <f t="shared" si="60"/>
        <v>28.801011.-8972.11014..CLEAR SCHEDULE.</v>
      </c>
      <c r="E3796">
        <v>28</v>
      </c>
      <c r="F3796">
        <v>801011</v>
      </c>
      <c r="G3796" s="1">
        <v>-89.72</v>
      </c>
      <c r="H3796" t="s">
        <v>4194</v>
      </c>
      <c r="J3796" s="18" t="s">
        <v>4327</v>
      </c>
    </row>
    <row r="3797" spans="3:10" x14ac:dyDescent="0.25">
      <c r="C3797" s="17" t="str">
        <f t="shared" si="60"/>
        <v>28.801011.-7957.11015..CLEAR SCHEDULE.</v>
      </c>
      <c r="E3797">
        <v>28</v>
      </c>
      <c r="F3797">
        <v>801011</v>
      </c>
      <c r="G3797" s="2">
        <v>-79.569999999999993</v>
      </c>
      <c r="H3797" t="s">
        <v>4195</v>
      </c>
      <c r="J3797" s="18" t="s">
        <v>4327</v>
      </c>
    </row>
    <row r="3798" spans="3:10" x14ac:dyDescent="0.25">
      <c r="C3798" s="17" t="str">
        <f t="shared" si="60"/>
        <v>28.801011.-15166.11016..CLEAR SCHEDULE.</v>
      </c>
      <c r="E3798">
        <v>28</v>
      </c>
      <c r="F3798">
        <v>801011</v>
      </c>
      <c r="G3798" s="1">
        <v>-151.66</v>
      </c>
      <c r="H3798" t="s">
        <v>4196</v>
      </c>
      <c r="J3798" s="18" t="s">
        <v>4327</v>
      </c>
    </row>
    <row r="3799" spans="3:10" x14ac:dyDescent="0.25">
      <c r="C3799" s="17" t="str">
        <f t="shared" si="60"/>
        <v>28.801011.-60640.11017..CLEAR SCHEDULE.</v>
      </c>
      <c r="E3799">
        <v>28</v>
      </c>
      <c r="F3799">
        <v>801011</v>
      </c>
      <c r="G3799" s="2">
        <v>-606.4</v>
      </c>
      <c r="H3799" t="s">
        <v>4197</v>
      </c>
      <c r="J3799" s="18" t="s">
        <v>4327</v>
      </c>
    </row>
    <row r="3800" spans="3:10" x14ac:dyDescent="0.25">
      <c r="C3800" s="17" t="str">
        <f t="shared" si="60"/>
        <v>28.801011.-32582.11020..CLEAR SCHEDULE.</v>
      </c>
      <c r="E3800">
        <v>28</v>
      </c>
      <c r="F3800">
        <v>801011</v>
      </c>
      <c r="G3800" s="1">
        <v>-325.82</v>
      </c>
      <c r="H3800" t="s">
        <v>4198</v>
      </c>
      <c r="J3800" s="18" t="s">
        <v>4327</v>
      </c>
    </row>
    <row r="3801" spans="3:10" x14ac:dyDescent="0.25">
      <c r="C3801" s="17" t="str">
        <f t="shared" si="60"/>
        <v>28.801011.-28984.11023..CLEAR SCHEDULE.</v>
      </c>
      <c r="E3801">
        <v>28</v>
      </c>
      <c r="F3801">
        <v>801011</v>
      </c>
      <c r="G3801" s="2">
        <v>-289.83999999999997</v>
      </c>
      <c r="H3801" t="s">
        <v>4199</v>
      </c>
      <c r="J3801" s="18" t="s">
        <v>4327</v>
      </c>
    </row>
    <row r="3802" spans="3:10" x14ac:dyDescent="0.25">
      <c r="C3802" s="17" t="str">
        <f t="shared" si="60"/>
        <v>28.801011.-14387.11025..CLEAR SCHEDULE.</v>
      </c>
      <c r="E3802">
        <v>28</v>
      </c>
      <c r="F3802">
        <v>801011</v>
      </c>
      <c r="G3802" s="1">
        <v>-143.87</v>
      </c>
      <c r="H3802" t="s">
        <v>4200</v>
      </c>
      <c r="J3802" s="18" t="s">
        <v>4327</v>
      </c>
    </row>
    <row r="3803" spans="3:10" x14ac:dyDescent="0.25">
      <c r="C3803" s="17" t="str">
        <f t="shared" si="60"/>
        <v>28.801011.-15945.11026..CLEAR SCHEDULE.</v>
      </c>
      <c r="E3803">
        <v>28</v>
      </c>
      <c r="F3803">
        <v>801011</v>
      </c>
      <c r="G3803" s="2">
        <v>-159.44999999999999</v>
      </c>
      <c r="H3803" t="s">
        <v>4201</v>
      </c>
      <c r="J3803" s="18" t="s">
        <v>4327</v>
      </c>
    </row>
    <row r="3804" spans="3:10" x14ac:dyDescent="0.25">
      <c r="C3804" s="17" t="str">
        <f t="shared" si="60"/>
        <v>28.801011.-56884.11031..CLEAR SCHEDULE.</v>
      </c>
      <c r="E3804">
        <v>28</v>
      </c>
      <c r="F3804">
        <v>801011</v>
      </c>
      <c r="G3804" s="1">
        <v>-568.84</v>
      </c>
      <c r="H3804" t="s">
        <v>4202</v>
      </c>
      <c r="J3804" s="18" t="s">
        <v>4327</v>
      </c>
    </row>
    <row r="3805" spans="3:10" x14ac:dyDescent="0.25">
      <c r="C3805" s="17" t="str">
        <f t="shared" si="60"/>
        <v>28.801011.-10530.11032..CLEAR SCHEDULE.</v>
      </c>
      <c r="E3805">
        <v>28</v>
      </c>
      <c r="F3805">
        <v>801011</v>
      </c>
      <c r="G3805" s="2">
        <v>-105.3</v>
      </c>
      <c r="H3805" t="s">
        <v>4203</v>
      </c>
      <c r="J3805" s="18" t="s">
        <v>4327</v>
      </c>
    </row>
    <row r="3806" spans="3:10" x14ac:dyDescent="0.25">
      <c r="C3806" s="17" t="str">
        <f t="shared" si="60"/>
        <v>28.801011.-8972.11034..CLEAR SCHEDULE.</v>
      </c>
      <c r="E3806">
        <v>28</v>
      </c>
      <c r="F3806">
        <v>801011</v>
      </c>
      <c r="G3806" s="1">
        <v>-89.72</v>
      </c>
      <c r="H3806" t="s">
        <v>4204</v>
      </c>
      <c r="J3806" s="18" t="s">
        <v>4327</v>
      </c>
    </row>
    <row r="3807" spans="3:10" x14ac:dyDescent="0.25">
      <c r="C3807" s="17" t="str">
        <f t="shared" si="60"/>
        <v>28.801011.-14387.11036..CLEAR SCHEDULE.</v>
      </c>
      <c r="E3807">
        <v>28</v>
      </c>
      <c r="F3807">
        <v>801011</v>
      </c>
      <c r="G3807" s="2">
        <v>-143.87</v>
      </c>
      <c r="H3807" t="s">
        <v>4205</v>
      </c>
      <c r="J3807" s="18" t="s">
        <v>4327</v>
      </c>
    </row>
    <row r="3808" spans="3:10" x14ac:dyDescent="0.25">
      <c r="C3808" s="17" t="str">
        <f t="shared" si="60"/>
        <v>28.801011.-23366.11037..CLEAR SCHEDULE.</v>
      </c>
      <c r="E3808">
        <v>28</v>
      </c>
      <c r="F3808">
        <v>801011</v>
      </c>
      <c r="G3808" s="1">
        <v>-233.66</v>
      </c>
      <c r="H3808" t="s">
        <v>4206</v>
      </c>
      <c r="J3808" s="18" t="s">
        <v>4327</v>
      </c>
    </row>
    <row r="3809" spans="3:10" x14ac:dyDescent="0.25">
      <c r="C3809" s="17" t="str">
        <f t="shared" si="60"/>
        <v>28.801011.-15945.11039..CLEAR SCHEDULE.</v>
      </c>
      <c r="E3809">
        <v>28</v>
      </c>
      <c r="F3809">
        <v>801011</v>
      </c>
      <c r="G3809" s="2">
        <v>-159.44999999999999</v>
      </c>
      <c r="H3809" t="s">
        <v>4207</v>
      </c>
      <c r="J3809" s="18" t="s">
        <v>4327</v>
      </c>
    </row>
    <row r="3810" spans="3:10" x14ac:dyDescent="0.25">
      <c r="C3810" s="17" t="str">
        <f t="shared" si="60"/>
        <v>28.801011.-9751.11040..CLEAR SCHEDULE.</v>
      </c>
      <c r="E3810">
        <v>28</v>
      </c>
      <c r="F3810">
        <v>801011</v>
      </c>
      <c r="G3810" s="1">
        <v>-97.51</v>
      </c>
      <c r="H3810" t="s">
        <v>4208</v>
      </c>
      <c r="J3810" s="18" t="s">
        <v>4327</v>
      </c>
    </row>
    <row r="3811" spans="3:10" x14ac:dyDescent="0.25">
      <c r="C3811" s="17" t="str">
        <f t="shared" si="60"/>
        <v>28.801011.-15166.11043..CLEAR SCHEDULE.</v>
      </c>
      <c r="E3811">
        <v>28</v>
      </c>
      <c r="F3811">
        <v>801011</v>
      </c>
      <c r="G3811" s="2">
        <v>-151.66</v>
      </c>
      <c r="H3811" t="s">
        <v>4209</v>
      </c>
      <c r="J3811" s="18" t="s">
        <v>4327</v>
      </c>
    </row>
    <row r="3812" spans="3:10" x14ac:dyDescent="0.25">
      <c r="C3812" s="17" t="str">
        <f t="shared" si="60"/>
        <v>28.801011.-10530.11044..CLEAR SCHEDULE.</v>
      </c>
      <c r="E3812">
        <v>28</v>
      </c>
      <c r="F3812">
        <v>801011</v>
      </c>
      <c r="G3812" s="1">
        <v>-105.3</v>
      </c>
      <c r="H3812" t="s">
        <v>4210</v>
      </c>
      <c r="J3812" s="18" t="s">
        <v>4327</v>
      </c>
    </row>
    <row r="3813" spans="3:10" x14ac:dyDescent="0.25">
      <c r="C3813" s="17" t="str">
        <f t="shared" si="60"/>
        <v>28.801011.-9751.11047..CLEAR SCHEDULE.</v>
      </c>
      <c r="E3813">
        <v>28</v>
      </c>
      <c r="F3813">
        <v>801011</v>
      </c>
      <c r="G3813" s="2">
        <v>-97.51</v>
      </c>
      <c r="H3813" t="s">
        <v>4211</v>
      </c>
      <c r="J3813" s="18" t="s">
        <v>4327</v>
      </c>
    </row>
    <row r="3814" spans="3:10" x14ac:dyDescent="0.25">
      <c r="C3814" s="17" t="str">
        <f t="shared" si="60"/>
        <v>28.801011.-10725.11048..CLEAR SCHEDULE.</v>
      </c>
      <c r="E3814">
        <v>28</v>
      </c>
      <c r="F3814">
        <v>801011</v>
      </c>
      <c r="G3814" s="1">
        <v>-107.25</v>
      </c>
      <c r="H3814" t="s">
        <v>4212</v>
      </c>
      <c r="J3814" s="18" t="s">
        <v>4327</v>
      </c>
    </row>
    <row r="3815" spans="3:10" x14ac:dyDescent="0.25">
      <c r="C3815" s="17" t="str">
        <f t="shared" si="60"/>
        <v>28.801011.-25351.11049..CLEAR SCHEDULE.</v>
      </c>
      <c r="E3815">
        <v>28</v>
      </c>
      <c r="F3815">
        <v>801011</v>
      </c>
      <c r="G3815" s="2">
        <v>-253.51</v>
      </c>
      <c r="H3815" t="s">
        <v>4213</v>
      </c>
      <c r="J3815" s="18" t="s">
        <v>4327</v>
      </c>
    </row>
    <row r="3816" spans="3:10" x14ac:dyDescent="0.25">
      <c r="C3816" s="17" t="str">
        <f t="shared" si="60"/>
        <v>28.801011.-9991.11050..CLEAR SCHEDULE.</v>
      </c>
      <c r="E3816">
        <v>28</v>
      </c>
      <c r="F3816">
        <v>801011</v>
      </c>
      <c r="G3816" s="1">
        <v>-99.91</v>
      </c>
      <c r="H3816" t="s">
        <v>4214</v>
      </c>
      <c r="J3816" s="18" t="s">
        <v>4327</v>
      </c>
    </row>
    <row r="3817" spans="3:10" x14ac:dyDescent="0.25">
      <c r="C3817" s="17" t="str">
        <f t="shared" si="60"/>
        <v>28.801011.-69598.11052..CLEAR SCHEDULE.</v>
      </c>
      <c r="E3817">
        <v>28</v>
      </c>
      <c r="F3817">
        <v>801011</v>
      </c>
      <c r="G3817" s="2">
        <v>-695.98</v>
      </c>
      <c r="H3817" t="s">
        <v>4215</v>
      </c>
      <c r="J3817" s="18" t="s">
        <v>4327</v>
      </c>
    </row>
    <row r="3818" spans="3:10" x14ac:dyDescent="0.25">
      <c r="C3818" s="17" t="str">
        <f t="shared" si="60"/>
        <v>28.801011.-38954.11053..CLEAR SCHEDULE.</v>
      </c>
      <c r="E3818">
        <v>28</v>
      </c>
      <c r="F3818">
        <v>801011</v>
      </c>
      <c r="G3818" s="1">
        <v>-389.54</v>
      </c>
      <c r="H3818" t="s">
        <v>4216</v>
      </c>
      <c r="J3818" s="18" t="s">
        <v>4327</v>
      </c>
    </row>
    <row r="3819" spans="3:10" x14ac:dyDescent="0.25">
      <c r="C3819" s="17" t="str">
        <f t="shared" si="60"/>
        <v>28.801011.-25682.11054..CLEAR SCHEDULE.</v>
      </c>
      <c r="E3819">
        <v>28</v>
      </c>
      <c r="F3819">
        <v>801011</v>
      </c>
      <c r="G3819" s="2">
        <v>-256.82</v>
      </c>
      <c r="H3819" t="s">
        <v>4217</v>
      </c>
      <c r="J3819" s="18" t="s">
        <v>4327</v>
      </c>
    </row>
    <row r="3820" spans="3:10" x14ac:dyDescent="0.25">
      <c r="C3820" s="17" t="str">
        <f t="shared" si="60"/>
        <v>28.801011.-174844.11055..CLEAR SCHEDULE.</v>
      </c>
      <c r="E3820">
        <v>28</v>
      </c>
      <c r="F3820">
        <v>801011</v>
      </c>
      <c r="G3820" s="1">
        <v>-1748.44</v>
      </c>
      <c r="H3820" t="s">
        <v>4218</v>
      </c>
      <c r="J3820" s="18" t="s">
        <v>4327</v>
      </c>
    </row>
    <row r="3821" spans="3:10" x14ac:dyDescent="0.25">
      <c r="C3821" s="17" t="str">
        <f t="shared" si="60"/>
        <v>28.801011.-8541.11056..CLEAR SCHEDULE.</v>
      </c>
      <c r="E3821">
        <v>28</v>
      </c>
      <c r="F3821">
        <v>801011</v>
      </c>
      <c r="G3821" s="2">
        <v>-85.41</v>
      </c>
      <c r="H3821" t="s">
        <v>4219</v>
      </c>
      <c r="J3821" s="18" t="s">
        <v>4327</v>
      </c>
    </row>
    <row r="3822" spans="3:10" x14ac:dyDescent="0.25">
      <c r="C3822" s="17" t="str">
        <f t="shared" si="60"/>
        <v>28.801011.-44907.11057..CLEAR SCHEDULE.</v>
      </c>
      <c r="E3822">
        <v>28</v>
      </c>
      <c r="F3822">
        <v>801011</v>
      </c>
      <c r="G3822" s="1">
        <v>-449.07</v>
      </c>
      <c r="H3822" t="s">
        <v>4220</v>
      </c>
      <c r="J3822" s="18" t="s">
        <v>4327</v>
      </c>
    </row>
    <row r="3823" spans="3:10" x14ac:dyDescent="0.25">
      <c r="C3823" s="17" t="str">
        <f t="shared" si="60"/>
        <v>28.801011.-42936.11059..CLEAR SCHEDULE.</v>
      </c>
      <c r="E3823">
        <v>28</v>
      </c>
      <c r="F3823">
        <v>801011</v>
      </c>
      <c r="G3823" s="2">
        <v>-429.36</v>
      </c>
      <c r="H3823" t="s">
        <v>4221</v>
      </c>
      <c r="J3823" s="18" t="s">
        <v>4327</v>
      </c>
    </row>
    <row r="3824" spans="3:10" x14ac:dyDescent="0.25">
      <c r="C3824" s="17" t="str">
        <f t="shared" si="60"/>
        <v>28.801011.-64732.11061..CLEAR SCHEDULE.</v>
      </c>
      <c r="E3824">
        <v>28</v>
      </c>
      <c r="F3824">
        <v>801011</v>
      </c>
      <c r="G3824" s="1">
        <v>-647.32000000000005</v>
      </c>
      <c r="H3824" t="s">
        <v>4222</v>
      </c>
      <c r="J3824" s="18" t="s">
        <v>4327</v>
      </c>
    </row>
    <row r="3825" spans="3:10" x14ac:dyDescent="0.25">
      <c r="C3825" s="17" t="str">
        <f t="shared" si="60"/>
        <v>28.801011.-160649.11063..CLEAR SCHEDULE.</v>
      </c>
      <c r="E3825">
        <v>28</v>
      </c>
      <c r="F3825">
        <v>801011</v>
      </c>
      <c r="G3825" s="2">
        <v>-1606.49</v>
      </c>
      <c r="H3825" t="s">
        <v>4223</v>
      </c>
      <c r="J3825" s="18" t="s">
        <v>4327</v>
      </c>
    </row>
    <row r="3826" spans="3:10" x14ac:dyDescent="0.25">
      <c r="C3826" s="17" t="str">
        <f t="shared" si="60"/>
        <v>28.801011.-57253.11064..CLEAR SCHEDULE.</v>
      </c>
      <c r="E3826">
        <v>28</v>
      </c>
      <c r="F3826">
        <v>801011</v>
      </c>
      <c r="G3826" s="1">
        <v>-572.53</v>
      </c>
      <c r="H3826" t="s">
        <v>4224</v>
      </c>
      <c r="J3826" s="18" t="s">
        <v>4327</v>
      </c>
    </row>
    <row r="3827" spans="3:10" x14ac:dyDescent="0.25">
      <c r="C3827" s="17" t="str">
        <f t="shared" si="60"/>
        <v>28.801011.-9261.11065..CLEAR SCHEDULE.</v>
      </c>
      <c r="E3827">
        <v>28</v>
      </c>
      <c r="F3827">
        <v>801011</v>
      </c>
      <c r="G3827" s="2">
        <v>-92.61</v>
      </c>
      <c r="H3827" t="s">
        <v>4225</v>
      </c>
      <c r="J3827" s="18" t="s">
        <v>4327</v>
      </c>
    </row>
    <row r="3828" spans="3:10" x14ac:dyDescent="0.25">
      <c r="C3828" s="17" t="str">
        <f t="shared" si="60"/>
        <v>28.801011.-5415.11066..CLEAR SCHEDULE.</v>
      </c>
      <c r="E3828">
        <v>28</v>
      </c>
      <c r="F3828">
        <v>801011</v>
      </c>
      <c r="G3828" s="1">
        <v>-54.15</v>
      </c>
      <c r="H3828" t="s">
        <v>4226</v>
      </c>
      <c r="J3828" s="18" t="s">
        <v>4327</v>
      </c>
    </row>
    <row r="3829" spans="3:10" x14ac:dyDescent="0.25">
      <c r="C3829" s="17" t="str">
        <f t="shared" si="60"/>
        <v>28.801011.-10549.11067..CLEAR SCHEDULE.</v>
      </c>
      <c r="E3829">
        <v>28</v>
      </c>
      <c r="F3829">
        <v>801011</v>
      </c>
      <c r="G3829" s="2">
        <v>-105.49</v>
      </c>
      <c r="H3829" t="s">
        <v>4227</v>
      </c>
      <c r="J3829" s="18" t="s">
        <v>4327</v>
      </c>
    </row>
    <row r="3830" spans="3:10" x14ac:dyDescent="0.25">
      <c r="C3830" s="17" t="str">
        <f t="shared" si="60"/>
        <v>28.801011.-18275.11069..CLEAR SCHEDULE.</v>
      </c>
      <c r="E3830">
        <v>28</v>
      </c>
      <c r="F3830">
        <v>801011</v>
      </c>
      <c r="G3830" s="1">
        <v>-182.75</v>
      </c>
      <c r="H3830" t="s">
        <v>4228</v>
      </c>
      <c r="J3830" s="18" t="s">
        <v>4327</v>
      </c>
    </row>
    <row r="3831" spans="3:10" x14ac:dyDescent="0.25">
      <c r="C3831" s="17" t="str">
        <f t="shared" si="60"/>
        <v>28.801011.-60964.11073..CLEAR SCHEDULE.</v>
      </c>
      <c r="E3831">
        <v>28</v>
      </c>
      <c r="F3831">
        <v>801011</v>
      </c>
      <c r="G3831" s="2">
        <v>-609.64</v>
      </c>
      <c r="H3831" t="s">
        <v>4229</v>
      </c>
      <c r="J3831" s="18" t="s">
        <v>4327</v>
      </c>
    </row>
    <row r="3832" spans="3:10" x14ac:dyDescent="0.25">
      <c r="C3832" s="17" t="str">
        <f t="shared" si="60"/>
        <v>28.801011.-15185.11074..CLEAR SCHEDULE.</v>
      </c>
      <c r="E3832">
        <v>28</v>
      </c>
      <c r="F3832">
        <v>801011</v>
      </c>
      <c r="G3832" s="1">
        <v>-151.85</v>
      </c>
      <c r="H3832" t="s">
        <v>4230</v>
      </c>
      <c r="J3832" s="18" t="s">
        <v>4327</v>
      </c>
    </row>
    <row r="3833" spans="3:10" x14ac:dyDescent="0.25">
      <c r="C3833" s="17" t="str">
        <f t="shared" si="60"/>
        <v>28.801011.-17874.11076..CLEAR SCHEDULE.</v>
      </c>
      <c r="E3833">
        <v>28</v>
      </c>
      <c r="F3833">
        <v>801011</v>
      </c>
      <c r="G3833" s="2">
        <v>-178.74</v>
      </c>
      <c r="H3833" t="s">
        <v>4231</v>
      </c>
      <c r="J3833" s="18" t="s">
        <v>4327</v>
      </c>
    </row>
    <row r="3834" spans="3:10" x14ac:dyDescent="0.25">
      <c r="C3834" s="17" t="str">
        <f t="shared" si="60"/>
        <v>28.801011.-14406.11077..CLEAR SCHEDULE.</v>
      </c>
      <c r="E3834">
        <v>28</v>
      </c>
      <c r="F3834">
        <v>801011</v>
      </c>
      <c r="G3834" s="1">
        <v>-144.06</v>
      </c>
      <c r="H3834" t="s">
        <v>4232</v>
      </c>
      <c r="J3834" s="18" t="s">
        <v>4327</v>
      </c>
    </row>
    <row r="3835" spans="3:10" x14ac:dyDescent="0.25">
      <c r="C3835" s="17" t="str">
        <f t="shared" si="60"/>
        <v>28.801011.-10549.11078..CLEAR SCHEDULE.</v>
      </c>
      <c r="E3835">
        <v>28</v>
      </c>
      <c r="F3835">
        <v>801011</v>
      </c>
      <c r="G3835" s="2">
        <v>-105.49</v>
      </c>
      <c r="H3835" t="s">
        <v>4233</v>
      </c>
      <c r="J3835" s="18" t="s">
        <v>4327</v>
      </c>
    </row>
    <row r="3836" spans="3:10" x14ac:dyDescent="0.25">
      <c r="C3836" s="17" t="str">
        <f t="shared" si="60"/>
        <v>28.801011.-84469.11084..CLEAR SCHEDULE.</v>
      </c>
      <c r="E3836">
        <v>28</v>
      </c>
      <c r="F3836">
        <v>801011</v>
      </c>
      <c r="G3836" s="1">
        <v>-844.69</v>
      </c>
      <c r="H3836" t="s">
        <v>4234</v>
      </c>
      <c r="J3836" s="18" t="s">
        <v>4327</v>
      </c>
    </row>
    <row r="3837" spans="3:10" x14ac:dyDescent="0.25">
      <c r="C3837" s="17" t="str">
        <f t="shared" si="60"/>
        <v>28.801011.-14406.11085..CLEAR SCHEDULE.</v>
      </c>
      <c r="E3837">
        <v>28</v>
      </c>
      <c r="F3837">
        <v>801011</v>
      </c>
      <c r="G3837" s="2">
        <v>-144.06</v>
      </c>
      <c r="H3837" t="s">
        <v>4235</v>
      </c>
      <c r="J3837" s="18" t="s">
        <v>4327</v>
      </c>
    </row>
    <row r="3838" spans="3:10" x14ac:dyDescent="0.25">
      <c r="C3838" s="17" t="str">
        <f t="shared" si="60"/>
        <v>28.801011.-123932.11089..CLEAR SCHEDULE.</v>
      </c>
      <c r="E3838">
        <v>28</v>
      </c>
      <c r="F3838">
        <v>801011</v>
      </c>
      <c r="G3838" s="1">
        <v>-1239.32</v>
      </c>
      <c r="H3838" t="s">
        <v>4236</v>
      </c>
      <c r="J3838" s="18" t="s">
        <v>4327</v>
      </c>
    </row>
    <row r="3839" spans="3:10" x14ac:dyDescent="0.25">
      <c r="C3839" s="17" t="str">
        <f t="shared" si="60"/>
        <v>28.801011.-169778.11092..CLEAR SCHEDULE.</v>
      </c>
      <c r="E3839">
        <v>28</v>
      </c>
      <c r="F3839">
        <v>801011</v>
      </c>
      <c r="G3839" s="2">
        <v>-1697.78</v>
      </c>
      <c r="H3839" t="s">
        <v>4237</v>
      </c>
      <c r="J3839" s="18" t="s">
        <v>4327</v>
      </c>
    </row>
    <row r="3840" spans="3:10" x14ac:dyDescent="0.25">
      <c r="C3840" s="17" t="str">
        <f t="shared" si="60"/>
        <v>28.801011.-8991.11093..CLEAR SCHEDULE.</v>
      </c>
      <c r="E3840">
        <v>28</v>
      </c>
      <c r="F3840">
        <v>801011</v>
      </c>
      <c r="G3840" s="1">
        <v>-89.91</v>
      </c>
      <c r="H3840" t="s">
        <v>4238</v>
      </c>
      <c r="J3840" s="18" t="s">
        <v>4327</v>
      </c>
    </row>
    <row r="3841" spans="3:10" x14ac:dyDescent="0.25">
      <c r="C3841" s="17" t="str">
        <f t="shared" si="60"/>
        <v>28.801011.-168604.11095..CLEAR SCHEDULE.</v>
      </c>
      <c r="E3841">
        <v>28</v>
      </c>
      <c r="F3841">
        <v>801011</v>
      </c>
      <c r="G3841" s="2">
        <v>-1686.04</v>
      </c>
      <c r="H3841" t="s">
        <v>4239</v>
      </c>
      <c r="J3841" s="18" t="s">
        <v>4327</v>
      </c>
    </row>
    <row r="3842" spans="3:10" x14ac:dyDescent="0.25">
      <c r="C3842" s="17" t="str">
        <f t="shared" si="60"/>
        <v>28.801011.-15185.11096..CLEAR SCHEDULE.</v>
      </c>
      <c r="E3842">
        <v>28</v>
      </c>
      <c r="F3842">
        <v>801011</v>
      </c>
      <c r="G3842" s="1">
        <v>-151.85</v>
      </c>
      <c r="H3842" t="s">
        <v>4240</v>
      </c>
      <c r="J3842" s="18" t="s">
        <v>4327</v>
      </c>
    </row>
    <row r="3843" spans="3:10" x14ac:dyDescent="0.25">
      <c r="C3843" s="17" t="str">
        <f t="shared" si="60"/>
        <v>28.801011.-14406.11098..CLEAR SCHEDULE.</v>
      </c>
      <c r="E3843">
        <v>28</v>
      </c>
      <c r="F3843">
        <v>801011</v>
      </c>
      <c r="G3843" s="2">
        <v>-144.06</v>
      </c>
      <c r="H3843" t="s">
        <v>4241</v>
      </c>
      <c r="J3843" s="18" t="s">
        <v>4327</v>
      </c>
    </row>
    <row r="3844" spans="3:10" x14ac:dyDescent="0.25">
      <c r="C3844" s="17" t="str">
        <f t="shared" si="60"/>
        <v>28.801011.-14406.11100..CLEAR SCHEDULE.</v>
      </c>
      <c r="E3844">
        <v>28</v>
      </c>
      <c r="F3844">
        <v>801011</v>
      </c>
      <c r="G3844" s="1">
        <v>-144.06</v>
      </c>
      <c r="H3844" t="s">
        <v>4242</v>
      </c>
      <c r="J3844" s="18" t="s">
        <v>4327</v>
      </c>
    </row>
    <row r="3845" spans="3:10" x14ac:dyDescent="0.25">
      <c r="C3845" s="17" t="str">
        <f t="shared" si="60"/>
        <v>28.801011.-19240.11104..CLEAR SCHEDULE.</v>
      </c>
      <c r="E3845">
        <v>28</v>
      </c>
      <c r="F3845">
        <v>801011</v>
      </c>
      <c r="G3845" s="2">
        <v>-192.4</v>
      </c>
      <c r="H3845" t="s">
        <v>4243</v>
      </c>
      <c r="J3845" s="18" t="s">
        <v>4327</v>
      </c>
    </row>
    <row r="3846" spans="3:10" x14ac:dyDescent="0.25">
      <c r="C3846" s="17" t="str">
        <f t="shared" si="60"/>
        <v>28.801011.-8991.11105..CLEAR SCHEDULE.</v>
      </c>
      <c r="E3846">
        <v>28</v>
      </c>
      <c r="F3846">
        <v>801011</v>
      </c>
      <c r="G3846" s="1">
        <v>-89.91</v>
      </c>
      <c r="H3846" t="s">
        <v>4244</v>
      </c>
      <c r="J3846" s="18" t="s">
        <v>4327</v>
      </c>
    </row>
    <row r="3847" spans="3:10" x14ac:dyDescent="0.25">
      <c r="C3847" s="17" t="str">
        <f t="shared" si="60"/>
        <v>28.801011.-28781.11110..CLEAR SCHEDULE.</v>
      </c>
      <c r="E3847">
        <v>28</v>
      </c>
      <c r="F3847">
        <v>801011</v>
      </c>
      <c r="G3847" s="2">
        <v>-287.81</v>
      </c>
      <c r="H3847" t="s">
        <v>4245</v>
      </c>
      <c r="J3847" s="18" t="s">
        <v>4327</v>
      </c>
    </row>
    <row r="3848" spans="3:10" x14ac:dyDescent="0.25">
      <c r="C3848" s="17" t="str">
        <f t="shared" si="60"/>
        <v>28.801011.-8541.11111..CLEAR SCHEDULE.</v>
      </c>
      <c r="E3848">
        <v>28</v>
      </c>
      <c r="F3848">
        <v>801011</v>
      </c>
      <c r="G3848" s="1">
        <v>-85.41</v>
      </c>
      <c r="H3848" t="s">
        <v>4246</v>
      </c>
      <c r="J3848" s="18" t="s">
        <v>4327</v>
      </c>
    </row>
    <row r="3849" spans="3:10" x14ac:dyDescent="0.25">
      <c r="C3849" s="17" t="str">
        <f t="shared" si="60"/>
        <v>28.801011.-8991.11113..CLEAR SCHEDULE.</v>
      </c>
      <c r="E3849">
        <v>28</v>
      </c>
      <c r="F3849">
        <v>801011</v>
      </c>
      <c r="G3849" s="2">
        <v>-89.91</v>
      </c>
      <c r="H3849" t="s">
        <v>4247</v>
      </c>
      <c r="J3849" s="18" t="s">
        <v>4327</v>
      </c>
    </row>
    <row r="3850" spans="3:10" x14ac:dyDescent="0.25">
      <c r="C3850" s="17" t="str">
        <f t="shared" si="60"/>
        <v>28.801011.-105626.11114..CLEAR SCHEDULE.</v>
      </c>
      <c r="E3850">
        <v>28</v>
      </c>
      <c r="F3850">
        <v>801011</v>
      </c>
      <c r="G3850" s="1">
        <v>-1056.26</v>
      </c>
      <c r="H3850" t="s">
        <v>4248</v>
      </c>
      <c r="J3850" s="18" t="s">
        <v>4327</v>
      </c>
    </row>
    <row r="3851" spans="3:10" x14ac:dyDescent="0.25">
      <c r="C3851" s="17" t="str">
        <f t="shared" ref="C3851:C3914" si="61">IF(G3851=0,"",(E3851&amp;"."&amp;F3851&amp;"."&amp;G3851*100&amp;"."&amp;H3851&amp;"."&amp;I3851&amp;"."&amp;J3851&amp;"."&amp;K3851))</f>
        <v>28.801011.-65691.11116..CLEAR SCHEDULE.</v>
      </c>
      <c r="E3851">
        <v>28</v>
      </c>
      <c r="F3851">
        <v>801011</v>
      </c>
      <c r="G3851" s="2">
        <v>-656.91</v>
      </c>
      <c r="H3851" t="s">
        <v>4249</v>
      </c>
      <c r="J3851" s="18" t="s">
        <v>4327</v>
      </c>
    </row>
    <row r="3852" spans="3:10" x14ac:dyDescent="0.25">
      <c r="C3852" s="17" t="str">
        <f t="shared" si="61"/>
        <v>28.801011.-8991.11117..CLEAR SCHEDULE.</v>
      </c>
      <c r="E3852">
        <v>28</v>
      </c>
      <c r="F3852">
        <v>801011</v>
      </c>
      <c r="G3852" s="1">
        <v>-89.91</v>
      </c>
      <c r="H3852" t="s">
        <v>4250</v>
      </c>
      <c r="J3852" s="18" t="s">
        <v>4327</v>
      </c>
    </row>
    <row r="3853" spans="3:10" x14ac:dyDescent="0.25">
      <c r="C3853" s="17" t="str">
        <f t="shared" si="61"/>
        <v>28.801011.-57943.11119..CLEAR SCHEDULE.</v>
      </c>
      <c r="E3853">
        <v>28</v>
      </c>
      <c r="F3853">
        <v>801011</v>
      </c>
      <c r="G3853" s="2">
        <v>-579.42999999999995</v>
      </c>
      <c r="H3853" t="s">
        <v>4251</v>
      </c>
      <c r="J3853" s="18" t="s">
        <v>4327</v>
      </c>
    </row>
    <row r="3854" spans="3:10" x14ac:dyDescent="0.25">
      <c r="C3854" s="17" t="str">
        <f t="shared" si="61"/>
        <v>28.801011.-8991.11120..CLEAR SCHEDULE.</v>
      </c>
      <c r="E3854">
        <v>28</v>
      </c>
      <c r="F3854">
        <v>801011</v>
      </c>
      <c r="G3854" s="1">
        <v>-89.91</v>
      </c>
      <c r="H3854" t="s">
        <v>4252</v>
      </c>
      <c r="J3854" s="18" t="s">
        <v>4327</v>
      </c>
    </row>
    <row r="3855" spans="3:10" x14ac:dyDescent="0.25">
      <c r="C3855" s="17" t="str">
        <f t="shared" si="61"/>
        <v>28.801011.-9870.11121..CLEAR SCHEDULE.</v>
      </c>
      <c r="E3855">
        <v>28</v>
      </c>
      <c r="F3855">
        <v>801011</v>
      </c>
      <c r="G3855" s="2">
        <v>-98.7</v>
      </c>
      <c r="H3855" t="s">
        <v>4253</v>
      </c>
      <c r="J3855" s="18" t="s">
        <v>4327</v>
      </c>
    </row>
    <row r="3856" spans="3:10" x14ac:dyDescent="0.25">
      <c r="C3856" s="17" t="str">
        <f t="shared" si="61"/>
        <v>28.801011.-12108.11122..CLEAR SCHEDULE.</v>
      </c>
      <c r="E3856">
        <v>28</v>
      </c>
      <c r="F3856">
        <v>801011</v>
      </c>
      <c r="G3856" s="1">
        <v>-121.08</v>
      </c>
      <c r="H3856" t="s">
        <v>4254</v>
      </c>
      <c r="J3856" s="18" t="s">
        <v>4327</v>
      </c>
    </row>
    <row r="3857" spans="3:10" x14ac:dyDescent="0.25">
      <c r="C3857" s="17" t="str">
        <f t="shared" si="61"/>
        <v>28.801011.-43670.11123..CLEAR SCHEDULE.</v>
      </c>
      <c r="E3857">
        <v>28</v>
      </c>
      <c r="F3857">
        <v>801011</v>
      </c>
      <c r="G3857" s="2">
        <v>-436.7</v>
      </c>
      <c r="H3857" t="s">
        <v>4255</v>
      </c>
      <c r="J3857" s="18" t="s">
        <v>4327</v>
      </c>
    </row>
    <row r="3858" spans="3:10" x14ac:dyDescent="0.25">
      <c r="C3858" s="17" t="str">
        <f t="shared" si="61"/>
        <v>28.801011.-10711.11124..CLEAR SCHEDULE.</v>
      </c>
      <c r="E3858">
        <v>28</v>
      </c>
      <c r="F3858">
        <v>801011</v>
      </c>
      <c r="G3858" s="1">
        <v>-107.11</v>
      </c>
      <c r="H3858" t="s">
        <v>4256</v>
      </c>
      <c r="J3858" s="18" t="s">
        <v>4327</v>
      </c>
    </row>
    <row r="3859" spans="3:10" x14ac:dyDescent="0.25">
      <c r="C3859" s="17" t="str">
        <f t="shared" si="61"/>
        <v>28.801011.-50597.11136..CLEAR SCHEDULE.</v>
      </c>
      <c r="E3859">
        <v>28</v>
      </c>
      <c r="F3859">
        <v>801011</v>
      </c>
      <c r="G3859" s="2">
        <v>-505.97</v>
      </c>
      <c r="H3859" t="s">
        <v>4257</v>
      </c>
      <c r="J3859" s="18" t="s">
        <v>4327</v>
      </c>
    </row>
    <row r="3860" spans="3:10" x14ac:dyDescent="0.25">
      <c r="C3860" s="17" t="str">
        <f t="shared" si="61"/>
        <v>28.801011.-15185.11137..CLEAR SCHEDULE.</v>
      </c>
      <c r="E3860">
        <v>28</v>
      </c>
      <c r="F3860">
        <v>801011</v>
      </c>
      <c r="G3860" s="1">
        <v>-151.85</v>
      </c>
      <c r="H3860" t="s">
        <v>4258</v>
      </c>
      <c r="J3860" s="18" t="s">
        <v>4327</v>
      </c>
    </row>
    <row r="3861" spans="3:10" x14ac:dyDescent="0.25">
      <c r="C3861" s="17" t="str">
        <f t="shared" si="61"/>
        <v>28.801011.-27215.11138..CLEAR SCHEDULE.</v>
      </c>
      <c r="E3861">
        <v>28</v>
      </c>
      <c r="F3861">
        <v>801011</v>
      </c>
      <c r="G3861" s="2">
        <v>-272.14999999999998</v>
      </c>
      <c r="H3861" t="s">
        <v>4259</v>
      </c>
      <c r="J3861" s="18" t="s">
        <v>4327</v>
      </c>
    </row>
    <row r="3862" spans="3:10" x14ac:dyDescent="0.25">
      <c r="C3862" s="17" t="str">
        <f t="shared" si="61"/>
        <v>28.801011.-14406.11139..CLEAR SCHEDULE.</v>
      </c>
      <c r="E3862">
        <v>28</v>
      </c>
      <c r="F3862">
        <v>801011</v>
      </c>
      <c r="G3862" s="1">
        <v>-144.06</v>
      </c>
      <c r="H3862" t="s">
        <v>4260</v>
      </c>
      <c r="J3862" s="18" t="s">
        <v>4327</v>
      </c>
    </row>
    <row r="3863" spans="3:10" x14ac:dyDescent="0.25">
      <c r="C3863" s="17" t="str">
        <f t="shared" si="61"/>
        <v>28.801011.-160986.11141..CLEAR SCHEDULE.</v>
      </c>
      <c r="E3863">
        <v>28</v>
      </c>
      <c r="F3863">
        <v>801011</v>
      </c>
      <c r="G3863" s="2">
        <v>-1609.86</v>
      </c>
      <c r="H3863" t="s">
        <v>4261</v>
      </c>
      <c r="J3863" s="18" t="s">
        <v>4327</v>
      </c>
    </row>
    <row r="3864" spans="3:10" x14ac:dyDescent="0.25">
      <c r="C3864" s="17" t="str">
        <f t="shared" si="61"/>
        <v>28.801011.-37823.11142..CLEAR SCHEDULE.</v>
      </c>
      <c r="E3864">
        <v>28</v>
      </c>
      <c r="F3864">
        <v>801011</v>
      </c>
      <c r="G3864" s="1">
        <v>-378.23</v>
      </c>
      <c r="H3864" t="s">
        <v>4262</v>
      </c>
      <c r="J3864" s="18" t="s">
        <v>4327</v>
      </c>
    </row>
    <row r="3865" spans="3:10" x14ac:dyDescent="0.25">
      <c r="C3865" s="17" t="str">
        <f t="shared" si="61"/>
        <v>28.801011.-67410.11143..CLEAR SCHEDULE.</v>
      </c>
      <c r="E3865">
        <v>28</v>
      </c>
      <c r="F3865">
        <v>801011</v>
      </c>
      <c r="G3865" s="2">
        <v>-674.1</v>
      </c>
      <c r="H3865" t="s">
        <v>4263</v>
      </c>
      <c r="J3865" s="18" t="s">
        <v>4327</v>
      </c>
    </row>
    <row r="3866" spans="3:10" x14ac:dyDescent="0.25">
      <c r="C3866" s="17" t="str">
        <f t="shared" si="61"/>
        <v>28.801011.-79703.11144..CLEAR SCHEDULE.</v>
      </c>
      <c r="E3866">
        <v>28</v>
      </c>
      <c r="F3866">
        <v>801011</v>
      </c>
      <c r="G3866" s="1">
        <v>-797.03</v>
      </c>
      <c r="H3866" t="s">
        <v>4264</v>
      </c>
      <c r="J3866" s="18" t="s">
        <v>4327</v>
      </c>
    </row>
    <row r="3867" spans="3:10" x14ac:dyDescent="0.25">
      <c r="C3867" s="17" t="str">
        <f t="shared" si="61"/>
        <v>28.801011.-8991.11146..CLEAR SCHEDULE.</v>
      </c>
      <c r="E3867">
        <v>28</v>
      </c>
      <c r="F3867">
        <v>801011</v>
      </c>
      <c r="G3867" s="2">
        <v>-89.91</v>
      </c>
      <c r="H3867" t="s">
        <v>4265</v>
      </c>
      <c r="J3867" s="18" t="s">
        <v>4327</v>
      </c>
    </row>
    <row r="3868" spans="3:10" x14ac:dyDescent="0.25">
      <c r="C3868" s="17" t="str">
        <f t="shared" si="61"/>
        <v>28.801011.-14406.11147..CLEAR SCHEDULE.</v>
      </c>
      <c r="E3868">
        <v>28</v>
      </c>
      <c r="F3868">
        <v>801011</v>
      </c>
      <c r="G3868" s="1">
        <v>-144.06</v>
      </c>
      <c r="H3868" t="s">
        <v>4266</v>
      </c>
      <c r="J3868" s="18" t="s">
        <v>4327</v>
      </c>
    </row>
    <row r="3869" spans="3:10" x14ac:dyDescent="0.25">
      <c r="C3869" s="17" t="str">
        <f t="shared" si="61"/>
        <v>28.801011.-13686.11148..CLEAR SCHEDULE.</v>
      </c>
      <c r="E3869">
        <v>28</v>
      </c>
      <c r="F3869">
        <v>801011</v>
      </c>
      <c r="G3869" s="2">
        <v>-136.86000000000001</v>
      </c>
      <c r="H3869" t="s">
        <v>4267</v>
      </c>
      <c r="J3869" s="18" t="s">
        <v>4327</v>
      </c>
    </row>
    <row r="3870" spans="3:10" x14ac:dyDescent="0.25">
      <c r="C3870" s="17" t="str">
        <f t="shared" si="61"/>
        <v>28.801011.-1436.11149..CLEAR SCHEDULE.</v>
      </c>
      <c r="E3870">
        <v>28</v>
      </c>
      <c r="F3870">
        <v>801011</v>
      </c>
      <c r="G3870" s="1">
        <v>-14.36</v>
      </c>
      <c r="H3870" t="s">
        <v>4268</v>
      </c>
      <c r="J3870" s="18" t="s">
        <v>4327</v>
      </c>
    </row>
    <row r="3871" spans="3:10" x14ac:dyDescent="0.25">
      <c r="C3871" s="17" t="str">
        <f t="shared" si="61"/>
        <v>28.801011.-8991.11151..CLEAR SCHEDULE.</v>
      </c>
      <c r="E3871">
        <v>28</v>
      </c>
      <c r="F3871">
        <v>801011</v>
      </c>
      <c r="G3871" s="2">
        <v>-89.91</v>
      </c>
      <c r="H3871" t="s">
        <v>4269</v>
      </c>
      <c r="J3871" s="18" t="s">
        <v>4327</v>
      </c>
    </row>
    <row r="3872" spans="3:10" x14ac:dyDescent="0.25">
      <c r="C3872" s="17" t="str">
        <f t="shared" si="61"/>
        <v>28.801011.-8991.11152..CLEAR SCHEDULE.</v>
      </c>
      <c r="E3872">
        <v>28</v>
      </c>
      <c r="F3872">
        <v>801011</v>
      </c>
      <c r="G3872" s="1">
        <v>-89.91</v>
      </c>
      <c r="H3872" t="s">
        <v>4270</v>
      </c>
      <c r="J3872" s="18" t="s">
        <v>4327</v>
      </c>
    </row>
    <row r="3873" spans="3:10" x14ac:dyDescent="0.25">
      <c r="C3873" s="17" t="str">
        <f t="shared" si="61"/>
        <v>28.801011.-36958.11157..CLEAR SCHEDULE.</v>
      </c>
      <c r="E3873">
        <v>28</v>
      </c>
      <c r="F3873">
        <v>801011</v>
      </c>
      <c r="G3873" s="2">
        <v>-369.58</v>
      </c>
      <c r="H3873" t="s">
        <v>4271</v>
      </c>
      <c r="J3873" s="18" t="s">
        <v>4327</v>
      </c>
    </row>
    <row r="3874" spans="3:10" x14ac:dyDescent="0.25">
      <c r="C3874" s="17" t="str">
        <f t="shared" si="61"/>
        <v>28.801011.-23639.11158..CLEAR SCHEDULE.</v>
      </c>
      <c r="E3874">
        <v>28</v>
      </c>
      <c r="F3874">
        <v>801011</v>
      </c>
      <c r="G3874" s="1">
        <v>-236.39</v>
      </c>
      <c r="H3874" t="s">
        <v>4272</v>
      </c>
      <c r="J3874" s="18" t="s">
        <v>4327</v>
      </c>
    </row>
    <row r="3875" spans="3:10" x14ac:dyDescent="0.25">
      <c r="C3875" s="17" t="str">
        <f t="shared" si="61"/>
        <v>28.801011.-14406.11159..CLEAR SCHEDULE.</v>
      </c>
      <c r="E3875">
        <v>28</v>
      </c>
      <c r="F3875">
        <v>801011</v>
      </c>
      <c r="G3875" s="2">
        <v>-144.06</v>
      </c>
      <c r="H3875" t="s">
        <v>4273</v>
      </c>
      <c r="J3875" s="18" t="s">
        <v>4327</v>
      </c>
    </row>
    <row r="3876" spans="3:10" x14ac:dyDescent="0.25">
      <c r="C3876" s="17" t="str">
        <f t="shared" si="61"/>
        <v>28.801011.-5415.11160..CLEAR SCHEDULE.</v>
      </c>
      <c r="E3876">
        <v>28</v>
      </c>
      <c r="F3876">
        <v>801011</v>
      </c>
      <c r="G3876" s="1">
        <v>-54.15</v>
      </c>
      <c r="H3876" t="s">
        <v>4274</v>
      </c>
      <c r="J3876" s="18" t="s">
        <v>4327</v>
      </c>
    </row>
    <row r="3877" spans="3:10" x14ac:dyDescent="0.25">
      <c r="C3877" s="17" t="str">
        <f t="shared" si="61"/>
        <v>28.801011.-6769.11161..CLEAR SCHEDULE.</v>
      </c>
      <c r="E3877">
        <v>28</v>
      </c>
      <c r="F3877">
        <v>801011</v>
      </c>
      <c r="G3877" s="2">
        <v>-67.69</v>
      </c>
      <c r="H3877" t="s">
        <v>4275</v>
      </c>
      <c r="J3877" s="18" t="s">
        <v>4327</v>
      </c>
    </row>
    <row r="3878" spans="3:10" x14ac:dyDescent="0.25">
      <c r="C3878" s="17" t="str">
        <f t="shared" si="61"/>
        <v>28.801011.-9282.11163..CLEAR SCHEDULE.</v>
      </c>
      <c r="E3878">
        <v>28</v>
      </c>
      <c r="F3878">
        <v>801011</v>
      </c>
      <c r="G3878" s="1">
        <v>-92.82</v>
      </c>
      <c r="H3878" t="s">
        <v>4276</v>
      </c>
      <c r="J3878" s="18" t="s">
        <v>4327</v>
      </c>
    </row>
    <row r="3879" spans="3:10" x14ac:dyDescent="0.25">
      <c r="C3879" s="17" t="str">
        <f t="shared" si="61"/>
        <v>28.801011.-15018.11165..CLEAR SCHEDULE.</v>
      </c>
      <c r="E3879">
        <v>28</v>
      </c>
      <c r="F3879">
        <v>801011</v>
      </c>
      <c r="G3879" s="2">
        <v>-150.18</v>
      </c>
      <c r="H3879" t="s">
        <v>4277</v>
      </c>
      <c r="J3879" s="18" t="s">
        <v>4327</v>
      </c>
    </row>
    <row r="3880" spans="3:10" x14ac:dyDescent="0.25">
      <c r="C3880" s="17" t="str">
        <f t="shared" si="61"/>
        <v>28.801011.-32357.11166..CLEAR SCHEDULE.</v>
      </c>
      <c r="E3880">
        <v>28</v>
      </c>
      <c r="F3880">
        <v>801011</v>
      </c>
      <c r="G3880" s="1">
        <v>-323.57</v>
      </c>
      <c r="H3880" t="s">
        <v>4278</v>
      </c>
      <c r="J3880" s="18" t="s">
        <v>4327</v>
      </c>
    </row>
    <row r="3881" spans="3:10" x14ac:dyDescent="0.25">
      <c r="C3881" s="17" t="str">
        <f t="shared" si="61"/>
        <v>28.801011.-15964.11172..CLEAR SCHEDULE.</v>
      </c>
      <c r="E3881">
        <v>28</v>
      </c>
      <c r="F3881">
        <v>801011</v>
      </c>
      <c r="G3881" s="2">
        <v>-159.63999999999999</v>
      </c>
      <c r="H3881" t="s">
        <v>4279</v>
      </c>
      <c r="J3881" s="18" t="s">
        <v>4327</v>
      </c>
    </row>
    <row r="3882" spans="3:10" x14ac:dyDescent="0.25">
      <c r="C3882" s="17" t="str">
        <f t="shared" si="61"/>
        <v>28.801011.-5798.11173..CLEAR SCHEDULE.</v>
      </c>
      <c r="E3882">
        <v>28</v>
      </c>
      <c r="F3882">
        <v>801011</v>
      </c>
      <c r="G3882" s="1">
        <v>-57.98</v>
      </c>
      <c r="H3882" t="s">
        <v>4280</v>
      </c>
      <c r="J3882" s="18" t="s">
        <v>4327</v>
      </c>
    </row>
    <row r="3883" spans="3:10" x14ac:dyDescent="0.25">
      <c r="C3883" s="17" t="str">
        <f t="shared" si="61"/>
        <v>28.801011.-14406.11174..CLEAR SCHEDULE.</v>
      </c>
      <c r="E3883">
        <v>28</v>
      </c>
      <c r="F3883">
        <v>801011</v>
      </c>
      <c r="G3883" s="2">
        <v>-144.06</v>
      </c>
      <c r="H3883" t="s">
        <v>4281</v>
      </c>
      <c r="J3883" s="18" t="s">
        <v>4327</v>
      </c>
    </row>
    <row r="3884" spans="3:10" x14ac:dyDescent="0.25">
      <c r="C3884" s="17" t="str">
        <f t="shared" si="61"/>
        <v>28.801011.-15185.11176..CLEAR SCHEDULE.</v>
      </c>
      <c r="E3884">
        <v>28</v>
      </c>
      <c r="F3884">
        <v>801011</v>
      </c>
      <c r="G3884" s="1">
        <v>-151.85</v>
      </c>
      <c r="H3884" t="s">
        <v>4282</v>
      </c>
      <c r="J3884" s="18" t="s">
        <v>4327</v>
      </c>
    </row>
    <row r="3885" spans="3:10" x14ac:dyDescent="0.25">
      <c r="C3885" s="17" t="str">
        <f t="shared" si="61"/>
        <v>28.801011.-248469.11177..CLEAR SCHEDULE.</v>
      </c>
      <c r="E3885">
        <v>28</v>
      </c>
      <c r="F3885">
        <v>801011</v>
      </c>
      <c r="G3885" s="2">
        <v>-2484.69</v>
      </c>
      <c r="H3885" t="s">
        <v>4283</v>
      </c>
      <c r="J3885" s="18" t="s">
        <v>4327</v>
      </c>
    </row>
    <row r="3886" spans="3:10" x14ac:dyDescent="0.25">
      <c r="C3886" s="17" t="str">
        <f t="shared" si="61"/>
        <v>28.801011.-16744.11180..CLEAR SCHEDULE.</v>
      </c>
      <c r="E3886">
        <v>28</v>
      </c>
      <c r="F3886">
        <v>801011</v>
      </c>
      <c r="G3886" s="1">
        <v>-167.44</v>
      </c>
      <c r="H3886" t="s">
        <v>4284</v>
      </c>
      <c r="J3886" s="18" t="s">
        <v>4327</v>
      </c>
    </row>
    <row r="3887" spans="3:10" x14ac:dyDescent="0.25">
      <c r="C3887" s="17" t="str">
        <f t="shared" si="61"/>
        <v>28.801011.-10549.11181..CLEAR SCHEDULE.</v>
      </c>
      <c r="E3887">
        <v>28</v>
      </c>
      <c r="F3887">
        <v>801011</v>
      </c>
      <c r="G3887" s="2">
        <v>-105.49</v>
      </c>
      <c r="H3887" t="s">
        <v>4285</v>
      </c>
      <c r="J3887" s="18" t="s">
        <v>4327</v>
      </c>
    </row>
    <row r="3888" spans="3:10" x14ac:dyDescent="0.25">
      <c r="C3888" s="17" t="str">
        <f t="shared" si="61"/>
        <v>28.801011.-30291.11182..CLEAR SCHEDULE.</v>
      </c>
      <c r="E3888">
        <v>28</v>
      </c>
      <c r="F3888">
        <v>801011</v>
      </c>
      <c r="G3888" s="1">
        <v>-302.91000000000003</v>
      </c>
      <c r="H3888" t="s">
        <v>4286</v>
      </c>
      <c r="J3888" s="18" t="s">
        <v>4327</v>
      </c>
    </row>
    <row r="3889" spans="3:10" x14ac:dyDescent="0.25">
      <c r="C3889" s="17" t="str">
        <f t="shared" si="61"/>
        <v>28.801011.-19784.11183..CLEAR SCHEDULE.</v>
      </c>
      <c r="E3889">
        <v>28</v>
      </c>
      <c r="F3889">
        <v>801011</v>
      </c>
      <c r="G3889" s="2">
        <v>-197.84</v>
      </c>
      <c r="H3889" t="s">
        <v>4287</v>
      </c>
      <c r="J3889" s="18" t="s">
        <v>4327</v>
      </c>
    </row>
    <row r="3890" spans="3:10" x14ac:dyDescent="0.25">
      <c r="C3890" s="17" t="str">
        <f t="shared" si="61"/>
        <v>28.801011.-15185.11184..CLEAR SCHEDULE.</v>
      </c>
      <c r="E3890">
        <v>28</v>
      </c>
      <c r="F3890">
        <v>801011</v>
      </c>
      <c r="G3890" s="1">
        <v>-151.85</v>
      </c>
      <c r="H3890" t="s">
        <v>4288</v>
      </c>
      <c r="J3890" s="18" t="s">
        <v>4327</v>
      </c>
    </row>
    <row r="3891" spans="3:10" x14ac:dyDescent="0.25">
      <c r="C3891" s="17" t="str">
        <f t="shared" si="61"/>
        <v>28.801011.-19427.11189..CLEAR SCHEDULE.</v>
      </c>
      <c r="E3891">
        <v>28</v>
      </c>
      <c r="F3891">
        <v>801011</v>
      </c>
      <c r="G3891" s="2">
        <v>-194.27</v>
      </c>
      <c r="H3891" t="s">
        <v>4289</v>
      </c>
      <c r="J3891" s="18" t="s">
        <v>4327</v>
      </c>
    </row>
    <row r="3892" spans="3:10" x14ac:dyDescent="0.25">
      <c r="C3892" s="17" t="str">
        <f t="shared" si="61"/>
        <v>28.801011.-46784.11190..CLEAR SCHEDULE.</v>
      </c>
      <c r="E3892">
        <v>28</v>
      </c>
      <c r="F3892">
        <v>801011</v>
      </c>
      <c r="G3892" s="1">
        <v>-467.84</v>
      </c>
      <c r="H3892" t="s">
        <v>4290</v>
      </c>
      <c r="J3892" s="18" t="s">
        <v>4327</v>
      </c>
    </row>
    <row r="3893" spans="3:10" x14ac:dyDescent="0.25">
      <c r="C3893" s="17" t="str">
        <f t="shared" si="61"/>
        <v>28.801011.-8991.11191..CLEAR SCHEDULE.</v>
      </c>
      <c r="E3893">
        <v>28</v>
      </c>
      <c r="F3893">
        <v>801011</v>
      </c>
      <c r="G3893" s="2">
        <v>-89.91</v>
      </c>
      <c r="H3893" t="s">
        <v>4291</v>
      </c>
      <c r="J3893" s="18" t="s">
        <v>4327</v>
      </c>
    </row>
    <row r="3894" spans="3:10" x14ac:dyDescent="0.25">
      <c r="C3894" s="17" t="str">
        <f t="shared" si="61"/>
        <v>28.801011.-4375.11193..CLEAR SCHEDULE.</v>
      </c>
      <c r="E3894">
        <v>28</v>
      </c>
      <c r="F3894">
        <v>801011</v>
      </c>
      <c r="G3894" s="1">
        <v>-43.75</v>
      </c>
      <c r="H3894" t="s">
        <v>4292</v>
      </c>
      <c r="J3894" s="18" t="s">
        <v>4327</v>
      </c>
    </row>
    <row r="3895" spans="3:10" x14ac:dyDescent="0.25">
      <c r="C3895" s="17" t="str">
        <f t="shared" si="61"/>
        <v>28.801011.-20798.11194..CLEAR SCHEDULE.</v>
      </c>
      <c r="E3895">
        <v>28</v>
      </c>
      <c r="F3895">
        <v>801011</v>
      </c>
      <c r="G3895" s="2">
        <v>-207.98</v>
      </c>
      <c r="H3895" t="s">
        <v>4293</v>
      </c>
      <c r="J3895" s="18" t="s">
        <v>4327</v>
      </c>
    </row>
    <row r="3896" spans="3:10" x14ac:dyDescent="0.25">
      <c r="C3896" s="17" t="str">
        <f t="shared" si="61"/>
        <v>28.801011.-5613.11195..CLEAR SCHEDULE.</v>
      </c>
      <c r="E3896">
        <v>28</v>
      </c>
      <c r="F3896">
        <v>801011</v>
      </c>
      <c r="G3896" s="1">
        <v>-56.13</v>
      </c>
      <c r="H3896" t="s">
        <v>4294</v>
      </c>
      <c r="J3896" s="18" t="s">
        <v>4327</v>
      </c>
    </row>
    <row r="3897" spans="3:10" x14ac:dyDescent="0.25">
      <c r="C3897" s="17" t="str">
        <f t="shared" si="61"/>
        <v>28.801011.-15185.11197..CLEAR SCHEDULE.</v>
      </c>
      <c r="E3897">
        <v>28</v>
      </c>
      <c r="F3897">
        <v>801011</v>
      </c>
      <c r="G3897" s="2">
        <v>-151.85</v>
      </c>
      <c r="H3897" t="s">
        <v>4295</v>
      </c>
      <c r="J3897" s="18" t="s">
        <v>4327</v>
      </c>
    </row>
    <row r="3898" spans="3:10" x14ac:dyDescent="0.25">
      <c r="C3898" s="17" t="str">
        <f t="shared" si="61"/>
        <v>28.801011.-31738.11198..CLEAR SCHEDULE.</v>
      </c>
      <c r="E3898">
        <v>28</v>
      </c>
      <c r="F3898">
        <v>801011</v>
      </c>
      <c r="G3898" s="1">
        <v>-317.38</v>
      </c>
      <c r="H3898" t="s">
        <v>4296</v>
      </c>
      <c r="J3898" s="18" t="s">
        <v>4327</v>
      </c>
    </row>
    <row r="3899" spans="3:10" x14ac:dyDescent="0.25">
      <c r="C3899" s="17" t="str">
        <f t="shared" si="61"/>
        <v>28.801011.-15185.11203..CLEAR SCHEDULE.</v>
      </c>
      <c r="E3899">
        <v>28</v>
      </c>
      <c r="F3899">
        <v>801011</v>
      </c>
      <c r="G3899" s="2">
        <v>-151.85</v>
      </c>
      <c r="H3899" t="s">
        <v>4297</v>
      </c>
      <c r="J3899" s="18" t="s">
        <v>4327</v>
      </c>
    </row>
    <row r="3900" spans="3:10" x14ac:dyDescent="0.25">
      <c r="C3900" s="17" t="str">
        <f t="shared" si="61"/>
        <v>28.801011.-11329.11212..CLEAR SCHEDULE.</v>
      </c>
      <c r="E3900">
        <v>28</v>
      </c>
      <c r="F3900">
        <v>801011</v>
      </c>
      <c r="G3900" s="1">
        <v>-113.29</v>
      </c>
      <c r="H3900" t="s">
        <v>4298</v>
      </c>
      <c r="J3900" s="18" t="s">
        <v>4327</v>
      </c>
    </row>
    <row r="3901" spans="3:10" x14ac:dyDescent="0.25">
      <c r="C3901" s="17" t="str">
        <f t="shared" si="61"/>
        <v>28.801011.-11329.11214..CLEAR SCHEDULE.</v>
      </c>
      <c r="E3901">
        <v>28</v>
      </c>
      <c r="F3901">
        <v>801011</v>
      </c>
      <c r="G3901" s="2">
        <v>-113.29</v>
      </c>
      <c r="H3901" t="s">
        <v>4299</v>
      </c>
      <c r="J3901" s="18" t="s">
        <v>4327</v>
      </c>
    </row>
    <row r="3902" spans="3:10" x14ac:dyDescent="0.25">
      <c r="C3902" s="17" t="str">
        <f t="shared" si="61"/>
        <v>28.801011.-8991.11215..CLEAR SCHEDULE.</v>
      </c>
      <c r="E3902">
        <v>28</v>
      </c>
      <c r="F3902">
        <v>801011</v>
      </c>
      <c r="G3902" s="1">
        <v>-89.91</v>
      </c>
      <c r="H3902" t="s">
        <v>4300</v>
      </c>
      <c r="J3902" s="18" t="s">
        <v>4327</v>
      </c>
    </row>
    <row r="3903" spans="3:10" x14ac:dyDescent="0.25">
      <c r="C3903" s="17" t="str">
        <f t="shared" si="61"/>
        <v>28.801011.-6769.11218..CLEAR SCHEDULE.</v>
      </c>
      <c r="E3903">
        <v>28</v>
      </c>
      <c r="F3903">
        <v>801011</v>
      </c>
      <c r="G3903" s="2">
        <v>-67.69</v>
      </c>
      <c r="H3903" t="s">
        <v>4301</v>
      </c>
      <c r="J3903" s="18" t="s">
        <v>4327</v>
      </c>
    </row>
    <row r="3904" spans="3:10" x14ac:dyDescent="0.25">
      <c r="C3904" s="17" t="str">
        <f t="shared" si="61"/>
        <v>28.801011.-118782.012126TM..CLEAR SCHEDULE.</v>
      </c>
      <c r="E3904">
        <v>28</v>
      </c>
      <c r="F3904">
        <v>801011</v>
      </c>
      <c r="G3904" s="1">
        <v>-1187.82</v>
      </c>
      <c r="H3904" t="s">
        <v>4302</v>
      </c>
      <c r="J3904" s="18" t="s">
        <v>4327</v>
      </c>
    </row>
    <row r="3905" spans="3:10" x14ac:dyDescent="0.25">
      <c r="C3905" s="17" t="str">
        <f t="shared" si="61"/>
        <v>28.801011.-59627.012226TM..CLEAR SCHEDULE.</v>
      </c>
      <c r="E3905">
        <v>28</v>
      </c>
      <c r="F3905">
        <v>801011</v>
      </c>
      <c r="G3905" s="2">
        <v>-596.27</v>
      </c>
      <c r="H3905" t="s">
        <v>4303</v>
      </c>
      <c r="J3905" s="18" t="s">
        <v>4327</v>
      </c>
    </row>
    <row r="3906" spans="3:10" x14ac:dyDescent="0.25">
      <c r="C3906" s="17" t="str">
        <f t="shared" si="61"/>
        <v>28.801011.-23366.23366..CLEAR SCHEDULE.</v>
      </c>
      <c r="E3906">
        <v>28</v>
      </c>
      <c r="F3906">
        <v>801011</v>
      </c>
      <c r="G3906" s="1">
        <v>-233.66</v>
      </c>
      <c r="H3906" t="s">
        <v>4304</v>
      </c>
      <c r="J3906" s="18" t="s">
        <v>4327</v>
      </c>
    </row>
    <row r="3907" spans="3:10" x14ac:dyDescent="0.25">
      <c r="C3907" s="17" t="str">
        <f t="shared" si="61"/>
        <v>28.801011.-20463.66202..CLEAR SCHEDULE.</v>
      </c>
      <c r="E3907">
        <v>28</v>
      </c>
      <c r="F3907">
        <v>801011</v>
      </c>
      <c r="G3907" s="2">
        <v>-204.63</v>
      </c>
      <c r="H3907" t="s">
        <v>4305</v>
      </c>
      <c r="J3907" s="18" t="s">
        <v>4327</v>
      </c>
    </row>
    <row r="3908" spans="3:10" x14ac:dyDescent="0.25">
      <c r="C3908" s="17" t="str">
        <f t="shared" si="61"/>
        <v>28.801011.200164.110425CHK..CLEAR SCHEDULE.</v>
      </c>
      <c r="E3908">
        <v>28</v>
      </c>
      <c r="F3908">
        <v>801011</v>
      </c>
      <c r="G3908" s="1">
        <v>2001.64</v>
      </c>
      <c r="H3908" t="s">
        <v>4306</v>
      </c>
      <c r="J3908" s="18" t="s">
        <v>4327</v>
      </c>
    </row>
    <row r="3909" spans="3:10" x14ac:dyDescent="0.25">
      <c r="C3909" s="17" t="str">
        <f t="shared" si="61"/>
        <v>28.801011.610646.110725..CLEAR SCHEDULE.</v>
      </c>
      <c r="E3909">
        <v>28</v>
      </c>
      <c r="F3909">
        <v>801011</v>
      </c>
      <c r="G3909" s="2">
        <v>6106.46</v>
      </c>
      <c r="H3909" t="s">
        <v>4307</v>
      </c>
      <c r="J3909" s="18" t="s">
        <v>4327</v>
      </c>
    </row>
    <row r="3910" spans="3:10" x14ac:dyDescent="0.25">
      <c r="C3910" s="17" t="str">
        <f t="shared" si="61"/>
        <v>28.801011.-7036.25221730..CLEAR SCHEDULE.</v>
      </c>
      <c r="E3910">
        <v>28</v>
      </c>
      <c r="F3910">
        <v>801011</v>
      </c>
      <c r="G3910" s="1">
        <v>-70.36</v>
      </c>
      <c r="H3910" t="s">
        <v>4308</v>
      </c>
      <c r="J3910" s="18" t="s">
        <v>4327</v>
      </c>
    </row>
    <row r="3911" spans="3:10" x14ac:dyDescent="0.25">
      <c r="C3911" s="17" t="str">
        <f t="shared" si="61"/>
        <v>28.801011.-50000.2158341049..CLEAR SCHEDULE.</v>
      </c>
      <c r="E3911">
        <v>28</v>
      </c>
      <c r="F3911">
        <v>801011</v>
      </c>
      <c r="G3911" s="2">
        <v>-500</v>
      </c>
      <c r="H3911" t="s">
        <v>4309</v>
      </c>
      <c r="J3911" s="18" t="s">
        <v>4327</v>
      </c>
    </row>
    <row r="3912" spans="3:10" x14ac:dyDescent="0.25">
      <c r="C3912" s="17" t="str">
        <f t="shared" si="61"/>
        <v>28.801011.-16914.CASHDEPOSIT..CLEAR SCHEDULE.</v>
      </c>
      <c r="E3912">
        <v>28</v>
      </c>
      <c r="F3912">
        <v>801011</v>
      </c>
      <c r="G3912" s="1">
        <v>-169.14</v>
      </c>
      <c r="H3912" t="s">
        <v>4310</v>
      </c>
      <c r="J3912" s="18" t="s">
        <v>4327</v>
      </c>
    </row>
    <row r="3913" spans="3:10" x14ac:dyDescent="0.25">
      <c r="C3913" s="17" t="str">
        <f t="shared" si="61"/>
        <v>28.801011.-50000.CCDEP..CLEAR SCHEDULE.</v>
      </c>
      <c r="E3913">
        <v>28</v>
      </c>
      <c r="F3913">
        <v>801011</v>
      </c>
      <c r="G3913" s="2">
        <v>-500</v>
      </c>
      <c r="H3913" t="s">
        <v>4311</v>
      </c>
      <c r="J3913" s="18" t="s">
        <v>4327</v>
      </c>
    </row>
    <row r="3914" spans="3:10" x14ac:dyDescent="0.25">
      <c r="C3914" s="17" t="str">
        <f t="shared" si="61"/>
        <v>28.801011.-3196.CM529..CLEAR SCHEDULE.</v>
      </c>
      <c r="E3914">
        <v>28</v>
      </c>
      <c r="F3914">
        <v>801011</v>
      </c>
      <c r="G3914" s="1">
        <v>-31.96</v>
      </c>
      <c r="H3914" t="s">
        <v>4312</v>
      </c>
      <c r="J3914" s="18" t="s">
        <v>4327</v>
      </c>
    </row>
    <row r="3915" spans="3:10" x14ac:dyDescent="0.25">
      <c r="C3915" s="17" t="str">
        <f t="shared" ref="C3915:C3928" si="62">IF(G3915=0,"",(E3915&amp;"."&amp;F3915&amp;"."&amp;G3915*100&amp;"."&amp;H3915&amp;"."&amp;I3915&amp;"."&amp;J3915&amp;"."&amp;K3915))</f>
        <v>28.801011.4000.CM551..CLEAR SCHEDULE.</v>
      </c>
      <c r="E3915">
        <v>28</v>
      </c>
      <c r="F3915">
        <v>801011</v>
      </c>
      <c r="G3915" s="2">
        <v>40</v>
      </c>
      <c r="H3915" t="s">
        <v>4313</v>
      </c>
      <c r="J3915" s="18" t="s">
        <v>4327</v>
      </c>
    </row>
    <row r="3916" spans="3:10" x14ac:dyDescent="0.25">
      <c r="C3916" s="17" t="str">
        <f t="shared" si="62"/>
        <v>28.801011.-4000.CM810..CLEAR SCHEDULE.</v>
      </c>
      <c r="E3916">
        <v>28</v>
      </c>
      <c r="F3916">
        <v>801011</v>
      </c>
      <c r="G3916" s="1">
        <v>-40</v>
      </c>
      <c r="H3916" t="s">
        <v>4314</v>
      </c>
      <c r="J3916" s="18" t="s">
        <v>4327</v>
      </c>
    </row>
    <row r="3917" spans="3:10" x14ac:dyDescent="0.25">
      <c r="C3917" s="17" t="str">
        <f t="shared" si="62"/>
        <v>28.801011.-58870.CM862..CLEAR SCHEDULE.</v>
      </c>
      <c r="E3917">
        <v>28</v>
      </c>
      <c r="F3917">
        <v>801011</v>
      </c>
      <c r="G3917" s="2">
        <v>-588.70000000000005</v>
      </c>
      <c r="H3917" t="s">
        <v>4315</v>
      </c>
      <c r="J3917" s="18" t="s">
        <v>4327</v>
      </c>
    </row>
    <row r="3918" spans="3:10" x14ac:dyDescent="0.25">
      <c r="C3918" s="17" t="str">
        <f t="shared" si="62"/>
        <v>28.801011.-36252.CM937..CLEAR SCHEDULE.</v>
      </c>
      <c r="E3918">
        <v>28</v>
      </c>
      <c r="F3918">
        <v>801011</v>
      </c>
      <c r="G3918" s="1">
        <v>-362.52</v>
      </c>
      <c r="H3918" t="s">
        <v>4316</v>
      </c>
      <c r="J3918" s="18" t="s">
        <v>4327</v>
      </c>
    </row>
    <row r="3919" spans="3:10" x14ac:dyDescent="0.25">
      <c r="C3919" s="17" t="str">
        <f t="shared" si="62"/>
        <v>28.801011.-13409.CM1129..CLEAR SCHEDULE.</v>
      </c>
      <c r="E3919">
        <v>28</v>
      </c>
      <c r="F3919">
        <v>801011</v>
      </c>
      <c r="G3919" s="2">
        <v>-134.09</v>
      </c>
      <c r="H3919" t="s">
        <v>4317</v>
      </c>
      <c r="J3919" s="18" t="s">
        <v>4327</v>
      </c>
    </row>
    <row r="3920" spans="3:10" x14ac:dyDescent="0.25">
      <c r="C3920" s="17" t="str">
        <f t="shared" si="62"/>
        <v>28.801011.-209.CM1228..CLEAR SCHEDULE.</v>
      </c>
      <c r="E3920">
        <v>28</v>
      </c>
      <c r="F3920">
        <v>801011</v>
      </c>
      <c r="G3920" s="1">
        <v>-2.09</v>
      </c>
      <c r="H3920" t="s">
        <v>4318</v>
      </c>
      <c r="J3920" s="18" t="s">
        <v>4327</v>
      </c>
    </row>
    <row r="3921" spans="3:10" x14ac:dyDescent="0.25">
      <c r="C3921" s="17" t="str">
        <f t="shared" si="62"/>
        <v>28.801011.5317.DIFFINCC103025..CLEAR SCHEDULE.</v>
      </c>
      <c r="E3921">
        <v>28</v>
      </c>
      <c r="F3921">
        <v>801011</v>
      </c>
      <c r="G3921" s="2">
        <v>53.17</v>
      </c>
      <c r="H3921" t="s">
        <v>4319</v>
      </c>
      <c r="J3921" s="18" t="s">
        <v>4327</v>
      </c>
    </row>
    <row r="3922" spans="3:10" x14ac:dyDescent="0.25">
      <c r="C3922" s="17" t="str">
        <f t="shared" si="62"/>
        <v>28.801011.7308395.FEB1314152026..CLEAR SCHEDULE.</v>
      </c>
      <c r="E3922">
        <v>28</v>
      </c>
      <c r="F3922">
        <v>801011</v>
      </c>
      <c r="G3922" s="1">
        <v>73083.95</v>
      </c>
      <c r="H3922" t="s">
        <v>4320</v>
      </c>
      <c r="J3922" s="18" t="s">
        <v>4327</v>
      </c>
    </row>
    <row r="3923" spans="3:10" x14ac:dyDescent="0.25">
      <c r="C3923" s="17" t="str">
        <f t="shared" si="62"/>
        <v>28.801011.1916515.JAN3026..CLEAR SCHEDULE.</v>
      </c>
      <c r="E3923">
        <v>28</v>
      </c>
      <c r="F3923">
        <v>801011</v>
      </c>
      <c r="G3923" s="2">
        <v>19165.150000000001</v>
      </c>
      <c r="H3923" t="s">
        <v>4321</v>
      </c>
      <c r="J3923" s="18" t="s">
        <v>4327</v>
      </c>
    </row>
    <row r="3924" spans="3:10" x14ac:dyDescent="0.25">
      <c r="C3924" s="17" t="str">
        <f t="shared" si="62"/>
        <v>28.801011.2361733.JAN3126..CLEAR SCHEDULE.</v>
      </c>
      <c r="E3924">
        <v>28</v>
      </c>
      <c r="F3924">
        <v>801011</v>
      </c>
      <c r="G3924" s="1">
        <v>23617.33</v>
      </c>
      <c r="H3924" t="s">
        <v>4322</v>
      </c>
      <c r="J3924" s="18" t="s">
        <v>4327</v>
      </c>
    </row>
    <row r="3925" spans="3:10" x14ac:dyDescent="0.25">
      <c r="C3925" s="17" t="str">
        <f t="shared" si="62"/>
        <v>28.801011.-110400.MOC022626..CLEAR SCHEDULE.</v>
      </c>
      <c r="E3925">
        <v>28</v>
      </c>
      <c r="F3925">
        <v>801011</v>
      </c>
      <c r="G3925" s="2">
        <v>-1104</v>
      </c>
      <c r="H3925" t="s">
        <v>4323</v>
      </c>
      <c r="J3925" s="18" t="s">
        <v>4327</v>
      </c>
    </row>
    <row r="3926" spans="3:10" x14ac:dyDescent="0.25">
      <c r="C3926" s="17" t="str">
        <f t="shared" si="62"/>
        <v>28.801011.-50800.MOC031226..CLEAR SCHEDULE.</v>
      </c>
      <c r="E3926">
        <v>28</v>
      </c>
      <c r="F3926">
        <v>801011</v>
      </c>
      <c r="G3926" s="1">
        <v>-508</v>
      </c>
      <c r="H3926" t="s">
        <v>4324</v>
      </c>
      <c r="J3926" s="18" t="s">
        <v>4327</v>
      </c>
    </row>
    <row r="3927" spans="3:10" x14ac:dyDescent="0.25">
      <c r="C3927" s="17" t="str">
        <f t="shared" si="62"/>
        <v>28.801011.29146.SERVDEP..CLEAR SCHEDULE.</v>
      </c>
      <c r="E3927">
        <v>28</v>
      </c>
      <c r="F3927">
        <v>801011</v>
      </c>
      <c r="G3927" s="2">
        <v>291.45999999999998</v>
      </c>
      <c r="H3927" t="s">
        <v>4325</v>
      </c>
      <c r="J3927" s="18" t="s">
        <v>4327</v>
      </c>
    </row>
    <row r="3928" spans="3:10" x14ac:dyDescent="0.25">
      <c r="C3928" s="17" t="str">
        <f t="shared" si="62"/>
        <v>28.801011.-423727.V7007..CLEAR SCHEDULE.</v>
      </c>
      <c r="E3928">
        <v>28</v>
      </c>
      <c r="F3928">
        <v>801011</v>
      </c>
      <c r="G3928" s="1">
        <v>-4237.2700000000004</v>
      </c>
      <c r="H3928" t="s">
        <v>4326</v>
      </c>
      <c r="J3928" s="18" t="s">
        <v>4327</v>
      </c>
    </row>
  </sheetData>
  <mergeCells count="2">
    <mergeCell ref="A3:B5"/>
    <mergeCell ref="C3:C5"/>
  </mergeCells>
  <conditionalFormatting sqref="M5">
    <cfRule type="cellIs" dxfId="23" priority="1" operator="notEqual">
      <formula>0</formula>
    </cfRule>
    <cfRule type="cellIs" dxfId="22" priority="2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Neary, Nicole</cp:lastModifiedBy>
  <dcterms:created xsi:type="dcterms:W3CDTF">2025-07-30T15:20:09Z</dcterms:created>
  <dcterms:modified xsi:type="dcterms:W3CDTF">2026-04-07T18:45:10Z</dcterms:modified>
</cp:coreProperties>
</file>