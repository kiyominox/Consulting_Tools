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rtermyersautogroup-my.sharepoint.com/personal/gedgar_winchester_cmacars_com/Documents/SUBARU DAILY DEPOSIT 2026/"/>
    </mc:Choice>
  </mc:AlternateContent>
  <xr:revisionPtr revIDLastSave="647" documentId="8_{DA808C9A-DB4D-4F84-9F42-8887175FFDE6}" xr6:coauthVersionLast="47" xr6:coauthVersionMax="47" xr10:uidLastSave="{585235A0-FD50-4EA3-A0AD-452DF982A6EA}"/>
  <bookViews>
    <workbookView xWindow="2868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<sst xmlns="http://schemas.openxmlformats.org/spreadsheetml/2006/main" count="232" uniqueCount="170">
  <si>
    <t>MoreInfo</t>
  </si>
  <si>
    <t>Amount $:</t>
  </si>
  <si>
    <t>Control</t>
  </si>
  <si>
    <t>Detail</t>
  </si>
  <si>
    <t>Days</t>
  </si>
  <si>
    <t>At-a-Glance</t>
  </si>
  <si>
    <t>Amount $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</si>
  <si>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</si>
  <si>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</si>
  <si>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</si>
  <si>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</si>
  <si>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</si>
  <si>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</si>
  <si>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</si>
  <si>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</si>
  <si>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</si>
  <si>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</si>
  <si>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</si>
  <si>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</si>
  <si>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</si>
  <si>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</si>
  <si>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</si>
  <si>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</si>
  <si>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</si>
  <si>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</si>
  <si>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</si>
  <si>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</si>
  <si>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</si>
  <si>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</si>
  <si>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</si>
  <si>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</si>
  <si>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</si>
  <si>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</si>
  <si>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</si>
  <si>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</si>
  <si>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</si>
  <si>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</si>
  <si>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</si>
  <si>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</si>
  <si>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</si>
  <si>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</si>
  <si>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</si>
  <si>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</si>
  <si>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</si>
  <si>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</si>
  <si>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</si>
  <si>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</si>
  <si>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</si>
  <si>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</si>
  <si>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</si>
  <si>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</si>
  <si>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</si>
  <si>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</si>
  <si>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</si>
  <si>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</si>
  <si>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</si>
  <si>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</si>
  <si>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</si>
  <si>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</si>
  <si>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</si>
  <si>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</si>
  <si>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</si>
  <si>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</si>
  <si>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</si>
  <si>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</si>
  <si>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</si>
  <si>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</si>
  <si>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</si>
  <si>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</si>
  <si>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</si>
  <si>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</si>
  <si>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4.  Open the exported file, copy columns A through F, and paste into cell A1 of the Schedule&amp;Rec sheet.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</si>
  <si>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</si>
  <si>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</si>
  <si>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</si>
  <si>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</si>
  <si>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</si>
  <si>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</si>
  <si>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</si>
  <si>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</si>
  <si>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</si>
  <si>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</si>
  <si>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</si>
  <si>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</si>
  <si>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</si>
  <si>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</si>
  <si>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</si>
  <si>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</si>
  <si>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</si>
  <si>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</si>
  <si>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</si>
  <si>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</si>
  <si>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</si>
  <si>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</si>
  <si>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</si>
  <si>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</si>
  <si>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</si>
  <si>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</si>
  <si>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</si>
  <si>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</si>
  <si>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</si>
  <si>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</si>
  <si>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</si>
  <si>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</si>
  <si>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</si>
  <si>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</si>
  <si>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</si>
  <si>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</si>
  <si>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</si>
  <si>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</si>
  <si>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</si>
  <si>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3.  In Excel, select cells starting from C10 down on the PowerPost sheet. OR</t>
  </si>
  <si>
    <t>▶  Click the black  "POST"  button on the PowerPost sheet.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</si>
  <si>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</si>
  <si>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</si>
  <si>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</si>
  <si>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</si>
  <si>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</si>
  <si>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</si>
  <si>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Company: 18   SUBARU OF WINCHESTER</t>
  </si>
  <si>
    <t>Accounting Schedule Report 100 - CASH CLEARING  - SUMMARY</t>
  </si>
  <si>
    <t>Account: 501010 DEPOSIT CLEARING</t>
  </si>
  <si>
    <t>BAL-FWD</t>
  </si>
  <si>
    <t>212</t>
  </si>
  <si>
    <t>16369</t>
  </si>
  <si>
    <t>16370</t>
  </si>
  <si>
    <t>16371</t>
  </si>
  <si>
    <t>16372</t>
  </si>
  <si>
    <t>22994</t>
  </si>
  <si>
    <t>22998</t>
  </si>
  <si>
    <t>23002</t>
  </si>
  <si>
    <t>23003</t>
  </si>
  <si>
    <t>23004</t>
  </si>
  <si>
    <t>23005</t>
  </si>
  <si>
    <t>23006</t>
  </si>
  <si>
    <t>100723</t>
  </si>
  <si>
    <t>101097</t>
  </si>
  <si>
    <t>101174</t>
  </si>
  <si>
    <t>101295</t>
  </si>
  <si>
    <t>101353</t>
  </si>
  <si>
    <t>101377</t>
  </si>
  <si>
    <t>101412</t>
  </si>
  <si>
    <t>101417</t>
  </si>
  <si>
    <t>101420</t>
  </si>
  <si>
    <t>101423</t>
  </si>
  <si>
    <t>101430</t>
  </si>
  <si>
    <t>101477</t>
  </si>
  <si>
    <t>101479</t>
  </si>
  <si>
    <t>101487</t>
  </si>
  <si>
    <t>101494</t>
  </si>
  <si>
    <t>101495</t>
  </si>
  <si>
    <t>101496</t>
  </si>
  <si>
    <t>101497</t>
  </si>
  <si>
    <t>101498</t>
  </si>
  <si>
    <t>101501</t>
  </si>
  <si>
    <t>101506</t>
  </si>
  <si>
    <t>101507</t>
  </si>
  <si>
    <t>101508</t>
  </si>
  <si>
    <t>101509</t>
  </si>
  <si>
    <t>101511</t>
  </si>
  <si>
    <t>101513</t>
  </si>
  <si>
    <t>101514</t>
  </si>
  <si>
    <t>101515</t>
  </si>
  <si>
    <t>101517</t>
  </si>
  <si>
    <t>101519</t>
  </si>
  <si>
    <t>101522</t>
  </si>
  <si>
    <t>101524</t>
  </si>
  <si>
    <t>CA0527</t>
  </si>
  <si>
    <t>CR0527</t>
  </si>
  <si>
    <t>CK0527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</si>
</sst>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  <font>
      <b/>
      <sz val="11"/>
      <name val="Calibri"/>
    </font>
  </fonts>
  <fills count="16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1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6" xfId="0" applyFont="1" applyFill="1" applyBorder="1"/>
    <xf numFmtId="2" fontId="12" fillId="6" borderId="6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3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top"/>
    </xf>
    <xf numFmtId="0" fontId="0" fillId="8" borderId="11" xfId="0" applyFill="1" applyBorder="1"/>
    <xf numFmtId="0" fontId="0" fillId="8" borderId="0" xfId="0" applyFill="1"/>
    <xf numFmtId="0" fontId="0" fillId="4" borderId="12" xfId="0" applyFill="1" applyBorder="1"/>
    <xf numFmtId="0" fontId="0" fillId="8" borderId="8" xfId="0" applyFill="1" applyBorder="1"/>
    <xf numFmtId="0" fontId="0" fillId="8" borderId="2" xfId="0" applyFill="1" applyBorder="1"/>
    <xf numFmtId="0" fontId="6" fillId="0" borderId="7" xfId="0" applyFont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1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6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6" xfId="0" applyNumberFormat="1" applyFont="1" applyBorder="1"/>
    <xf numFmtId="167" fontId="6" fillId="0" borderId="17" xfId="0" applyNumberFormat="1" applyFont="1" applyBorder="1"/>
    <xf numFmtId="0" fontId="14" fillId="0" borderId="2" xfId="0" applyFont="1" applyBorder="1"/>
    <xf numFmtId="0" fontId="15" fillId="0" borderId="0" xfId="0" applyFont="1"/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67" fontId="0" fillId="0" borderId="9" xfId="0" applyNumberFormat="1" applyBorder="1" applyProtection="1">
      <protection locked="0"/>
    </xf>
    <xf numFmtId="167" fontId="0" fillId="0" borderId="10" xfId="0" applyNumberFormat="1" applyBorder="1" applyProtection="1">
      <protection locked="0"/>
    </xf>
    <xf numFmtId="166" fontId="0" fillId="9" borderId="15" xfId="0" applyNumberFormat="1" applyFill="1" applyBorder="1" applyAlignment="1" applyProtection="1">
      <alignment horizontal="center"/>
      <protection locked="0"/>
    </xf>
    <xf numFmtId="167" fontId="0" fillId="0" borderId="11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0" fillId="0" borderId="18" xfId="0" applyBorder="1" applyProtection="1">
      <protection locked="0"/>
    </xf>
    <xf numFmtId="0" fontId="1" fillId="3" borderId="18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8" xfId="0" applyNumberFormat="1" applyFont="1" applyFill="1" applyBorder="1" applyAlignment="1">
      <alignment horizontal="right" vertical="top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8" fillId="11" borderId="0" xfId="0" applyFont="1" applyFill="1" applyAlignment="1">
      <alignment vertical="top" wrapText="1"/>
    </xf>
    <xf numFmtId="0" fontId="19" fillId="10" borderId="0" xfId="0" applyFont="1" applyFill="1" applyAlignment="1">
      <alignment vertical="top" wrapText="1"/>
    </xf>
    <xf numFmtId="0" fontId="20" fillId="12" borderId="0" xfId="0" applyFont="1" applyFill="1" applyAlignment="1">
      <alignment vertical="center"/>
    </xf>
    <xf numFmtId="0" fontId="21" fillId="0" borderId="0" xfId="0" applyFont="1" applyAlignment="1">
      <alignment vertical="top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13" borderId="0" xfId="0" applyFont="1" applyFill="1" applyAlignment="1">
      <alignment vertical="center" indent="2"/>
    </xf>
    <xf numFmtId="0" fontId="24" fillId="14" borderId="0" xfId="0" applyFont="1" applyFill="1" applyAlignment="1">
      <alignment vertical="center" indent="2"/>
    </xf>
    <xf numFmtId="0" fontId="24" fillId="15" borderId="0" xfId="0" applyFont="1" applyFill="1" applyAlignment="1">
      <alignment vertical="center" indent="2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26" fillId="0" borderId="0" xfId="0" applyNumberFormat="1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5" borderId="0" xfId="0" applyFont="1" applyFill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1"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657225</xdr:colOff>
      <xdr:row>3</xdr:row>
      <xdr:rowOff>9525</xdr:rowOff>
    </xdr:from>
    <xdr:to>
      <xdr:col>9</xdr:col>
      <xdr:colOff>1638300</xdr:colOff>
      <xdr:row>5</xdr:row>
      <xdr:rowOff>9525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9342B5-60F5-4147-9639-46B1A5548C59}"/>
            </a:ext>
          </a:extLst>
        </xdr:cNvPr>
        <xdr:cNvSpPr/>
      </xdr:nvSpPr>
      <xdr:spPr>
        <a:xfrm>
          <a:off x="8143875" y="590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8" tableBorderDxfId="27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6"/>
    <tableColumn id="2" xr3:uid="{86260D87-DBD3-4756-B711-B40BED2225AF}" name="Amount" dataDxfId="25"/>
    <tableColumn id="3" xr3:uid="{1FF4F82B-5C60-49A3-9E76-E489101BFBC5}" name="For JE" dataDxfId="24">
      <calculatedColumnFormula>IF(N14&lt;&gt;"","501010","")</calculatedColumnFormula>
    </tableColumn>
    <tableColumn id="4" xr3:uid="{5A422D18-8DBB-40D8-86CC-ED777B442BE5}" name="For JE2" dataDxfId="23">
      <calculatedColumnFormula>-NotOnSch[[#This Row],[Amount]]</calculatedColumnFormula>
    </tableColumn>
    <tableColumn id="5" xr3:uid="{F10A9678-0FA4-4E8F-BCB1-688B03695446}" name="For JE3" dataDxfId="22">
      <calculatedColumnFormula>IF(N14&lt;&gt;"",N14,"")</calculatedColumnFormula>
    </tableColumn>
    <tableColumn id="6" xr3:uid="{6E7FCCE5-928A-459A-A865-719624A02951}" name="Notes" dataDxfId="21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20" dataDxfId="19" tableBorderDxfId="18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7"/>
    <tableColumn id="2" xr3:uid="{365CD64A-9492-4767-B8B7-EC58237DF6F3}" name="Amount" dataDxfId="16"/>
    <tableColumn id="3" xr3:uid="{25F2B0F4-67E4-4D7F-84BF-D07BB719633A}" name="For JE" dataDxfId="15">
      <calculatedColumnFormula>IF(DepositTotals[[#This Row],[Amount]]="", "", CHOOSE(MATCH(DepositTotals[[#This Row],[Type]], {"CASH","CREDIT","CHECK","SERVICE POLICY","PARTS POLICY"}, 0), "501001", "501001", "501001", "507750", "507650"))</calculatedColumnFormula>
    </tableColumn>
    <tableColumn id="4" xr3:uid="{27211CB2-A5F1-421A-AEAA-0B2CBB5FC40F}" name="For JE2" dataDxfId="14">
      <calculatedColumnFormula>O4</calculatedColumnFormula>
    </tableColumn>
    <tableColumn id="5" xr3:uid="{E55D70E1-6D9E-4F3C-BA02-5C78236FDCAC}" name="For JE3" dataDxfId="13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2"/>
    <tableColumn id="7" xr3:uid="{A4E3BE34-C0B0-47D2-9684-7E57BCD99026}" name="For JE5" dataDxfId="11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10" tableBorderDxfId="9">
  <autoFilter ref="N38:T60" xr:uid="{FC20FF63-4973-4E13-B6BA-A5B62FCC0A8E}"/>
  <tableColumns count="7">
    <tableColumn id="1" xr3:uid="{5524D697-0A19-4CC7-9088-CA71120220B3}" name="RO/Invoice#" dataDxfId="8"/>
    <tableColumn id="2" xr3:uid="{ACD1DDE7-6A7E-4C4F-812B-AAE289C5B76A}" name="Amount" dataDxfId="7"/>
    <tableColumn id="3" xr3:uid="{08FA6404-2683-4752-A802-73214D9C73E8}" name="For JE" dataDxfId="6">
      <calculatedColumnFormula>IF(N39&lt;&gt;"","501010","")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activeCell="A11" sqref="A11"/>
    </sheetView>
  </sheetViews>
  <sheetFormatPr defaultRowHeight="15" x14ac:dyDescent="0.25"/>
  <cols>
    <col min="1" max="1" width="131.42578125" customWidth="1"/>
  </cols>
  <sheetData>
    <row r="1" spans="1:1" ht="21" x14ac:dyDescent="0.25">
      <c r="A1" s="57" t="s">
        <v>46</v>
      </c>
    </row>
    <row r="2" spans="1:1" x14ac:dyDescent="0.25">
      <c r="A2" s="58" t="s">
        <v>47</v>
      </c>
    </row>
    <row r="3" spans="1:1" s="42" customFormat="1" ht="15" customHeight="1" x14ac:dyDescent="0.25">
      <c r="A3"/>
    </row>
    <row r="4" spans="1:1" ht="15" customHeight="1" x14ac:dyDescent="0.25">
      <c r="A4" s="59" t="s">
        <v>48</v>
      </c>
    </row>
    <row r="5" spans="1:1" ht="12.75" customHeight="1" x14ac:dyDescent="0.25">
      <c r="A5" s="59" t="s">
        <v>49</v>
      </c>
    </row>
    <row r="7" spans="1:1" x14ac:dyDescent="0.25">
      <c r="A7" s="60" t="s">
        <v>50</v>
      </c>
    </row>
    <row r="9" spans="1:1" ht="17.25" x14ac:dyDescent="0.25">
      <c r="A9" s="61" t="s">
        <v>51</v>
      </c>
    </row>
    <row r="10" spans="1:1" x14ac:dyDescent="0.25">
      <c r="A10" s="62" t="s">
        <v>52</v>
      </c>
    </row>
    <row r="11" spans="1:1" x14ac:dyDescent="0.25">
      <c r="A11" s="62" t="s">
        <v>53</v>
      </c>
    </row>
    <row r="12" spans="1:1" x14ac:dyDescent="0.25">
      <c r="A12" s="63" t="s">
        <v>54</v>
      </c>
    </row>
    <row r="13" spans="1:1" x14ac:dyDescent="0.25">
      <c r="A13" s="62" t="s">
        <v>55</v>
      </c>
    </row>
    <row r="15" spans="1:1" ht="17.25" x14ac:dyDescent="0.25">
      <c r="A15" s="61" t="s">
        <v>56</v>
      </c>
    </row>
    <row r="16" spans="1:1" x14ac:dyDescent="0.25">
      <c r="A16" s="62" t="s">
        <v>57</v>
      </c>
    </row>
    <row r="17" spans="1:1" x14ac:dyDescent="0.25">
      <c r="A17" s="62" t="s">
        <v>58</v>
      </c>
    </row>
    <row r="18" spans="1:1" x14ac:dyDescent="0.25">
      <c r="A18" s="62" t="s">
        <v>59</v>
      </c>
    </row>
    <row r="19" spans="1:1" x14ac:dyDescent="0.25">
      <c r="A19" s="62" t="s">
        <v>60</v>
      </c>
    </row>
    <row r="20" spans="1:1" x14ac:dyDescent="0.25">
      <c r="A20" s="62" t="s">
        <v>61</v>
      </c>
    </row>
    <row r="22" spans="1:1" ht="17.25" x14ac:dyDescent="0.25">
      <c r="A22" s="61" t="s">
        <v>62</v>
      </c>
    </row>
    <row r="23" spans="1:1" x14ac:dyDescent="0.25">
      <c r="A23" s="64" t="s">
        <v>63</v>
      </c>
    </row>
    <row r="25" spans="1:1" x14ac:dyDescent="0.25">
      <c r="A25" s="65" t="s">
        <v>64</v>
      </c>
    </row>
    <row r="27" spans="1:1" x14ac:dyDescent="0.25">
      <c r="A27" s="64" t="s">
        <v>65</v>
      </c>
    </row>
    <row r="28" spans="1:1" x14ac:dyDescent="0.25">
      <c r="A28" s="62" t="s">
        <v>66</v>
      </c>
    </row>
    <row r="29" spans="1:1" x14ac:dyDescent="0.25">
      <c r="A29" s="62" t="s">
        <v>67</v>
      </c>
    </row>
    <row r="30" spans="1:1" x14ac:dyDescent="0.25">
      <c r="A30" s="62" t="s">
        <v>68</v>
      </c>
    </row>
    <row r="31" spans="1:1" x14ac:dyDescent="0.25">
      <c r="A31" s="62" t="s">
        <v>69</v>
      </c>
    </row>
    <row r="32" spans="1:1" x14ac:dyDescent="0.25">
      <c r="A32" s="62" t="s">
        <v>70</v>
      </c>
    </row>
    <row r="33" spans="1:1" x14ac:dyDescent="0.25">
      <c r="A33" s="62" t="s">
        <v>71</v>
      </c>
    </row>
    <row r="35" spans="1:1" ht="17.25" x14ac:dyDescent="0.25">
      <c r="A35" s="61" t="s">
        <v>72</v>
      </c>
    </row>
    <row r="36" spans="1:1" x14ac:dyDescent="0.25">
      <c r="A36" s="62" t="s">
        <v>73</v>
      </c>
    </row>
    <row r="37" spans="1:1" x14ac:dyDescent="0.25">
      <c r="A37" s="62" t="s">
        <v>74</v>
      </c>
    </row>
    <row r="38" spans="1:1" x14ac:dyDescent="0.25">
      <c r="A38" s="62" t="s">
        <v>75</v>
      </c>
    </row>
    <row r="39" spans="1:1" x14ac:dyDescent="0.25">
      <c r="A39" s="63" t="s">
        <v>76</v>
      </c>
    </row>
    <row r="40" spans="1:1" x14ac:dyDescent="0.25">
      <c r="A40" s="62" t="s">
        <v>77</v>
      </c>
    </row>
    <row r="42" spans="1:1" ht="17.25" x14ac:dyDescent="0.25">
      <c r="A42" s="61" t="s">
        <v>78</v>
      </c>
    </row>
    <row r="43" spans="1:1" x14ac:dyDescent="0.25">
      <c r="A43" s="64" t="s">
        <v>79</v>
      </c>
    </row>
    <row r="45" spans="1:1" x14ac:dyDescent="0.25">
      <c r="A45" s="66" t="s">
        <v>80</v>
      </c>
    </row>
    <row r="47" spans="1:1" ht="30" x14ac:dyDescent="0.25">
      <c r="A47" s="62" t="s">
        <v>81</v>
      </c>
    </row>
    <row r="49" spans="1:1" ht="17.25" x14ac:dyDescent="0.25">
      <c r="A49" s="61" t="s">
        <v>82</v>
      </c>
    </row>
    <row r="50" spans="1:1" x14ac:dyDescent="0.25">
      <c r="A50" s="64" t="s">
        <v>83</v>
      </c>
    </row>
    <row r="52" spans="1:1" x14ac:dyDescent="0.25">
      <c r="A52" s="62" t="s">
        <v>84</v>
      </c>
    </row>
    <row r="53" spans="1:1" x14ac:dyDescent="0.25">
      <c r="A53" s="62" t="s">
        <v>85</v>
      </c>
    </row>
    <row r="54" spans="1:1" x14ac:dyDescent="0.25">
      <c r="A54" s="62" t="s">
        <v>86</v>
      </c>
    </row>
    <row r="56" spans="1:1" ht="30" x14ac:dyDescent="0.25">
      <c r="A56" s="64" t="s">
        <v>87</v>
      </c>
    </row>
    <row r="57" spans="1:1" x14ac:dyDescent="0.25">
      <c r="A57" s="62" t="s">
        <v>88</v>
      </c>
    </row>
    <row r="58" spans="1:1" x14ac:dyDescent="0.25">
      <c r="A58" s="62" t="s">
        <v>89</v>
      </c>
    </row>
    <row r="60" spans="1:1" ht="17.25" x14ac:dyDescent="0.25">
      <c r="A60" s="61" t="s">
        <v>90</v>
      </c>
    </row>
    <row r="61" spans="1:1" x14ac:dyDescent="0.25">
      <c r="A61" s="62" t="s">
        <v>91</v>
      </c>
    </row>
    <row r="63" spans="1:1" x14ac:dyDescent="0.25">
      <c r="A63" s="62" t="s">
        <v>92</v>
      </c>
    </row>
    <row r="64" spans="1:1" x14ac:dyDescent="0.25">
      <c r="A64" s="62" t="s">
        <v>93</v>
      </c>
    </row>
    <row r="65" spans="1:1" x14ac:dyDescent="0.25">
      <c r="A65" s="62" t="s">
        <v>94</v>
      </c>
    </row>
    <row r="66" spans="1:1" x14ac:dyDescent="0.25">
      <c r="A66" s="62" t="s">
        <v>95</v>
      </c>
    </row>
    <row r="67" spans="1:1" x14ac:dyDescent="0.25">
      <c r="A67" s="62" t="s">
        <v>96</v>
      </c>
    </row>
    <row r="68" spans="1:1" x14ac:dyDescent="0.25">
      <c r="A68" s="62" t="s">
        <v>97</v>
      </c>
    </row>
    <row r="69" spans="1:1" x14ac:dyDescent="0.25">
      <c r="A69" s="62" t="s">
        <v>98</v>
      </c>
    </row>
    <row r="71" spans="1:1" ht="17.25" x14ac:dyDescent="0.25">
      <c r="A71" s="61" t="s">
        <v>99</v>
      </c>
    </row>
    <row r="72" spans="1:1" x14ac:dyDescent="0.25">
      <c r="A72" s="62" t="s">
        <v>100</v>
      </c>
    </row>
    <row r="73" spans="1:1" x14ac:dyDescent="0.25">
      <c r="A73" s="64" t="s">
        <v>101</v>
      </c>
    </row>
    <row r="74" spans="1:1" x14ac:dyDescent="0.25">
      <c r="A74" s="62" t="s">
        <v>102</v>
      </c>
    </row>
    <row r="76" spans="1:1" ht="17.25" x14ac:dyDescent="0.25">
      <c r="A76" s="61" t="s">
        <v>103</v>
      </c>
    </row>
    <row r="78" spans="1:1" x14ac:dyDescent="0.25">
      <c r="A78" s="67" t="s">
        <v>104</v>
      </c>
    </row>
    <row r="80" spans="1:1" x14ac:dyDescent="0.25">
      <c r="A80" s="62" t="s">
        <v>105</v>
      </c>
    </row>
    <row r="81" spans="1:1" x14ac:dyDescent="0.25">
      <c r="A81" s="62" t="s">
        <v>106</v>
      </c>
    </row>
    <row r="82" spans="1:1" x14ac:dyDescent="0.25">
      <c r="A82" s="62" t="s">
        <v>107</v>
      </c>
    </row>
    <row r="84" spans="1:1" ht="17.25" x14ac:dyDescent="0.25">
      <c r="A84" s="61" t="s">
        <v>108</v>
      </c>
    </row>
    <row r="85" spans="1:1" x14ac:dyDescent="0.25">
      <c r="A85" s="62" t="s">
        <v>109</v>
      </c>
    </row>
    <row r="86" spans="1:1" x14ac:dyDescent="0.25">
      <c r="A86" s="62" t="s">
        <v>110</v>
      </c>
    </row>
    <row r="87" spans="1:1" x14ac:dyDescent="0.25">
      <c r="A87" s="62" t="s">
        <v>111</v>
      </c>
    </row>
    <row r="88" spans="1:1" x14ac:dyDescent="0.25">
      <c r="A88" s="62"/>
    </row>
    <row r="89" spans="1:1" x14ac:dyDescent="0.25">
      <c r="A89" s="65" t="s">
        <v>112</v>
      </c>
    </row>
    <row r="90" spans="1:1" x14ac:dyDescent="0.25">
      <c r="A90" s="62"/>
    </row>
    <row r="91" spans="1:1" x14ac:dyDescent="0.25">
      <c r="A91" s="62" t="s">
        <v>113</v>
      </c>
    </row>
    <row r="92" spans="1:1" x14ac:dyDescent="0.25">
      <c r="A92" s="68" t="s">
        <v>114</v>
      </c>
    </row>
    <row r="93" spans="1:1" x14ac:dyDescent="0.25">
      <c r="A93" s="62" t="s">
        <v>115</v>
      </c>
    </row>
    <row r="95" spans="1:1" ht="17.25" x14ac:dyDescent="0.25">
      <c r="A95" s="61" t="s">
        <v>116</v>
      </c>
    </row>
    <row r="96" spans="1:1" x14ac:dyDescent="0.25">
      <c r="A96" s="62" t="s">
        <v>117</v>
      </c>
    </row>
    <row r="99" spans="1:1" x14ac:dyDescent="0.25">
      <c r="A99" s="69" t="s"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O6" sqref="O6"/>
    </sheetView>
  </sheetViews>
  <sheetFormatPr defaultColWidth="9.140625" defaultRowHeight="15" x14ac:dyDescent="0.25"/>
  <cols>
    <col min="1" max="2" width="17.42578125" customWidth="1"/>
    <col min="3" max="4" width="15.7109375" customWidth="1"/>
    <col min="5" max="6" width="13" customWidth="1"/>
    <col min="7" max="7" width="13" style="53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70" t="s">
        <v>119</v>
      </c>
    </row>
    <row r="2" spans="1:20" x14ac:dyDescent="0.25">
      <c r="L2" s="28" t="s">
        <v>23</v>
      </c>
      <c r="N2" s="83" t="s">
        <v>28</v>
      </c>
      <c r="O2" s="84"/>
      <c r="P2" s="84"/>
      <c r="Q2" s="84"/>
      <c r="R2" s="84"/>
      <c r="S2" s="84"/>
      <c r="T2" s="85"/>
    </row>
    <row r="3" spans="1:20" x14ac:dyDescent="0.25">
      <c r="B3" s="70" t="s">
        <v>120</v>
      </c>
      <c r="K3" s="37" t="s">
        <v>40</v>
      </c>
      <c r="L3" s="50"/>
      <c r="N3" s="31" t="s">
        <v>29</v>
      </c>
      <c r="O3" s="31" t="s">
        <v>11</v>
      </c>
      <c r="P3" s="32" t="s">
        <v>9</v>
      </c>
      <c r="Q3" s="32" t="s">
        <v>32</v>
      </c>
      <c r="R3" s="32" t="s">
        <v>33</v>
      </c>
      <c r="S3" s="32" t="s">
        <v>34</v>
      </c>
      <c r="T3" s="32" t="s">
        <v>35</v>
      </c>
    </row>
    <row r="4" spans="1:20" x14ac:dyDescent="0.25">
      <c r="N4" s="47" t="s">
        <v>27</v>
      </c>
      <c r="O4" s="48"/>
      <c r="P4" s="26" t="str">
        <f>IF(DepositTotals[[#This Row],[Amount]]="", "", CHOOSE(MATCH(DepositTotals[[#This Row],[Type]], {"CASH","CREDIT","CHECK","SERVICE POLICY","PARTS POLICY"}, 0), "501001", "501001", "501001", "507750", "507650"))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0" x14ac:dyDescent="0.25">
      <c r="B5" s="70" t="s">
        <v>121</v>
      </c>
      <c r="N5" s="43" t="s">
        <v>30</v>
      </c>
      <c r="O5" s="49"/>
      <c r="P5" s="27" t="str">
        <f>IF(DepositTotals[[#This Row],[Amount]]="", "", CHOOSE(MATCH(DepositTotals[[#This Row],[Type]], {"CASH","CREDIT","CHECK","SERVICE POLICY","PARTS POLICY"}, 0), "501001", "501001", "501001", "507750", "507650"))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38</v>
      </c>
      <c r="L6" s="38">
        <f>SUM(DepositTotals[Amount])</f>
        <v>0</v>
      </c>
      <c r="N6" s="43" t="s">
        <v>31</v>
      </c>
      <c r="O6" s="49"/>
      <c r="P6" s="27" t="str">
        <f>IF(DepositTotals[[#This Row],[Amount]]="", "", CHOOSE(MATCH(DepositTotals[[#This Row],[Type]], {"CASH","CREDIT","CHECK","SERVICE POLICY","PARTS POLICY"}, 0), "501001", "501001", "501001", "507750", "507650"))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71" t="s">
        <v>7</v>
      </c>
      <c r="K7" s="35" t="s">
        <v>37</v>
      </c>
      <c r="L7" s="39">
        <f>-SUM(J14:J493,Q39:Q60,Q14:Q35)</f>
        <v>0</v>
      </c>
      <c r="N7" s="43" t="s">
        <v>44</v>
      </c>
      <c r="O7" s="49"/>
      <c r="P7" s="27" t="str">
        <f>IF(DepositTotals[[#This Row],[Amount]]="", "", CHOOSE(MATCH(DepositTotals[[#This Row],[Type]], {"CASH","CREDIT","CHECK","SERVICE POLICY","PARTS POLICY"}, 0), "501001", "501001", "501001", "507750", "507650"))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36</v>
      </c>
      <c r="L8" s="40">
        <f>L6-L7</f>
        <v>0</v>
      </c>
      <c r="N8" s="43" t="s">
        <v>45</v>
      </c>
      <c r="O8" s="49"/>
      <c r="P8" s="27" t="str">
        <f>IF(DepositTotals[[#This Row],[Amount]]="", "", CHOOSE(MATCH(DepositTotals[[#This Row],[Type]], {"CASH","CREDIT","CHECK","SERVICE POLICY","PARTS POLICY"}, 0), "501001", "501001", "501001", "507750", "507650"))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72" t="s">
        <v>5</v>
      </c>
      <c r="N9" s="43"/>
      <c r="O9" s="49"/>
      <c r="P9" s="27" t="str">
        <f>IF(DepositTotals[[#This Row],[Amount]]="", "", CHOOSE(MATCH(DepositTotals[[#This Row],[Type]], {"CASH","CREDIT","CHECK","SERVICE POLICY","PARTS POLICY"}, 0), "501001", "501001", "501001", "507750", "507650"))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73" t="s">
        <v>1</v>
      </c>
      <c r="H10" s="41" t="s">
        <v>42</v>
      </c>
      <c r="N10" s="43"/>
      <c r="O10" s="49"/>
      <c r="P10" s="27" t="str">
        <f>IF(DepositTotals[[#This Row],[Amount]]="", "", CHOOSE(MATCH(DepositTotals[[#This Row],[Type]], {"CASH","CREDIT","CHECK","SERVICE POLICY","PARTS POLICY"}, 0), "501001", "501001", "501001", "507750", "507650"))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1">
        <v>52170.82</v>
      </c>
    </row>
    <row r="12" spans="1:20" x14ac:dyDescent="0.25">
      <c r="H12" s="55" t="s">
        <v>41</v>
      </c>
      <c r="N12" s="83" t="s">
        <v>26</v>
      </c>
      <c r="O12" s="84"/>
      <c r="P12" s="84"/>
      <c r="Q12" s="84"/>
      <c r="R12" s="84"/>
      <c r="S12" s="85"/>
    </row>
    <row r="13" spans="1:20" ht="15.75" customHeight="1" x14ac:dyDescent="0.25">
      <c r="C13" s="73" t="s">
        <v>2</v>
      </c>
      <c r="D13" s="73" t="s">
        <v>0</v>
      </c>
      <c r="E13" s="73" t="s">
        <v>4</v>
      </c>
      <c r="F13" s="73" t="s">
        <v>6</v>
      </c>
      <c r="G13" s="54" t="s">
        <v>43</v>
      </c>
      <c r="H13" s="25" t="s">
        <v>8</v>
      </c>
      <c r="I13" s="21" t="s">
        <v>9</v>
      </c>
      <c r="J13" s="21" t="s">
        <v>9</v>
      </c>
      <c r="K13" s="21" t="s">
        <v>9</v>
      </c>
      <c r="L13" s="22" t="s">
        <v>25</v>
      </c>
      <c r="N13" s="31" t="s">
        <v>10</v>
      </c>
      <c r="O13" s="31" t="s">
        <v>11</v>
      </c>
      <c r="P13" s="32" t="s">
        <v>9</v>
      </c>
      <c r="Q13" s="32" t="s">
        <v>32</v>
      </c>
      <c r="R13" s="32" t="s">
        <v>33</v>
      </c>
      <c r="S13" s="31" t="s">
        <v>25</v>
      </c>
    </row>
    <row r="14" spans="1:20" x14ac:dyDescent="0.25">
      <c r="C14" s="74" t="s">
        <v>123</v>
      </c>
      <c r="D14" s="74" t="s">
        <v>3</v>
      </c>
      <c r="E14" s="75">
        <v>1</v>
      </c>
      <c r="F14" s="1">
        <v>302.39999999999998</v>
      </c>
      <c r="G14" s="56">
        <f>IFERROR(SUMPRODUCT((TEXT(CC!$C$3:$C$1000,"0")=TEXT(C14,"0"))*IFERROR(CC!$E$3:$E$1000+0,0)),0)</f>
      </c>
      <c r="H14" s="44"/>
      <c r="I14" s="24" t="str">
        <f>IF(J14&lt;&gt;0,"501010","")</f>
        <v/>
      </c>
      <c r="J14" s="34" cm="1">
        <f t="array" ref="J14">IFERROR(-_xlfn.IFS(OR(H14="y",H14="Y"),F14,AND(H14&lt;&gt;0,ISNUMBER(H14)),H14,G14&lt;&gt;0,G14),0)</f>
        <v>0</v>
      </c>
      <c r="K14" s="29" t="str">
        <f t="shared" ref="K14:K45" si="2">IF(J14&lt;&gt;0,C14,"")</f>
        <v/>
      </c>
      <c r="L14" s="44" t="str">
        <f>IF(C14&lt;&gt;"",_xlfn.XLOOKUP(TEXT(C14,"0"),TEXT(CC!$C$3:$C$1000,"0"),CC!$G$3:$G$1000,""),"")</f>
        <v/>
      </c>
      <c r="N14" s="47"/>
      <c r="O14" s="48"/>
      <c r="P14" s="26" t="str">
        <f t="shared" ref="P14:P35" si="3">IF(N14&lt;&gt;"","501010","")</f>
        <v/>
      </c>
      <c r="Q14" s="33">
        <f>-NotOnSch[[#This Row],[Amount]]</f>
        <v>0</v>
      </c>
      <c r="R14" s="29" t="str">
        <f t="shared" ref="R14:R35" si="4">IF(N14&lt;&gt;"",N14,"")</f>
        <v/>
      </c>
      <c r="S14" s="47" t="str">
        <f>IF(N14&lt;&gt;"",_xlfn.XLOOKUP(TEXT(N14,"0"),TEXT(CC!$C$3:$C$1000,"0"),CC!$G$3:$G$1000,""),"")</f>
        <v/>
      </c>
    </row>
    <row r="15" spans="1:20" x14ac:dyDescent="0.25">
      <c r="C15" s="76" t="s">
        <v>124</v>
      </c>
      <c r="D15" s="76" t="s">
        <v>3</v>
      </c>
      <c r="E15" s="77">
        <v>1</v>
      </c>
      <c r="F15" s="2">
        <v>3000</v>
      </c>
      <c r="G15" s="56">
        <f>IFERROR(SUMPRODUCT((TEXT(CC!$C$3:$C$1000,"0")=TEXT(C15,"0"))*IFERROR(CC!$E$3:$E$1000+0,0)),0)</f>
      </c>
      <c r="H15" s="45"/>
      <c r="I15" s="24" t="str">
        <f>IF(J15&lt;&gt;0,"501010","")</f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2"/>
        <v/>
      </c>
      <c r="L15" s="46" t="str">
        <f>IF(C15&lt;&gt;"",_xlfn.XLOOKUP(TEXT(C15,"0"),TEXT(CC!$C$3:$C$1000,"0"),CC!$G$3:$G$1000,""),"")</f>
        <v/>
      </c>
      <c r="N15" s="43"/>
      <c r="O15" s="49"/>
      <c r="P15" s="27" t="str">
        <f t="shared" si="3"/>
        <v/>
      </c>
      <c r="Q15" s="34">
        <f>-NotOnSch[[#This Row],[Amount]]</f>
        <v>0</v>
      </c>
      <c r="R15" s="30" t="str">
        <f t="shared" si="4"/>
        <v/>
      </c>
      <c r="S15" s="43" t="str">
        <f>IF(N15&lt;&gt;"",_xlfn.XLOOKUP(TEXT(N15,"0"),TEXT(CC!$C$3:$C$1000,"0"),CC!$G$3:$G$1000,""),"")</f>
        <v/>
      </c>
    </row>
    <row r="16" spans="1:20" x14ac:dyDescent="0.25">
      <c r="C16" s="74" t="s">
        <v>125</v>
      </c>
      <c r="D16" s="74" t="s">
        <v>3</v>
      </c>
      <c r="E16" s="75">
        <v>0</v>
      </c>
      <c r="F16" s="1">
        <v>7391.06</v>
      </c>
      <c r="G16" s="56">
        <f>IFERROR(SUMPRODUCT((TEXT(CC!$C$3:$C$1000,"0")=TEXT(C16,"0"))*IFERROR(CC!$E$3:$E$1000+0,0)),0)</f>
      </c>
      <c r="H16" s="45"/>
      <c r="I16" s="24" t="str">
        <f t="shared" ref="I16:I79" si="5">IF(J16&lt;&gt;0,"501010","")</f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2"/>
        <v/>
      </c>
      <c r="L16" s="46" t="str">
        <f>IF(C16&lt;&gt;"",_xlfn.XLOOKUP(TEXT(C16,"0"),TEXT(CC!$C$3:$C$1000,"0"),CC!$G$3:$G$1000,""),"")</f>
        <v/>
      </c>
      <c r="N16" s="43"/>
      <c r="O16" s="49"/>
      <c r="P16" s="27" t="str">
        <f t="shared" si="3"/>
        <v/>
      </c>
      <c r="Q16" s="34">
        <f>-NotOnSch[[#This Row],[Amount]]</f>
        <v>0</v>
      </c>
      <c r="R16" s="30" t="str">
        <f t="shared" si="4"/>
        <v/>
      </c>
      <c r="S16" s="43" t="str">
        <f>IF(N16&lt;&gt;"",_xlfn.XLOOKUP(TEXT(N16,"0"),TEXT(CC!$C$3:$C$1000,"0"),CC!$G$3:$G$1000,""),"")</f>
        <v/>
      </c>
    </row>
    <row r="17" spans="3:19" x14ac:dyDescent="0.25">
      <c r="C17" s="76" t="s">
        <v>126</v>
      </c>
      <c r="D17" s="76" t="s">
        <v>3</v>
      </c>
      <c r="E17" s="77">
        <v>1</v>
      </c>
      <c r="F17" s="2">
        <v>2036.72</v>
      </c>
      <c r="G17" s="56">
        <f>IFERROR(SUMPRODUCT((TEXT(CC!$C$3:$C$1000,"0")=TEXT(C17,"0"))*IFERROR(CC!$E$3:$E$1000+0,0)),0)</f>
      </c>
      <c r="H17" s="45"/>
      <c r="I17" s="24" t="str">
        <f t="shared" si="5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2"/>
        <v/>
      </c>
      <c r="L17" s="46" t="str">
        <f>IF(C17&lt;&gt;"",_xlfn.XLOOKUP(TEXT(C17,"0"),TEXT(CC!$C$3:$C$1000,"0"),CC!$G$3:$G$1000,""),"")</f>
        <v/>
      </c>
      <c r="N17" s="43"/>
      <c r="O17" s="49"/>
      <c r="P17" s="27" t="str">
        <f t="shared" si="3"/>
        <v/>
      </c>
      <c r="Q17" s="34">
        <f>-NotOnSch[[#This Row],[Amount]]</f>
        <v>0</v>
      </c>
      <c r="R17" s="30" t="str">
        <f t="shared" si="4"/>
        <v/>
      </c>
      <c r="S17" s="43" t="str">
        <f>IF(N17&lt;&gt;"",_xlfn.XLOOKUP(TEXT(N17,"0"),TEXT(CC!$C$3:$C$1000,"0"),CC!$G$3:$G$1000,""),"")</f>
        <v/>
      </c>
    </row>
    <row r="18" spans="3:19" x14ac:dyDescent="0.25">
      <c r="C18" s="74" t="s">
        <v>127</v>
      </c>
      <c r="D18" s="74" t="s">
        <v>3</v>
      </c>
      <c r="E18" s="75">
        <v>1</v>
      </c>
      <c r="F18" s="1">
        <v>753</v>
      </c>
      <c r="G18" s="56">
        <f>IFERROR(SUMPRODUCT((TEXT(CC!$C$3:$C$1000,"0")=TEXT(C18,"0"))*IFERROR(CC!$E$3:$E$1000+0,0)),0)</f>
      </c>
      <c r="H18" s="45"/>
      <c r="I18" s="24" t="str">
        <f t="shared" si="5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2"/>
        <v/>
      </c>
      <c r="L18" s="46" t="str">
        <f>IF(C18&lt;&gt;"",_xlfn.XLOOKUP(TEXT(C18,"0"),TEXT(CC!$C$3:$C$1000,"0"),CC!$G$3:$G$1000,""),"")</f>
        <v/>
      </c>
      <c r="N18" s="43"/>
      <c r="O18" s="49"/>
      <c r="P18" s="27" t="str">
        <f t="shared" si="3"/>
        <v/>
      </c>
      <c r="Q18" s="34">
        <f>-NotOnSch[[#This Row],[Amount]]</f>
        <v>0</v>
      </c>
      <c r="R18" s="30" t="str">
        <f t="shared" si="4"/>
        <v/>
      </c>
      <c r="S18" s="43" t="str">
        <f>IF(N18&lt;&gt;"",_xlfn.XLOOKUP(TEXT(N18,"0"),TEXT(CC!$C$3:$C$1000,"0"),CC!$G$3:$G$1000,""),"")</f>
        <v/>
      </c>
    </row>
    <row r="19" spans="3:19" x14ac:dyDescent="0.25">
      <c r="C19" s="76" t="s">
        <v>128</v>
      </c>
      <c r="D19" s="76" t="s">
        <v>3</v>
      </c>
      <c r="E19" s="77">
        <v>1</v>
      </c>
      <c r="F19" s="2">
        <v>67.92</v>
      </c>
      <c r="G19" s="56">
        <f>IFERROR(SUMPRODUCT((TEXT(CC!$C$3:$C$1000,"0")=TEXT(C19,"0"))*IFERROR(CC!$E$3:$E$1000+0,0)),0)</f>
      </c>
      <c r="H19" s="45"/>
      <c r="I19" s="24" t="str">
        <f t="shared" si="5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2"/>
        <v/>
      </c>
      <c r="L19" s="46" t="str">
        <f>IF(C19&lt;&gt;"",_xlfn.XLOOKUP(TEXT(C19,"0"),TEXT(CC!$C$3:$C$1000,"0"),CC!$G$3:$G$1000,""),"")</f>
        <v/>
      </c>
      <c r="N19" s="43"/>
      <c r="O19" s="49"/>
      <c r="P19" s="27" t="str">
        <f t="shared" si="3"/>
        <v/>
      </c>
      <c r="Q19" s="34">
        <f>-NotOnSch[[#This Row],[Amount]]</f>
        <v>0</v>
      </c>
      <c r="R19" s="30" t="str">
        <f t="shared" si="4"/>
        <v/>
      </c>
      <c r="S19" s="43" t="str">
        <f>IF(N19&lt;&gt;"",_xlfn.XLOOKUP(TEXT(N19,"0"),TEXT(CC!$C$3:$C$1000,"0"),CC!$G$3:$G$1000,""),"")</f>
        <v/>
      </c>
    </row>
    <row r="20" spans="3:19" x14ac:dyDescent="0.25">
      <c r="C20" s="74" t="s">
        <v>129</v>
      </c>
      <c r="D20" s="74" t="s">
        <v>3</v>
      </c>
      <c r="E20" s="75">
        <v>1</v>
      </c>
      <c r="F20" s="1">
        <v>3.25</v>
      </c>
      <c r="G20" s="56">
        <f>IFERROR(SUMPRODUCT((TEXT(CC!$C$3:$C$1000,"0")=TEXT(C20,"0"))*IFERROR(CC!$E$3:$E$1000+0,0)),0)</f>
      </c>
      <c r="H20" s="45"/>
      <c r="I20" s="24" t="str">
        <f t="shared" si="5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2"/>
        <v/>
      </c>
      <c r="L20" s="46" t="str">
        <f>IF(C20&lt;&gt;"",_xlfn.XLOOKUP(TEXT(C20,"0"),TEXT(CC!$C$3:$C$1000,"0"),CC!$G$3:$G$1000,""),"")</f>
        <v/>
      </c>
      <c r="N20" s="43"/>
      <c r="O20" s="49"/>
      <c r="P20" s="27" t="str">
        <f t="shared" si="3"/>
        <v/>
      </c>
      <c r="Q20" s="34">
        <f>-NotOnSch[[#This Row],[Amount]]</f>
        <v>0</v>
      </c>
      <c r="R20" s="30" t="str">
        <f t="shared" si="4"/>
        <v/>
      </c>
      <c r="S20" s="43" t="str">
        <f>IF(N20&lt;&gt;"",_xlfn.XLOOKUP(TEXT(N20,"0"),TEXT(CC!$C$3:$C$1000,"0"),CC!$G$3:$G$1000,""),"")</f>
        <v/>
      </c>
    </row>
    <row r="21" spans="3:19" x14ac:dyDescent="0.25">
      <c r="C21" s="76" t="s">
        <v>130</v>
      </c>
      <c r="D21" s="76" t="s">
        <v>3</v>
      </c>
      <c r="E21" s="77">
        <v>1</v>
      </c>
      <c r="F21" s="2">
        <v>121.63</v>
      </c>
      <c r="G21" s="56">
        <f>IFERROR(SUMPRODUCT((TEXT(CC!$C$3:$C$1000,"0")=TEXT(C21,"0"))*IFERROR(CC!$E$3:$E$1000+0,0)),0)</f>
      </c>
      <c r="H21" s="45"/>
      <c r="I21" s="24" t="str">
        <f t="shared" si="5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2"/>
        <v/>
      </c>
      <c r="L21" s="46" t="str">
        <f>IF(C21&lt;&gt;"",_xlfn.XLOOKUP(TEXT(C21,"0"),TEXT(CC!$C$3:$C$1000,"0"),CC!$G$3:$G$1000,""),"")</f>
        <v/>
      </c>
      <c r="N21" s="43"/>
      <c r="O21" s="49"/>
      <c r="P21" s="27" t="str">
        <f t="shared" si="3"/>
        <v/>
      </c>
      <c r="Q21" s="34">
        <f>-NotOnSch[[#This Row],[Amount]]</f>
        <v>0</v>
      </c>
      <c r="R21" s="30" t="str">
        <f t="shared" si="4"/>
        <v/>
      </c>
      <c r="S21" s="43" t="str">
        <f>IF(N21&lt;&gt;"",_xlfn.XLOOKUP(TEXT(N21,"0"),TEXT(CC!$C$3:$C$1000,"0"),CC!$G$3:$G$1000,""),"")</f>
        <v/>
      </c>
    </row>
    <row r="22" spans="3:19" x14ac:dyDescent="0.25">
      <c r="C22" s="74" t="s">
        <v>131</v>
      </c>
      <c r="D22" s="74" t="s">
        <v>3</v>
      </c>
      <c r="E22" s="75">
        <v>1</v>
      </c>
      <c r="F22" s="1">
        <v>200.02</v>
      </c>
      <c r="G22" s="56">
        <f>IFERROR(SUMPRODUCT((TEXT(CC!$C$3:$C$1000,"0")=TEXT(C22,"0"))*IFERROR(CC!$E$3:$E$1000+0,0)),0)</f>
      </c>
      <c r="H22" s="45"/>
      <c r="I22" s="24" t="str">
        <f t="shared" si="5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2"/>
        <v/>
      </c>
      <c r="L22" s="46" t="str">
        <f>IF(C22&lt;&gt;"",_xlfn.XLOOKUP(TEXT(C22,"0"),TEXT(CC!$C$3:$C$1000,"0"),CC!$G$3:$G$1000,""),"")</f>
        <v/>
      </c>
      <c r="N22" s="43"/>
      <c r="O22" s="49"/>
      <c r="P22" s="27" t="str">
        <f t="shared" si="3"/>
        <v/>
      </c>
      <c r="Q22" s="34">
        <f>-NotOnSch[[#This Row],[Amount]]</f>
        <v>0</v>
      </c>
      <c r="R22" s="30" t="str">
        <f t="shared" si="4"/>
        <v/>
      </c>
      <c r="S22" s="43" t="str">
        <f>IF(N22&lt;&gt;"",_xlfn.XLOOKUP(TEXT(N22,"0"),TEXT(CC!$C$3:$C$1000,"0"),CC!$G$3:$G$1000,""),"")</f>
        <v/>
      </c>
    </row>
    <row r="23" spans="3:19" x14ac:dyDescent="0.25">
      <c r="C23" s="76" t="s">
        <v>132</v>
      </c>
      <c r="D23" s="76" t="s">
        <v>3</v>
      </c>
      <c r="E23" s="77">
        <v>1</v>
      </c>
      <c r="F23" s="2">
        <v>495.99</v>
      </c>
      <c r="G23" s="56">
        <f>IFERROR(SUMPRODUCT((TEXT(CC!$C$3:$C$1000,"0")=TEXT(C23,"0"))*IFERROR(CC!$E$3:$E$1000+0,0)),0)</f>
      </c>
      <c r="H23" s="45"/>
      <c r="I23" s="24" t="str">
        <f t="shared" si="5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2"/>
        <v/>
      </c>
      <c r="L23" s="46" t="str">
        <f>IF(C23&lt;&gt;"",_xlfn.XLOOKUP(TEXT(C23,"0"),TEXT(CC!$C$3:$C$1000,"0"),CC!$G$3:$G$1000,""),"")</f>
        <v/>
      </c>
      <c r="N23" s="43"/>
      <c r="O23" s="49"/>
      <c r="P23" s="27" t="str">
        <f t="shared" si="3"/>
        <v/>
      </c>
      <c r="Q23" s="34">
        <f>-NotOnSch[[#This Row],[Amount]]</f>
        <v>0</v>
      </c>
      <c r="R23" s="30" t="str">
        <f t="shared" si="4"/>
        <v/>
      </c>
      <c r="S23" s="43" t="str">
        <f>IF(N23&lt;&gt;"",_xlfn.XLOOKUP(TEXT(N23,"0"),TEXT(CC!$C$3:$C$1000,"0"),CC!$G$3:$G$1000,""),"")</f>
        <v/>
      </c>
    </row>
    <row r="24" spans="3:19" x14ac:dyDescent="0.25">
      <c r="C24" s="74" t="s">
        <v>133</v>
      </c>
      <c r="D24" s="74" t="s">
        <v>3</v>
      </c>
      <c r="E24" s="75">
        <v>1</v>
      </c>
      <c r="F24" s="1">
        <v>12.68</v>
      </c>
      <c r="G24" s="56">
        <f>IFERROR(SUMPRODUCT((TEXT(CC!$C$3:$C$1000,"0")=TEXT(C24,"0"))*IFERROR(CC!$E$3:$E$1000+0,0)),0)</f>
      </c>
      <c r="H24" s="45"/>
      <c r="I24" s="24" t="str">
        <f t="shared" si="5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2"/>
        <v/>
      </c>
      <c r="L24" s="46" t="str">
        <f>IF(C24&lt;&gt;"",_xlfn.XLOOKUP(TEXT(C24,"0"),TEXT(CC!$C$3:$C$1000,"0"),CC!$G$3:$G$1000,""),"")</f>
        <v/>
      </c>
      <c r="N24" s="43"/>
      <c r="O24" s="49"/>
      <c r="P24" s="27" t="str">
        <f t="shared" si="3"/>
        <v/>
      </c>
      <c r="Q24" s="34">
        <f>-NotOnSch[[#This Row],[Amount]]</f>
        <v>0</v>
      </c>
      <c r="R24" s="30" t="str">
        <f t="shared" si="4"/>
        <v/>
      </c>
      <c r="S24" s="43" t="str">
        <f>IF(N24&lt;&gt;"",_xlfn.XLOOKUP(TEXT(N24,"0"),TEXT(CC!$C$3:$C$1000,"0"),CC!$G$3:$G$1000,""),"")</f>
        <v/>
      </c>
    </row>
    <row r="25" spans="3:19" x14ac:dyDescent="0.25">
      <c r="C25" s="76" t="s">
        <v>134</v>
      </c>
      <c r="D25" s="76" t="s">
        <v>3</v>
      </c>
      <c r="E25" s="77">
        <v>1</v>
      </c>
      <c r="F25" s="2">
        <v>108.99</v>
      </c>
      <c r="G25" s="56">
        <f>IFERROR(SUMPRODUCT((TEXT(CC!$C$3:$C$1000,"0")=TEXT(C25,"0"))*IFERROR(CC!$E$3:$E$1000+0,0)),0)</f>
      </c>
      <c r="H25" s="45"/>
      <c r="I25" s="24" t="str">
        <f t="shared" si="5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2"/>
        <v/>
      </c>
      <c r="L25" s="46" t="str">
        <f>IF(C25&lt;&gt;"",_xlfn.XLOOKUP(TEXT(C25,"0"),TEXT(CC!$C$3:$C$1000,"0"),CC!$G$3:$G$1000,""),"")</f>
        <v/>
      </c>
      <c r="N25" s="43"/>
      <c r="O25" s="49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3" t="str">
        <f>IF(N25&lt;&gt;"",_xlfn.XLOOKUP(TEXT(N25,"0"),TEXT(CC!$C$3:$C$1000,"0"),CC!$G$3:$G$1000,""),"")</f>
        <v/>
      </c>
    </row>
    <row r="26" spans="3:19" x14ac:dyDescent="0.25">
      <c r="C26" s="74" t="s">
        <v>135</v>
      </c>
      <c r="D26" s="74" t="s">
        <v>3</v>
      </c>
      <c r="E26" s="75">
        <v>14</v>
      </c>
      <c r="F26" s="1">
        <v>3000</v>
      </c>
      <c r="G26" s="56">
        <f>IFERROR(SUMPRODUCT((TEXT(CC!$C$3:$C$1000,"0")=TEXT(C26,"0"))*IFERROR(CC!$E$3:$E$1000+0,0)),0)</f>
      </c>
      <c r="H26" s="45"/>
      <c r="I26" s="24" t="str">
        <f t="shared" si="5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2"/>
        <v/>
      </c>
      <c r="L26" s="46" t="str">
        <f>IF(C26&lt;&gt;"",_xlfn.XLOOKUP(TEXT(C26,"0"),TEXT(CC!$C$3:$C$1000,"0"),CC!$G$3:$G$1000,""),"")</f>
        <v/>
      </c>
      <c r="N26" s="43"/>
      <c r="O26" s="49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3" t="str">
        <f>IF(N26&lt;&gt;"",_xlfn.XLOOKUP(TEXT(N26,"0"),TEXT(CC!$C$3:$C$1000,"0"),CC!$G$3:$G$1000,""),"")</f>
        <v/>
      </c>
    </row>
    <row r="27" spans="3:19" x14ac:dyDescent="0.25">
      <c r="C27" s="76" t="s">
        <v>136</v>
      </c>
      <c r="D27" s="76" t="s">
        <v>3</v>
      </c>
      <c r="E27" s="77">
        <v>10</v>
      </c>
      <c r="F27" s="2">
        <v>131.07</v>
      </c>
      <c r="G27" s="56">
        <f>IFERROR(SUMPRODUCT((TEXT(CC!$C$3:$C$1000,"0")=TEXT(C27,"0"))*IFERROR(CC!$E$3:$E$1000+0,0)),0)</f>
      </c>
      <c r="H27" s="45"/>
      <c r="I27" s="24" t="str">
        <f t="shared" si="5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2"/>
        <v/>
      </c>
      <c r="L27" s="46" t="str">
        <f>IF(C27&lt;&gt;"",_xlfn.XLOOKUP(TEXT(C27,"0"),TEXT(CC!$C$3:$C$1000,"0"),CC!$G$3:$G$1000,""),"")</f>
        <v/>
      </c>
      <c r="N27" s="43"/>
      <c r="O27" s="49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3" t="str">
        <f>IF(N27&lt;&gt;"",_xlfn.XLOOKUP(TEXT(N27,"0"),TEXT(CC!$C$3:$C$1000,"0"),CC!$G$3:$G$1000,""),"")</f>
        <v/>
      </c>
    </row>
    <row r="28" spans="3:19" x14ac:dyDescent="0.25">
      <c r="C28" s="74" t="s">
        <v>137</v>
      </c>
      <c r="D28" s="74" t="s">
        <v>3</v>
      </c>
      <c r="E28" s="75">
        <v>1</v>
      </c>
      <c r="F28" s="1">
        <v>9127.0400000000009</v>
      </c>
      <c r="G28" s="56">
        <f>IFERROR(SUMPRODUCT((TEXT(CC!$C$3:$C$1000,"0")=TEXT(C28,"0"))*IFERROR(CC!$E$3:$E$1000+0,0)),0)</f>
      </c>
      <c r="H28" s="45"/>
      <c r="I28" s="24" t="str">
        <f t="shared" si="5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2"/>
        <v/>
      </c>
      <c r="L28" s="46" t="str">
        <f>IF(C28&lt;&gt;"",_xlfn.XLOOKUP(TEXT(C28,"0"),TEXT(CC!$C$3:$C$1000,"0"),CC!$G$3:$G$1000,""),"")</f>
        <v/>
      </c>
      <c r="N28" s="43"/>
      <c r="O28" s="49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3" t="str">
        <f>IF(N28&lt;&gt;"",_xlfn.XLOOKUP(TEXT(N28,"0"),TEXT(CC!$C$3:$C$1000,"0"),CC!$G$3:$G$1000,""),"")</f>
        <v/>
      </c>
    </row>
    <row r="29" spans="3:19" x14ac:dyDescent="0.25">
      <c r="C29" s="76" t="s">
        <v>138</v>
      </c>
      <c r="D29" s="76" t="s">
        <v>3</v>
      </c>
      <c r="E29" s="77">
        <v>1</v>
      </c>
      <c r="F29" s="2">
        <v>2773.47</v>
      </c>
      <c r="G29" s="56">
        <f>IFERROR(SUMPRODUCT((TEXT(CC!$C$3:$C$1000,"0")=TEXT(C29,"0"))*IFERROR(CC!$E$3:$E$1000+0,0)),0)</f>
      </c>
      <c r="H29" s="45"/>
      <c r="I29" s="24" t="str">
        <f t="shared" si="5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2"/>
        <v/>
      </c>
      <c r="L29" s="46" t="str">
        <f>IF(C29&lt;&gt;"",_xlfn.XLOOKUP(TEXT(C29,"0"),TEXT(CC!$C$3:$C$1000,"0"),CC!$G$3:$G$1000,""),"")</f>
        <v/>
      </c>
      <c r="N29" s="43"/>
      <c r="O29" s="49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3" t="str">
        <f>IF(N29&lt;&gt;"",_xlfn.XLOOKUP(TEXT(N29,"0"),TEXT(CC!$C$3:$C$1000,"0"),CC!$G$3:$G$1000,""),"")</f>
        <v/>
      </c>
    </row>
    <row r="30" spans="3:19" x14ac:dyDescent="0.25">
      <c r="C30" s="74" t="s">
        <v>139</v>
      </c>
      <c r="D30" s="74" t="s">
        <v>3</v>
      </c>
      <c r="E30" s="75">
        <v>1</v>
      </c>
      <c r="F30" s="1">
        <v>2892.11</v>
      </c>
      <c r="G30" s="56">
        <f>IFERROR(SUMPRODUCT((TEXT(CC!$C$3:$C$1000,"0")=TEXT(C30,"0"))*IFERROR(CC!$E$3:$E$1000+0,0)),0)</f>
      </c>
      <c r="H30" s="45"/>
      <c r="I30" s="24" t="str">
        <f t="shared" si="5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2"/>
        <v/>
      </c>
      <c r="L30" s="46" t="str">
        <f>IF(C30&lt;&gt;"",_xlfn.XLOOKUP(TEXT(C30,"0"),TEXT(CC!$C$3:$C$1000,"0"),CC!$G$3:$G$1000,""),"")</f>
        <v/>
      </c>
      <c r="N30" s="43"/>
      <c r="O30" s="49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3" t="str">
        <f>IF(N30&lt;&gt;"",_xlfn.XLOOKUP(TEXT(N30,"0"),TEXT(CC!$C$3:$C$1000,"0"),CC!$G$3:$G$1000,""),"")</f>
        <v/>
      </c>
    </row>
    <row r="31" spans="3:19" x14ac:dyDescent="0.25">
      <c r="C31" s="76" t="s">
        <v>140</v>
      </c>
      <c r="D31" s="76" t="s">
        <v>3</v>
      </c>
      <c r="E31" s="77">
        <v>1</v>
      </c>
      <c r="F31" s="2">
        <v>5062.1099999999997</v>
      </c>
      <c r="G31" s="56">
        <f>IFERROR(SUMPRODUCT((TEXT(CC!$C$3:$C$1000,"0")=TEXT(C31,"0"))*IFERROR(CC!$E$3:$E$1000+0,0)),0)</f>
      </c>
      <c r="H31" s="45"/>
      <c r="I31" s="24" t="str">
        <f t="shared" si="5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2"/>
        <v/>
      </c>
      <c r="L31" s="46" t="str">
        <f>IF(C31&lt;&gt;"",_xlfn.XLOOKUP(TEXT(C31,"0"),TEXT(CC!$C$3:$C$1000,"0"),CC!$G$3:$G$1000,""),"")</f>
        <v/>
      </c>
      <c r="N31" s="43"/>
      <c r="O31" s="49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3" t="str">
        <f>IF(N31&lt;&gt;"",_xlfn.XLOOKUP(TEXT(N31,"0"),TEXT(CC!$C$3:$C$1000,"0"),CC!$G$3:$G$1000,""),"")</f>
        <v/>
      </c>
    </row>
    <row r="32" spans="3:19" x14ac:dyDescent="0.25">
      <c r="C32" s="74" t="s">
        <v>141</v>
      </c>
      <c r="D32" s="74" t="s">
        <v>3</v>
      </c>
      <c r="E32" s="75">
        <v>1</v>
      </c>
      <c r="F32" s="1">
        <v>113.16</v>
      </c>
      <c r="G32" s="56">
        <f>IFERROR(SUMPRODUCT((TEXT(CC!$C$3:$C$1000,"0")=TEXT(C32,"0"))*IFERROR(CC!$E$3:$E$1000+0,0)),0)</f>
      </c>
      <c r="H32" s="45"/>
      <c r="I32" s="24" t="str">
        <f t="shared" si="5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2"/>
        <v/>
      </c>
      <c r="L32" s="46" t="str">
        <f>IF(C32&lt;&gt;"",_xlfn.XLOOKUP(TEXT(C32,"0"),TEXT(CC!$C$3:$C$1000,"0"),CC!$G$3:$G$1000,""),"")</f>
        <v/>
      </c>
      <c r="N32" s="43"/>
      <c r="O32" s="49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3" t="str">
        <f>IF(N32&lt;&gt;"",_xlfn.XLOOKUP(TEXT(N32,"0"),TEXT(CC!$C$3:$C$1000,"0"),CC!$G$3:$G$1000,""),"")</f>
        <v/>
      </c>
    </row>
    <row r="33" spans="3:20" x14ac:dyDescent="0.25">
      <c r="C33" s="76" t="s">
        <v>142</v>
      </c>
      <c r="D33" s="76" t="s">
        <v>3</v>
      </c>
      <c r="E33" s="77">
        <v>1</v>
      </c>
      <c r="F33" s="2">
        <v>131.07</v>
      </c>
      <c r="G33" s="56">
        <f>IFERROR(SUMPRODUCT((TEXT(CC!$C$3:$C$1000,"0")=TEXT(C33,"0"))*IFERROR(CC!$E$3:$E$1000+0,0)),0)</f>
      </c>
      <c r="H33" s="45"/>
      <c r="I33" s="24" t="str">
        <f t="shared" si="5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2"/>
        <v/>
      </c>
      <c r="L33" s="46" t="str">
        <f>IF(C33&lt;&gt;"",_xlfn.XLOOKUP(TEXT(C33,"0"),TEXT(CC!$C$3:$C$1000,"0"),CC!$G$3:$G$1000,""),"")</f>
        <v/>
      </c>
      <c r="N33" s="43"/>
      <c r="O33" s="49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3" t="str">
        <f>IF(N33&lt;&gt;"",_xlfn.XLOOKUP(TEXT(N33,"0"),TEXT(CC!$C$3:$C$1000,"0"),CC!$G$3:$G$1000,""),"")</f>
        <v/>
      </c>
    </row>
    <row r="34" spans="3:20" x14ac:dyDescent="0.25">
      <c r="C34" s="74" t="s">
        <v>143</v>
      </c>
      <c r="D34" s="74" t="s">
        <v>3</v>
      </c>
      <c r="E34" s="75">
        <v>1</v>
      </c>
      <c r="F34" s="1">
        <v>999.05</v>
      </c>
      <c r="G34" s="56">
        <f>IFERROR(SUMPRODUCT((TEXT(CC!$C$3:$C$1000,"0")=TEXT(C34,"0"))*IFERROR(CC!$E$3:$E$1000+0,0)),0)</f>
      </c>
      <c r="H34" s="45"/>
      <c r="I34" s="24" t="str">
        <f t="shared" si="5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2"/>
        <v/>
      </c>
      <c r="L34" s="46" t="str">
        <f>IF(C34&lt;&gt;"",_xlfn.XLOOKUP(TEXT(C34,"0"),TEXT(CC!$C$3:$C$1000,"0"),CC!$G$3:$G$1000,""),"")</f>
        <v/>
      </c>
      <c r="N34" s="43"/>
      <c r="O34" s="49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3" t="str">
        <f>IF(N34&lt;&gt;"",_xlfn.XLOOKUP(TEXT(N34,"0"),TEXT(CC!$C$3:$C$1000,"0"),CC!$G$3:$G$1000,""),"")</f>
        <v/>
      </c>
    </row>
    <row r="35" spans="3:20" x14ac:dyDescent="0.25">
      <c r="C35" s="76" t="s">
        <v>144</v>
      </c>
      <c r="D35" s="76" t="s">
        <v>3</v>
      </c>
      <c r="E35" s="77">
        <v>1</v>
      </c>
      <c r="F35" s="2">
        <v>243.82</v>
      </c>
      <c r="G35" s="56">
        <f>IFERROR(SUMPRODUCT((TEXT(CC!$C$3:$C$1000,"0")=TEXT(C35,"0"))*IFERROR(CC!$E$3:$E$1000+0,0)),0)</f>
      </c>
      <c r="H35" s="45"/>
      <c r="I35" s="24" t="str">
        <f t="shared" si="5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2"/>
        <v/>
      </c>
      <c r="L35" s="46" t="str">
        <f>IF(C35&lt;&gt;"",_xlfn.XLOOKUP(TEXT(C35,"0"),TEXT(CC!$C$3:$C$1000,"0"),CC!$G$3:$G$1000,""),"")</f>
        <v/>
      </c>
      <c r="N35" s="43"/>
      <c r="O35" s="49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3" t="str">
        <f>IF(N35&lt;&gt;"",_xlfn.XLOOKUP(TEXT(N35,"0"),TEXT(CC!$C$3:$C$1000,"0"),CC!$G$3:$G$1000,""),"")</f>
        <v/>
      </c>
    </row>
    <row r="36" spans="3:20" x14ac:dyDescent="0.25">
      <c r="C36" s="74" t="s">
        <v>145</v>
      </c>
      <c r="D36" s="74" t="s">
        <v>3</v>
      </c>
      <c r="E36" s="75">
        <v>1</v>
      </c>
      <c r="F36" s="1">
        <v>555.23</v>
      </c>
      <c r="G36" s="56">
        <f>IFERROR(SUMPRODUCT((TEXT(CC!$C$3:$C$1000,"0")=TEXT(C36,"0"))*IFERROR(CC!$E$3:$E$1000+0,0)),0)</f>
      </c>
      <c r="H36" s="45"/>
      <c r="I36" s="24" t="str">
        <f t="shared" si="5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2"/>
        <v/>
      </c>
      <c r="L36" s="46" t="str">
        <f>IF(C36&lt;&gt;"",_xlfn.XLOOKUP(TEXT(C36,"0"),TEXT(CC!$C$3:$C$1000,"0"),CC!$G$3:$G$1000,""),"")</f>
        <v/>
      </c>
    </row>
    <row r="37" spans="3:20" x14ac:dyDescent="0.25">
      <c r="C37" s="76" t="s">
        <v>146</v>
      </c>
      <c r="D37" s="76" t="s">
        <v>3</v>
      </c>
      <c r="E37" s="77">
        <v>1</v>
      </c>
      <c r="F37" s="2">
        <v>181</v>
      </c>
      <c r="G37" s="56">
        <f>IFERROR(SUMPRODUCT((TEXT(CC!$C$3:$C$1000,"0")=TEXT(C37,"0"))*IFERROR(CC!$E$3:$E$1000+0,0)),0)</f>
      </c>
      <c r="H37" s="45"/>
      <c r="I37" s="24" t="str">
        <f t="shared" si="5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2"/>
        <v/>
      </c>
      <c r="L37" s="46" t="str">
        <f>IF(C37&lt;&gt;"",_xlfn.XLOOKUP(TEXT(C37,"0"),TEXT(CC!$C$3:$C$1000,"0"),CC!$G$3:$G$1000,""),"")</f>
        <v/>
      </c>
      <c r="N37" s="83" t="s">
        <v>24</v>
      </c>
      <c r="O37" s="84"/>
      <c r="P37" s="84"/>
      <c r="Q37" s="84"/>
      <c r="R37" s="84"/>
      <c r="S37" s="84"/>
      <c r="T37" s="85"/>
    </row>
    <row r="38" spans="3:20" x14ac:dyDescent="0.25">
      <c r="C38" s="74" t="s">
        <v>147</v>
      </c>
      <c r="D38" s="74" t="s">
        <v>3</v>
      </c>
      <c r="E38" s="75">
        <v>1</v>
      </c>
      <c r="F38" s="1">
        <v>2173.6799999999998</v>
      </c>
      <c r="G38" s="56">
        <f>IFERROR(SUMPRODUCT((TEXT(CC!$C$3:$C$1000,"0")=TEXT(C38,"0"))*IFERROR(CC!$E$3:$E$1000+0,0)),0)</f>
      </c>
      <c r="H38" s="45"/>
      <c r="I38" s="24" t="str">
        <f t="shared" si="5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2"/>
        <v/>
      </c>
      <c r="L38" s="46" t="str">
        <f>IF(C38&lt;&gt;"",_xlfn.XLOOKUP(TEXT(C38,"0"),TEXT(CC!$C$3:$C$1000,"0"),CC!$G$3:$G$1000,""),"")</f>
        <v/>
      </c>
      <c r="N38" s="31" t="s">
        <v>10</v>
      </c>
      <c r="O38" s="31" t="s">
        <v>11</v>
      </c>
      <c r="P38" s="32" t="s">
        <v>9</v>
      </c>
      <c r="Q38" s="32" t="s">
        <v>32</v>
      </c>
      <c r="R38" s="32" t="s">
        <v>33</v>
      </c>
      <c r="S38" s="32" t="s">
        <v>34</v>
      </c>
      <c r="T38" s="36" t="s">
        <v>39</v>
      </c>
    </row>
    <row r="39" spans="3:20" x14ac:dyDescent="0.25">
      <c r="C39" s="76" t="s">
        <v>148</v>
      </c>
      <c r="D39" s="76" t="s">
        <v>3</v>
      </c>
      <c r="E39" s="77">
        <v>1</v>
      </c>
      <c r="F39" s="2">
        <v>638.92999999999995</v>
      </c>
      <c r="G39" s="56">
        <f>IFERROR(SUMPRODUCT((TEXT(CC!$C$3:$C$1000,"0")=TEXT(C39,"0"))*IFERROR(CC!$E$3:$E$1000+0,0)),0)</f>
      </c>
      <c r="H39" s="45"/>
      <c r="I39" s="24" t="str">
        <f t="shared" si="5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2"/>
        <v/>
      </c>
      <c r="L39" s="46" t="str">
        <f>IF(C39&lt;&gt;"",_xlfn.XLOOKUP(TEXT(C39,"0"),TEXT(CC!$C$3:$C$1000,"0"),CC!$G$3:$G$1000,""),"")</f>
        <v/>
      </c>
      <c r="N39" s="47"/>
      <c r="O39" s="51"/>
      <c r="P39" s="26" t="str">
        <f t="shared" ref="P39:P60" si="6">IF(N39&lt;&gt;"","501010","")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47"/>
    </row>
    <row r="40" spans="3:20" x14ac:dyDescent="0.25">
      <c r="C40" s="74" t="s">
        <v>149</v>
      </c>
      <c r="D40" s="74" t="s">
        <v>3</v>
      </c>
      <c r="E40" s="75">
        <v>1</v>
      </c>
      <c r="F40" s="1">
        <v>109.22</v>
      </c>
      <c r="G40" s="56">
        <f>IFERROR(SUMPRODUCT((TEXT(CC!$C$3:$C$1000,"0")=TEXT(C40,"0"))*IFERROR(CC!$E$3:$E$1000+0,0)),0)</f>
      </c>
      <c r="H40" s="45"/>
      <c r="I40" s="24" t="str">
        <f t="shared" si="5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2"/>
        <v/>
      </c>
      <c r="L40" s="46" t="str">
        <f>IF(C40&lt;&gt;"",_xlfn.XLOOKUP(TEXT(C40,"0"),TEXT(CC!$C$3:$C$1000,"0"),CC!$G$3:$G$1000,""),"")</f>
        <v/>
      </c>
      <c r="N40" s="43"/>
      <c r="O40" s="52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3"/>
    </row>
    <row r="41" spans="3:20" x14ac:dyDescent="0.25">
      <c r="C41" s="76" t="s">
        <v>150</v>
      </c>
      <c r="D41" s="76" t="s">
        <v>3</v>
      </c>
      <c r="E41" s="77">
        <v>1</v>
      </c>
      <c r="F41" s="2">
        <v>114.68</v>
      </c>
      <c r="G41" s="56">
        <f>IFERROR(SUMPRODUCT((TEXT(CC!$C$3:$C$1000,"0")=TEXT(C41,"0"))*IFERROR(CC!$E$3:$E$1000+0,0)),0)</f>
      </c>
      <c r="H41" s="45"/>
      <c r="I41" s="24" t="str">
        <f t="shared" si="5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2"/>
        <v/>
      </c>
      <c r="L41" s="46" t="str">
        <f>IF(C41&lt;&gt;"",_xlfn.XLOOKUP(TEXT(C41,"0"),TEXT(CC!$C$3:$C$1000,"0"),CC!$G$3:$G$1000,""),"")</f>
        <v/>
      </c>
      <c r="N41" s="43"/>
      <c r="O41" s="52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3"/>
    </row>
    <row r="42" spans="3:20" x14ac:dyDescent="0.25">
      <c r="C42" s="74" t="s">
        <v>151</v>
      </c>
      <c r="D42" s="74" t="s">
        <v>3</v>
      </c>
      <c r="E42" s="75">
        <v>1</v>
      </c>
      <c r="F42" s="1">
        <v>1411.08</v>
      </c>
      <c r="G42" s="56">
        <f>IFERROR(SUMPRODUCT((TEXT(CC!$C$3:$C$1000,"0")=TEXT(C42,"0"))*IFERROR(CC!$E$3:$E$1000+0,0)),0)</f>
      </c>
      <c r="H42" s="45"/>
      <c r="I42" s="24" t="str">
        <f t="shared" si="5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2"/>
        <v/>
      </c>
      <c r="L42" s="46" t="str">
        <f>IF(C42&lt;&gt;"",_xlfn.XLOOKUP(TEXT(C42,"0"),TEXT(CC!$C$3:$C$1000,"0"),CC!$G$3:$G$1000,""),"")</f>
        <v/>
      </c>
      <c r="N42" s="43"/>
      <c r="O42" s="52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3"/>
    </row>
    <row r="43" spans="3:20" x14ac:dyDescent="0.25">
      <c r="C43" s="76" t="s">
        <v>152</v>
      </c>
      <c r="D43" s="76" t="s">
        <v>3</v>
      </c>
      <c r="E43" s="77">
        <v>1</v>
      </c>
      <c r="F43" s="2">
        <v>929.82</v>
      </c>
      <c r="G43" s="56">
        <f>IFERROR(SUMPRODUCT((TEXT(CC!$C$3:$C$1000,"0")=TEXT(C43,"0"))*IFERROR(CC!$E$3:$E$1000+0,0)),0)</f>
      </c>
      <c r="H43" s="45"/>
      <c r="I43" s="24" t="str">
        <f t="shared" si="5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2"/>
        <v/>
      </c>
      <c r="L43" s="46" t="str">
        <f>IF(C43&lt;&gt;"",_xlfn.XLOOKUP(TEXT(C43,"0"),TEXT(CC!$C$3:$C$1000,"0"),CC!$G$3:$G$1000,""),"")</f>
        <v/>
      </c>
      <c r="N43" s="43"/>
      <c r="O43" s="52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3"/>
    </row>
    <row r="44" spans="3:20" x14ac:dyDescent="0.25">
      <c r="C44" s="74" t="s">
        <v>153</v>
      </c>
      <c r="D44" s="74" t="s">
        <v>3</v>
      </c>
      <c r="E44" s="75">
        <v>1</v>
      </c>
      <c r="F44" s="1">
        <v>113.14</v>
      </c>
      <c r="G44" s="56">
        <f>IFERROR(SUMPRODUCT((TEXT(CC!$C$3:$C$1000,"0")=TEXT(C44,"0"))*IFERROR(CC!$E$3:$E$1000+0,0)),0)</f>
      </c>
      <c r="H44" s="45"/>
      <c r="I44" s="24" t="str">
        <f t="shared" si="5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2"/>
        <v/>
      </c>
      <c r="L44" s="46" t="str">
        <f>IF(C44&lt;&gt;"",_xlfn.XLOOKUP(TEXT(C44,"0"),TEXT(CC!$C$3:$C$1000,"0"),CC!$G$3:$G$1000,""),"")</f>
        <v/>
      </c>
      <c r="N44" s="43"/>
      <c r="O44" s="52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3"/>
    </row>
    <row r="45" spans="3:20" x14ac:dyDescent="0.25">
      <c r="C45" s="76" t="s">
        <v>154</v>
      </c>
      <c r="D45" s="76" t="s">
        <v>3</v>
      </c>
      <c r="E45" s="77">
        <v>1</v>
      </c>
      <c r="F45" s="2">
        <v>1637.29</v>
      </c>
      <c r="G45" s="56">
        <f>IFERROR(SUMPRODUCT((TEXT(CC!$C$3:$C$1000,"0")=TEXT(C45,"0"))*IFERROR(CC!$E$3:$E$1000+0,0)),0)</f>
      </c>
      <c r="H45" s="45"/>
      <c r="I45" s="24" t="str">
        <f t="shared" si="5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2"/>
        <v/>
      </c>
      <c r="L45" s="46" t="str">
        <f>IF(C45&lt;&gt;"",_xlfn.XLOOKUP(TEXT(C45,"0"),TEXT(CC!$C$3:$C$1000,"0"),CC!$G$3:$G$1000,""),"")</f>
        <v/>
      </c>
      <c r="N45" s="43"/>
      <c r="O45" s="52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3"/>
    </row>
    <row r="46" spans="3:20" x14ac:dyDescent="0.25">
      <c r="C46" s="74" t="s">
        <v>155</v>
      </c>
      <c r="D46" s="74" t="s">
        <v>3</v>
      </c>
      <c r="E46" s="75">
        <v>1</v>
      </c>
      <c r="F46" s="1">
        <v>599.98</v>
      </c>
      <c r="G46" s="56">
        <f>IFERROR(SUMPRODUCT((TEXT(CC!$C$3:$C$1000,"0")=TEXT(C46,"0"))*IFERROR(CC!$E$3:$E$1000+0,0)),0)</f>
      </c>
      <c r="H46" s="45"/>
      <c r="I46" s="24" t="str">
        <f t="shared" si="5"/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77" si="10">IF(J46&lt;&gt;0,C46,"")</f>
        <v/>
      </c>
      <c r="L46" s="46" t="str">
        <f>IF(C46&lt;&gt;"",_xlfn.XLOOKUP(TEXT(C46,"0"),TEXT(CC!$C$3:$C$1000,"0"),CC!$G$3:$G$1000,""),"")</f>
        <v/>
      </c>
      <c r="N46" s="43"/>
      <c r="O46" s="52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3"/>
    </row>
    <row r="47" spans="3:20" x14ac:dyDescent="0.25">
      <c r="C47" s="76" t="s">
        <v>156</v>
      </c>
      <c r="D47" s="76" t="s">
        <v>3</v>
      </c>
      <c r="E47" s="77">
        <v>1</v>
      </c>
      <c r="F47" s="2">
        <v>117.96</v>
      </c>
      <c r="G47" s="56">
        <f>IFERROR(SUMPRODUCT((TEXT(CC!$C$3:$C$1000,"0")=TEXT(C47,"0"))*IFERROR(CC!$E$3:$E$1000+0,0)),0)</f>
      </c>
      <c r="H47" s="45"/>
      <c r="I47" s="24" t="str">
        <f t="shared" si="5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10"/>
        <v/>
      </c>
      <c r="L47" s="46" t="str">
        <f>IF(C47&lt;&gt;"",_xlfn.XLOOKUP(TEXT(C47,"0"),TEXT(CC!$C$3:$C$1000,"0"),CC!$G$3:$G$1000,""),"")</f>
        <v/>
      </c>
      <c r="N47" s="43"/>
      <c r="O47" s="52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3"/>
    </row>
    <row r="48" spans="3:20" x14ac:dyDescent="0.25">
      <c r="C48" s="74" t="s">
        <v>157</v>
      </c>
      <c r="D48" s="74" t="s">
        <v>3</v>
      </c>
      <c r="E48" s="75">
        <v>1</v>
      </c>
      <c r="F48" s="1">
        <v>492.47</v>
      </c>
      <c r="G48" s="56">
        <f>IFERROR(SUMPRODUCT((TEXT(CC!$C$3:$C$1000,"0")=TEXT(C48,"0"))*IFERROR(CC!$E$3:$E$1000+0,0)),0)</f>
      </c>
      <c r="H48" s="45"/>
      <c r="I48" s="24" t="str">
        <f t="shared" si="5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10"/>
        <v/>
      </c>
      <c r="L48" s="46" t="str">
        <f>IF(C48&lt;&gt;"",_xlfn.XLOOKUP(TEXT(C48,"0"),TEXT(CC!$C$3:$C$1000,"0"),CC!$G$3:$G$1000,""),"")</f>
        <v/>
      </c>
      <c r="N48" s="43"/>
      <c r="O48" s="52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3"/>
    </row>
    <row r="49" spans="3:20" x14ac:dyDescent="0.25">
      <c r="C49" s="76" t="s">
        <v>158</v>
      </c>
      <c r="D49" s="76" t="s">
        <v>3</v>
      </c>
      <c r="E49" s="77">
        <v>1</v>
      </c>
      <c r="F49" s="2">
        <v>1515.34</v>
      </c>
      <c r="G49" s="56">
        <f>IFERROR(SUMPRODUCT((TEXT(CC!$C$3:$C$1000,"0")=TEXT(C49,"0"))*IFERROR(CC!$E$3:$E$1000+0,0)),0)</f>
      </c>
      <c r="H49" s="45"/>
      <c r="I49" s="24" t="str">
        <f t="shared" si="5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10"/>
        <v/>
      </c>
      <c r="L49" s="46" t="str">
        <f>IF(C49&lt;&gt;"",_xlfn.XLOOKUP(TEXT(C49,"0"),TEXT(CC!$C$3:$C$1000,"0"),CC!$G$3:$G$1000,""),"")</f>
        <v/>
      </c>
      <c r="N49" s="43"/>
      <c r="O49" s="52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3"/>
    </row>
    <row r="50" spans="3:20" x14ac:dyDescent="0.25">
      <c r="C50" s="74" t="s">
        <v>159</v>
      </c>
      <c r="D50" s="74" t="s">
        <v>3</v>
      </c>
      <c r="E50" s="75">
        <v>1</v>
      </c>
      <c r="F50" s="1">
        <v>131.07</v>
      </c>
      <c r="G50" s="56">
        <f>IFERROR(SUMPRODUCT((TEXT(CC!$C$3:$C$1000,"0")=TEXT(C50,"0"))*IFERROR(CC!$E$3:$E$1000+0,0)),0)</f>
      </c>
      <c r="H50" s="45"/>
      <c r="I50" s="24" t="str">
        <f t="shared" si="5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10"/>
        <v/>
      </c>
      <c r="L50" s="46" t="str">
        <f>IF(C50&lt;&gt;"",_xlfn.XLOOKUP(TEXT(C50,"0"),TEXT(CC!$C$3:$C$1000,"0"),CC!$G$3:$G$1000,""),"")</f>
        <v/>
      </c>
      <c r="N50" s="43"/>
      <c r="O50" s="52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3"/>
    </row>
    <row r="51" spans="3:20" x14ac:dyDescent="0.25">
      <c r="C51" s="76" t="s">
        <v>160</v>
      </c>
      <c r="D51" s="76" t="s">
        <v>3</v>
      </c>
      <c r="E51" s="77">
        <v>1</v>
      </c>
      <c r="F51" s="2">
        <v>117.96</v>
      </c>
      <c r="G51" s="56">
        <f>IFERROR(SUMPRODUCT((TEXT(CC!$C$3:$C$1000,"0")=TEXT(C51,"0"))*IFERROR(CC!$E$3:$E$1000+0,0)),0)</f>
      </c>
      <c r="H51" s="45"/>
      <c r="I51" s="24" t="str">
        <f t="shared" si="5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10"/>
        <v/>
      </c>
      <c r="L51" s="46" t="str">
        <f>IF(C51&lt;&gt;"",_xlfn.XLOOKUP(TEXT(C51,"0"),TEXT(CC!$C$3:$C$1000,"0"),CC!$G$3:$G$1000,""),"")</f>
        <v/>
      </c>
      <c r="N51" s="43"/>
      <c r="O51" s="52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3"/>
    </row>
    <row r="52" spans="3:20" x14ac:dyDescent="0.25">
      <c r="C52" s="74" t="s">
        <v>161</v>
      </c>
      <c r="D52" s="74" t="s">
        <v>3</v>
      </c>
      <c r="E52" s="75">
        <v>1</v>
      </c>
      <c r="F52" s="1">
        <v>1061.56</v>
      </c>
      <c r="G52" s="56">
        <f>IFERROR(SUMPRODUCT((TEXT(CC!$C$3:$C$1000,"0")=TEXT(C52,"0"))*IFERROR(CC!$E$3:$E$1000+0,0)),0)</f>
      </c>
      <c r="H52" s="45"/>
      <c r="I52" s="24" t="str">
        <f t="shared" si="5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10"/>
        <v/>
      </c>
      <c r="L52" s="46" t="str">
        <f>IF(C52&lt;&gt;"",_xlfn.XLOOKUP(TEXT(C52,"0"),TEXT(CC!$C$3:$C$1000,"0"),CC!$G$3:$G$1000,""),"")</f>
        <v/>
      </c>
      <c r="N52" s="43"/>
      <c r="O52" s="52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3"/>
    </row>
    <row r="53" spans="3:20" x14ac:dyDescent="0.25">
      <c r="C53" s="76" t="s">
        <v>162</v>
      </c>
      <c r="D53" s="76" t="s">
        <v>3</v>
      </c>
      <c r="E53" s="77">
        <v>1</v>
      </c>
      <c r="F53" s="2">
        <v>131.07</v>
      </c>
      <c r="G53" s="56">
        <f>IFERROR(SUMPRODUCT((TEXT(CC!$C$3:$C$1000,"0")=TEXT(C53,"0"))*IFERROR(CC!$E$3:$E$1000+0,0)),0)</f>
      </c>
      <c r="H53" s="45"/>
      <c r="I53" s="24" t="str">
        <f t="shared" si="5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10"/>
        <v/>
      </c>
      <c r="L53" s="46" t="str">
        <f>IF(C53&lt;&gt;"",_xlfn.XLOOKUP(TEXT(C53,"0"),TEXT(CC!$C$3:$C$1000,"0"),CC!$G$3:$G$1000,""),"")</f>
        <v/>
      </c>
      <c r="N53" s="43"/>
      <c r="O53" s="52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3"/>
    </row>
    <row r="54" spans="3:20" x14ac:dyDescent="0.25">
      <c r="C54" s="74" t="s">
        <v>163</v>
      </c>
      <c r="D54" s="74" t="s">
        <v>3</v>
      </c>
      <c r="E54" s="75">
        <v>1</v>
      </c>
      <c r="F54" s="1">
        <v>564.66999999999996</v>
      </c>
      <c r="G54" s="56">
        <f>IFERROR(SUMPRODUCT((TEXT(CC!$C$3:$C$1000,"0")=TEXT(C54,"0"))*IFERROR(CC!$E$3:$E$1000+0,0)),0)</f>
      </c>
      <c r="H54" s="45"/>
      <c r="I54" s="24" t="str">
        <f t="shared" si="5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10"/>
        <v/>
      </c>
      <c r="L54" s="46" t="str">
        <f>IF(C54&lt;&gt;"",_xlfn.XLOOKUP(TEXT(C54,"0"),TEXT(CC!$C$3:$C$1000,"0"),CC!$G$3:$G$1000,""),"")</f>
        <v/>
      </c>
      <c r="N54" s="43"/>
      <c r="O54" s="52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3"/>
    </row>
    <row r="55" spans="3:20" x14ac:dyDescent="0.25">
      <c r="C55" s="76" t="s">
        <v>164</v>
      </c>
      <c r="D55" s="76" t="s">
        <v>3</v>
      </c>
      <c r="E55" s="77">
        <v>1</v>
      </c>
      <c r="F55" s="2">
        <v>198.26</v>
      </c>
      <c r="G55" s="56">
        <f>IFERROR(SUMPRODUCT((TEXT(CC!$C$3:$C$1000,"0")=TEXT(C55,"0"))*IFERROR(CC!$E$3:$E$1000+0,0)),0)</f>
      </c>
      <c r="H55" s="45"/>
      <c r="I55" s="24" t="str">
        <f t="shared" si="5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10"/>
        <v/>
      </c>
      <c r="L55" s="46" t="str">
        <f>IF(C55&lt;&gt;"",_xlfn.XLOOKUP(TEXT(C55,"0"),TEXT(CC!$C$3:$C$1000,"0"),CC!$G$3:$G$1000,""),"")</f>
        <v/>
      </c>
      <c r="N55" s="43"/>
      <c r="O55" s="52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3"/>
    </row>
    <row r="56" spans="3:20" x14ac:dyDescent="0.25">
      <c r="C56" s="74" t="s">
        <v>165</v>
      </c>
      <c r="D56" s="74" t="s">
        <v>3</v>
      </c>
      <c r="E56" s="75">
        <v>1</v>
      </c>
      <c r="F56" s="1">
        <v>599.98</v>
      </c>
      <c r="G56" s="56">
        <f>IFERROR(SUMPRODUCT((TEXT(CC!$C$3:$C$1000,"0")=TEXT(C56,"0"))*IFERROR(CC!$E$3:$E$1000+0,0)),0)</f>
      </c>
      <c r="H56" s="45"/>
      <c r="I56" s="24" t="str">
        <f t="shared" si="5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10"/>
        <v/>
      </c>
      <c r="L56" s="46" t="str">
        <f>IF(C56&lt;&gt;"",_xlfn.XLOOKUP(TEXT(C56,"0"),TEXT(CC!$C$3:$C$1000,"0"),CC!$G$3:$G$1000,""),"")</f>
        <v/>
      </c>
      <c r="N56" s="43"/>
      <c r="O56" s="52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3"/>
    </row>
    <row r="57" spans="3:20" x14ac:dyDescent="0.25">
      <c r="C57" s="76" t="s">
        <v>166</v>
      </c>
      <c r="D57" s="76" t="s">
        <v>3</v>
      </c>
      <c r="E57" s="77">
        <v>1</v>
      </c>
      <c r="F57" s="2">
        <v>413.96</v>
      </c>
      <c r="G57" s="56">
        <f>IFERROR(SUMPRODUCT((TEXT(CC!$C$3:$C$1000,"0")=TEXT(C57,"0"))*IFERROR(CC!$E$3:$E$1000+0,0)),0)</f>
      </c>
      <c r="H57" s="45"/>
      <c r="I57" s="24" t="str">
        <f t="shared" si="5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10"/>
        <v/>
      </c>
      <c r="L57" s="46" t="str">
        <f>IF(C57&lt;&gt;"",_xlfn.XLOOKUP(TEXT(C57,"0"),TEXT(CC!$C$3:$C$1000,"0"),CC!$G$3:$G$1000,""),"")</f>
        <v/>
      </c>
      <c r="N57" s="43"/>
      <c r="O57" s="52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3"/>
    </row>
    <row r="58" spans="3:20" x14ac:dyDescent="0.25">
      <c r="C58" s="74" t="s">
        <v>122</v>
      </c>
      <c r="D58" s="74" t="s">
        <v>3</v>
      </c>
      <c r="E58" s="75">
        <v>88</v>
      </c>
      <c r="F58" s="1">
        <v>-604.09</v>
      </c>
      <c r="G58" s="56">
        <f>IFERROR(SUMPRODUCT((TEXT(CC!$C$3:$C$1000,"0")=TEXT(C58,"0"))*IFERROR(CC!$E$3:$E$1000+0,0)),0)</f>
      </c>
      <c r="H58" s="45"/>
      <c r="I58" s="24" t="str">
        <f t="shared" si="5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10"/>
        <v/>
      </c>
      <c r="L58" s="46" t="str">
        <f>IF(C58&lt;&gt;"",_xlfn.XLOOKUP(TEXT(C58,"0"),TEXT(CC!$C$3:$C$1000,"0"),CC!$G$3:$G$1000,""),"")</f>
        <v/>
      </c>
      <c r="N58" s="43"/>
      <c r="O58" s="52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3"/>
    </row>
    <row r="59" spans="3:20" x14ac:dyDescent="0.25">
      <c r="G59" s="56">
        <f>IFERROR(SUMPRODUCT((TEXT(CC!$C$3:$C$1000,"0")=TEXT(C59,"0"))*IFERROR(CC!$E$3:$E$1000+0,0)),0)</f>
      </c>
      <c r="H59" s="45"/>
      <c r="I59" s="24" t="str">
        <f t="shared" si="5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10"/>
        <v/>
      </c>
      <c r="L59" s="46" t="str">
        <f>IF(C59&lt;&gt;"",_xlfn.XLOOKUP(TEXT(C59,"0"),TEXT(CC!$C$3:$C$1000,"0"),CC!$G$3:$G$1000,""),"")</f>
        <v/>
      </c>
      <c r="N59" s="43"/>
      <c r="O59" s="52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3"/>
    </row>
    <row r="60" spans="3:20" x14ac:dyDescent="0.25">
      <c r="G60" s="56">
        <f>IFERROR(SUMPRODUCT((TEXT(CC!$C$3:$C$1000,"0")=TEXT(C60,"0"))*IFERROR(CC!$E$3:$E$1000+0,0)),0)</f>
      </c>
      <c r="H60" s="45"/>
      <c r="I60" s="24" t="str">
        <f t="shared" si="5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10"/>
        <v/>
      </c>
      <c r="L60" s="46" t="str">
        <f>IF(C60&lt;&gt;"",_xlfn.XLOOKUP(TEXT(C60,"0"),TEXT(CC!$C$3:$C$1000,"0"),CC!$G$3:$G$1000,""),"")</f>
        <v/>
      </c>
      <c r="N60" s="43"/>
      <c r="O60" s="52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3"/>
    </row>
    <row r="61" spans="3:20" x14ac:dyDescent="0.25">
      <c r="G61" s="56">
        <f>IFERROR(SUMPRODUCT((TEXT(CC!$C$3:$C$1000,"0")=TEXT(C61,"0"))*IFERROR(CC!$E$3:$E$1000+0,0)),0)</f>
      </c>
      <c r="H61" s="45"/>
      <c r="I61" s="24" t="str">
        <f t="shared" si="5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10"/>
        <v/>
      </c>
      <c r="L61" s="46" t="str">
        <f>IF(C61&lt;&gt;"",_xlfn.XLOOKUP(TEXT(C61,"0"),TEXT(CC!$C$3:$C$1000,"0"),CC!$G$3:$G$1000,""),"")</f>
        <v/>
      </c>
    </row>
    <row r="62" spans="3:20" x14ac:dyDescent="0.25">
      <c r="G62" s="56">
        <f>IFERROR(SUMPRODUCT((TEXT(CC!$C$3:$C$1000,"0")=TEXT(C62,"0"))*IFERROR(CC!$E$3:$E$1000+0,0)),0)</f>
      </c>
      <c r="H62" s="45"/>
      <c r="I62" s="24" t="str">
        <f t="shared" si="5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10"/>
        <v/>
      </c>
      <c r="L62" s="46" t="str">
        <f>IF(C62&lt;&gt;"",_xlfn.XLOOKUP(TEXT(C62,"0"),TEXT(CC!$C$3:$C$1000,"0"),CC!$G$3:$G$1000,""),"")</f>
        <v/>
      </c>
    </row>
    <row r="63" spans="3:20" x14ac:dyDescent="0.25">
      <c r="G63" s="56">
        <f>IFERROR(SUMPRODUCT((TEXT(CC!$C$3:$C$1000,"0")=TEXT(C63,"0"))*IFERROR(CC!$E$3:$E$1000+0,0)),0)</f>
      </c>
      <c r="H63" s="45"/>
      <c r="I63" s="24" t="str">
        <f t="shared" si="5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10"/>
        <v/>
      </c>
      <c r="L63" s="46" t="str">
        <f>IF(C63&lt;&gt;"",_xlfn.XLOOKUP(TEXT(C63,"0"),TEXT(CC!$C$3:$C$1000,"0"),CC!$G$3:$G$1000,""),"")</f>
        <v/>
      </c>
    </row>
    <row r="64" spans="3:20" x14ac:dyDescent="0.25">
      <c r="G64" s="56">
        <f>IFERROR(SUMPRODUCT((TEXT(CC!$C$3:$C$1000,"0")=TEXT(C64,"0"))*IFERROR(CC!$E$3:$E$1000+0,0)),0)</f>
      </c>
      <c r="H64" s="45"/>
      <c r="I64" s="24" t="str">
        <f t="shared" si="5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10"/>
        <v/>
      </c>
      <c r="L64" s="46" t="str">
        <f>IF(C64&lt;&gt;"",_xlfn.XLOOKUP(TEXT(C64,"0"),TEXT(CC!$C$3:$C$1000,"0"),CC!$G$3:$G$1000,""),"")</f>
        <v/>
      </c>
    </row>
    <row r="65" spans="7:12" x14ac:dyDescent="0.25">
      <c r="G65" s="56">
        <f>IFERROR(SUMPRODUCT((TEXT(CC!$C$3:$C$1000,"0")=TEXT(C65,"0"))*IFERROR(CC!$E$3:$E$1000+0,0)),0)</f>
      </c>
      <c r="H65" s="45"/>
      <c r="I65" s="24" t="str">
        <f t="shared" si="5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10"/>
        <v/>
      </c>
      <c r="L65" s="46" t="str">
        <f>IF(C65&lt;&gt;"",_xlfn.XLOOKUP(TEXT(C65,"0"),TEXT(CC!$C$3:$C$1000,"0"),CC!$G$3:$G$1000,""),"")</f>
        <v/>
      </c>
    </row>
    <row r="66" spans="7:12" x14ac:dyDescent="0.25">
      <c r="G66" s="56">
        <f>IFERROR(SUMPRODUCT((TEXT(CC!$C$3:$C$1000,"0")=TEXT(C66,"0"))*IFERROR(CC!$E$3:$E$1000+0,0)),0)</f>
      </c>
      <c r="H66" s="45"/>
      <c r="I66" s="24" t="str">
        <f t="shared" si="5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10"/>
        <v/>
      </c>
      <c r="L66" s="46" t="str">
        <f>IF(C66&lt;&gt;"",_xlfn.XLOOKUP(TEXT(C66,"0"),TEXT(CC!$C$3:$C$1000,"0"),CC!$G$3:$G$1000,""),"")</f>
        <v/>
      </c>
    </row>
    <row r="67" spans="7:12" x14ac:dyDescent="0.25">
      <c r="G67" s="56">
        <f>IFERROR(SUMPRODUCT((TEXT(CC!$C$3:$C$1000,"0")=TEXT(C67,"0"))*IFERROR(CC!$E$3:$E$1000+0,0)),0)</f>
      </c>
      <c r="H67" s="45"/>
      <c r="I67" s="24" t="str">
        <f t="shared" si="5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10"/>
        <v/>
      </c>
      <c r="L67" s="46" t="str">
        <f>IF(C67&lt;&gt;"",_xlfn.XLOOKUP(TEXT(C67,"0"),TEXT(CC!$C$3:$C$1000,"0"),CC!$G$3:$G$1000,""),"")</f>
        <v/>
      </c>
    </row>
    <row r="68" spans="7:12" x14ac:dyDescent="0.25">
      <c r="G68" s="56">
        <f>IFERROR(SUMPRODUCT((TEXT(CC!$C$3:$C$1000,"0")=TEXT(C68,"0"))*IFERROR(CC!$E$3:$E$1000+0,0)),0)</f>
      </c>
      <c r="H68" s="45"/>
      <c r="I68" s="24" t="str">
        <f t="shared" si="5"/>
        <v/>
      </c>
      <c r="J68" s="34" cm="1">
        <f t="array" ref="J68">IFERROR(-_xlfn.IFS(OR(H68="y",H68="Y"),F68,AND(H68&lt;&gt;0,ISNUMBER(H68)),H68,G68&lt;&gt;0,G68),0)</f>
        <v>0</v>
      </c>
      <c r="K68" s="30" t="str">
        <f t="shared" si="10"/>
        <v/>
      </c>
      <c r="L68" s="46" t="str">
        <f>IF(C68&lt;&gt;"",_xlfn.XLOOKUP(TEXT(C68,"0"),TEXT(CC!$C$3:$C$1000,"0"),CC!$G$3:$G$1000,""),"")</f>
        <v/>
      </c>
    </row>
    <row r="69" spans="7:12" x14ac:dyDescent="0.25">
      <c r="G69" s="56">
        <f>IFERROR(SUMPRODUCT((TEXT(CC!$C$3:$C$1000,"0")=TEXT(C69,"0"))*IFERROR(CC!$E$3:$E$1000+0,0)),0)</f>
      </c>
      <c r="H69" s="45"/>
      <c r="I69" s="24" t="str">
        <f t="shared" si="5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10"/>
        <v/>
      </c>
      <c r="L69" s="46" t="str">
        <f>IF(C69&lt;&gt;"",_xlfn.XLOOKUP(TEXT(C69,"0"),TEXT(CC!$C$3:$C$1000,"0"),CC!$G$3:$G$1000,""),"")</f>
        <v/>
      </c>
    </row>
    <row r="70" spans="7:12" x14ac:dyDescent="0.25">
      <c r="G70" s="56">
        <f>IFERROR(SUMPRODUCT((TEXT(CC!$C$3:$C$1000,"0")=TEXT(C70,"0"))*IFERROR(CC!$E$3:$E$1000+0,0)),0)</f>
      </c>
      <c r="H70" s="45"/>
      <c r="I70" s="24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46" t="str">
        <f>IF(C70&lt;&gt;"",_xlfn.XLOOKUP(TEXT(C70,"0"),TEXT(CC!$C$3:$C$1000,"0"),CC!$G$3:$G$1000,""),"")</f>
        <v/>
      </c>
    </row>
    <row r="71" spans="7:12" x14ac:dyDescent="0.25">
      <c r="G71" s="56">
        <f>IFERROR(SUMPRODUCT((TEXT(CC!$C$3:$C$1000,"0")=TEXT(C71,"0"))*IFERROR(CC!$E$3:$E$1000+0,0)),0)</f>
      </c>
      <c r="H71" s="45"/>
      <c r="I71" s="24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46" t="str">
        <f>IF(C71&lt;&gt;"",_xlfn.XLOOKUP(TEXT(C71,"0"),TEXT(CC!$C$3:$C$1000,"0"),CC!$G$3:$G$1000,""),"")</f>
        <v/>
      </c>
    </row>
    <row r="72" spans="7:12" x14ac:dyDescent="0.25">
      <c r="G72" s="56">
        <f>IFERROR(SUMPRODUCT((TEXT(CC!$C$3:$C$1000,"0")=TEXT(C72,"0"))*IFERROR(CC!$E$3:$E$1000+0,0)),0)</f>
      </c>
      <c r="H72" s="45"/>
      <c r="I72" s="24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46" t="str">
        <f>IF(C72&lt;&gt;"",_xlfn.XLOOKUP(TEXT(C72,"0"),TEXT(CC!$C$3:$C$1000,"0"),CC!$G$3:$G$1000,""),"")</f>
        <v/>
      </c>
    </row>
    <row r="73" spans="7:12" x14ac:dyDescent="0.25">
      <c r="G73" s="56">
        <f>IFERROR(SUMPRODUCT((TEXT(CC!$C$3:$C$1000,"0")=TEXT(C73,"0"))*IFERROR(CC!$E$3:$E$1000+0,0)),0)</f>
      </c>
      <c r="H73" s="45"/>
      <c r="I73" s="24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46" t="str">
        <f>IF(C73&lt;&gt;"",_xlfn.XLOOKUP(TEXT(C73,"0"),TEXT(CC!$C$3:$C$1000,"0"),CC!$G$3:$G$1000,""),"")</f>
        <v/>
      </c>
    </row>
    <row r="74" spans="7:12" x14ac:dyDescent="0.25">
      <c r="G74" s="56">
        <f>IFERROR(SUMPRODUCT((TEXT(CC!$C$3:$C$1000,"0")=TEXT(C74,"0"))*IFERROR(CC!$E$3:$E$1000+0,0)),0)</f>
      </c>
      <c r="H74" s="45"/>
      <c r="I74" s="24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46" t="str">
        <f>IF(C74&lt;&gt;"",_xlfn.XLOOKUP(TEXT(C74,"0"),TEXT(CC!$C$3:$C$1000,"0"),CC!$G$3:$G$1000,""),"")</f>
        <v/>
      </c>
    </row>
    <row r="75" spans="7:12" x14ac:dyDescent="0.25">
      <c r="G75" s="56">
        <f>IFERROR(SUMPRODUCT((TEXT(CC!$C$3:$C$1000,"0")=TEXT(C75,"0"))*IFERROR(CC!$E$3:$E$1000+0,0)),0)</f>
      </c>
      <c r="H75" s="45"/>
      <c r="I75" s="24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46" t="str">
        <f>IF(C75&lt;&gt;"",_xlfn.XLOOKUP(TEXT(C75,"0"),TEXT(CC!$C$3:$C$1000,"0"),CC!$G$3:$G$1000,""),"")</f>
        <v/>
      </c>
    </row>
    <row r="76" spans="7:12" x14ac:dyDescent="0.25">
      <c r="G76" s="56">
        <f>IFERROR(SUMPRODUCT((TEXT(CC!$C$3:$C$1000,"0")=TEXT(C76,"0"))*IFERROR(CC!$E$3:$E$1000+0,0)),0)</f>
      </c>
      <c r="H76" s="45"/>
      <c r="I76" s="24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46" t="str">
        <f>IF(C76&lt;&gt;"",_xlfn.XLOOKUP(TEXT(C76,"0"),TEXT(CC!$C$3:$C$1000,"0"),CC!$G$3:$G$1000,""),"")</f>
        <v/>
      </c>
    </row>
    <row r="77" spans="7:12" x14ac:dyDescent="0.25">
      <c r="G77" s="56">
        <f>IFERROR(SUMPRODUCT((TEXT(CC!$C$3:$C$1000,"0")=TEXT(C77,"0"))*IFERROR(CC!$E$3:$E$1000+0,0)),0)</f>
      </c>
      <c r="H77" s="45"/>
      <c r="I77" s="24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46" t="str">
        <f>IF(C77&lt;&gt;"",_xlfn.XLOOKUP(TEXT(C77,"0"),TEXT(CC!$C$3:$C$1000,"0"),CC!$G$3:$G$1000,""),"")</f>
        <v/>
      </c>
    </row>
    <row r="78" spans="7:12" x14ac:dyDescent="0.25">
      <c r="G78" s="56">
        <f>IFERROR(SUMPRODUCT((TEXT(CC!$C$3:$C$1000,"0")=TEXT(C78,"0"))*IFERROR(CC!$E$3:$E$1000+0,0)),0)</f>
      </c>
      <c r="H78" s="45"/>
      <c r="I78" s="24" t="str">
        <f t="shared" si="5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11">IF(J78&lt;&gt;0,C78,"")</f>
        <v/>
      </c>
      <c r="L78" s="46" t="str">
        <f>IF(C78&lt;&gt;"",_xlfn.XLOOKUP(TEXT(C78,"0"),TEXT(CC!$C$3:$C$1000,"0"),CC!$G$3:$G$1000,""),"")</f>
        <v/>
      </c>
    </row>
    <row r="79" spans="7:12" x14ac:dyDescent="0.25">
      <c r="G79" s="56">
        <f>IFERROR(SUMPRODUCT((TEXT(CC!$C$3:$C$1000,"0")=TEXT(C79,"0"))*IFERROR(CC!$E$3:$E$1000+0,0)),0)</f>
      </c>
      <c r="H79" s="45"/>
      <c r="I79" s="24" t="str">
        <f t="shared" si="5"/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11"/>
        <v/>
      </c>
      <c r="L79" s="46" t="str">
        <f>IF(C79&lt;&gt;"",_xlfn.XLOOKUP(TEXT(C79,"0"),TEXT(CC!$C$3:$C$1000,"0"),CC!$G$3:$G$1000,""),"")</f>
        <v/>
      </c>
    </row>
    <row r="80" spans="7:12" x14ac:dyDescent="0.25">
      <c r="G80" s="56">
        <f>IFERROR(SUMPRODUCT((TEXT(CC!$C$3:$C$1000,"0")=TEXT(C80,"0"))*IFERROR(CC!$E$3:$E$1000+0,0)),0)</f>
      </c>
      <c r="H80" s="45"/>
      <c r="I80" s="24" t="str">
        <f t="shared" ref="I80:I143" si="12">IF(J80&lt;&gt;0,"501010","")</f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46" t="str">
        <f>IF(C80&lt;&gt;"",_xlfn.XLOOKUP(TEXT(C80,"0"),TEXT(CC!$C$3:$C$1000,"0"),CC!$G$3:$G$1000,""),"")</f>
        <v/>
      </c>
    </row>
    <row r="81" spans="7:12" x14ac:dyDescent="0.25">
      <c r="G81" s="56">
        <f>IFERROR(SUMPRODUCT((TEXT(CC!$C$3:$C$1000,"0")=TEXT(C81,"0"))*IFERROR(CC!$E$3:$E$1000+0,0)),0)</f>
      </c>
      <c r="H81" s="45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46" t="str">
        <f>IF(C81&lt;&gt;"",_xlfn.XLOOKUP(TEXT(C81,"0"),TEXT(CC!$C$3:$C$1000,"0"),CC!$G$3:$G$1000,""),"")</f>
        <v/>
      </c>
    </row>
    <row r="82" spans="7:12" x14ac:dyDescent="0.25">
      <c r="G82" s="56">
        <f>IFERROR(SUMPRODUCT((TEXT(CC!$C$3:$C$1000,"0")=TEXT(C82,"0"))*IFERROR(CC!$E$3:$E$1000+0,0)),0)</f>
      </c>
      <c r="H82" s="45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46" t="str">
        <f>IF(C82&lt;&gt;"",_xlfn.XLOOKUP(TEXT(C82,"0"),TEXT(CC!$C$3:$C$1000,"0"),CC!$G$3:$G$1000,""),"")</f>
        <v/>
      </c>
    </row>
    <row r="83" spans="7:12" x14ac:dyDescent="0.25">
      <c r="G83" s="56">
        <f>IFERROR(SUMPRODUCT((TEXT(CC!$C$3:$C$1000,"0")=TEXT(C83,"0"))*IFERROR(CC!$E$3:$E$1000+0,0)),0)</f>
      </c>
      <c r="H83" s="45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46" t="str">
        <f>IF(C83&lt;&gt;"",_xlfn.XLOOKUP(TEXT(C83,"0"),TEXT(CC!$C$3:$C$1000,"0"),CC!$G$3:$G$1000,""),"")</f>
        <v/>
      </c>
    </row>
    <row r="84" spans="7:12" x14ac:dyDescent="0.25">
      <c r="G84" s="56">
        <f>IFERROR(SUMPRODUCT((TEXT(CC!$C$3:$C$1000,"0")=TEXT(C84,"0"))*IFERROR(CC!$E$3:$E$1000+0,0)),0)</f>
      </c>
      <c r="H84" s="45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46" t="str">
        <f>IF(C84&lt;&gt;"",_xlfn.XLOOKUP(TEXT(C84,"0"),TEXT(CC!$C$3:$C$1000,"0"),CC!$G$3:$G$1000,""),"")</f>
        <v/>
      </c>
    </row>
    <row r="85" spans="7:12" x14ac:dyDescent="0.25">
      <c r="G85" s="56">
        <f>IFERROR(SUMPRODUCT((TEXT(CC!$C$3:$C$1000,"0")=TEXT(C85,"0"))*IFERROR(CC!$E$3:$E$1000+0,0)),0)</f>
      </c>
      <c r="H85" s="45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46" t="str">
        <f>IF(C85&lt;&gt;"",_xlfn.XLOOKUP(TEXT(C85,"0"),TEXT(CC!$C$3:$C$1000,"0"),CC!$G$3:$G$1000,""),"")</f>
        <v/>
      </c>
    </row>
    <row r="86" spans="7:12" x14ac:dyDescent="0.25">
      <c r="G86" s="56">
        <f>IFERROR(SUMPRODUCT((TEXT(CC!$C$3:$C$1000,"0")=TEXT(C86,"0"))*IFERROR(CC!$E$3:$E$1000+0,0)),0)</f>
      </c>
      <c r="H86" s="45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46" t="str">
        <f>IF(C86&lt;&gt;"",_xlfn.XLOOKUP(TEXT(C86,"0"),TEXT(CC!$C$3:$C$1000,"0"),CC!$G$3:$G$1000,""),"")</f>
        <v/>
      </c>
    </row>
    <row r="87" spans="7:12" x14ac:dyDescent="0.25">
      <c r="G87" s="56">
        <f>IFERROR(SUMPRODUCT((TEXT(CC!$C$3:$C$1000,"0")=TEXT(C87,"0"))*IFERROR(CC!$E$3:$E$1000+0,0)),0)</f>
      </c>
      <c r="H87" s="45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46" t="str">
        <f>IF(C87&lt;&gt;"",_xlfn.XLOOKUP(TEXT(C87,"0"),TEXT(CC!$C$3:$C$1000,"0"),CC!$G$3:$G$1000,""),"")</f>
        <v/>
      </c>
    </row>
    <row r="88" spans="7:12" x14ac:dyDescent="0.25">
      <c r="G88" s="56">
        <f>IFERROR(SUMPRODUCT((TEXT(CC!$C$3:$C$1000,"0")=TEXT(C88,"0"))*IFERROR(CC!$E$3:$E$1000+0,0)),0)</f>
      </c>
      <c r="H88" s="45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46" t="str">
        <f>IF(C88&lt;&gt;"",_xlfn.XLOOKUP(TEXT(C88,"0"),TEXT(CC!$C$3:$C$1000,"0"),CC!$G$3:$G$1000,""),"")</f>
        <v/>
      </c>
    </row>
    <row r="89" spans="7:12" x14ac:dyDescent="0.25">
      <c r="G89" s="56">
        <f>IFERROR(SUMPRODUCT((TEXT(CC!$C$3:$C$1000,"0")=TEXT(C89,"0"))*IFERROR(CC!$E$3:$E$1000+0,0)),0)</f>
      </c>
      <c r="H89" s="45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46" t="str">
        <f>IF(C89&lt;&gt;"",_xlfn.XLOOKUP(TEXT(C89,"0"),TEXT(CC!$C$3:$C$1000,"0"),CC!$G$3:$G$1000,""),"")</f>
        <v/>
      </c>
    </row>
    <row r="90" spans="7:12" x14ac:dyDescent="0.25">
      <c r="G90" s="56">
        <f>IFERROR(SUMPRODUCT((TEXT(CC!$C$3:$C$1000,"0")=TEXT(C90,"0"))*IFERROR(CC!$E$3:$E$1000+0,0)),0)</f>
      </c>
      <c r="H90" s="45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46" t="str">
        <f>IF(C90&lt;&gt;"",_xlfn.XLOOKUP(TEXT(C90,"0"),TEXT(CC!$C$3:$C$1000,"0"),CC!$G$3:$G$1000,""),"")</f>
        <v/>
      </c>
    </row>
    <row r="91" spans="7:12" x14ac:dyDescent="0.25">
      <c r="G91" s="56">
        <f>IFERROR(SUMPRODUCT((TEXT(CC!$C$3:$C$1000,"0")=TEXT(C91,"0"))*IFERROR(CC!$E$3:$E$1000+0,0)),0)</f>
      </c>
      <c r="H91" s="45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46" t="str">
        <f>IF(C91&lt;&gt;"",_xlfn.XLOOKUP(TEXT(C91,"0"),TEXT(CC!$C$3:$C$1000,"0"),CC!$G$3:$G$1000,""),"")</f>
        <v/>
      </c>
    </row>
    <row r="92" spans="7:12" x14ac:dyDescent="0.25">
      <c r="G92" s="56">
        <f>IFERROR(SUMPRODUCT((TEXT(CC!$C$3:$C$1000,"0")=TEXT(C92,"0"))*IFERROR(CC!$E$3:$E$1000+0,0)),0)</f>
      </c>
      <c r="H92" s="45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46" t="str">
        <f>IF(C92&lt;&gt;"",_xlfn.XLOOKUP(TEXT(C92,"0"),TEXT(CC!$C$3:$C$1000,"0"),CC!$G$3:$G$1000,""),"")</f>
        <v/>
      </c>
    </row>
    <row r="93" spans="7:12" x14ac:dyDescent="0.25">
      <c r="G93" s="56">
        <f>IFERROR(SUMPRODUCT((TEXT(CC!$C$3:$C$1000,"0")=TEXT(C93,"0"))*IFERROR(CC!$E$3:$E$1000+0,0)),0)</f>
      </c>
      <c r="H93" s="45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46" t="str">
        <f>IF(C93&lt;&gt;"",_xlfn.XLOOKUP(TEXT(C93,"0"),TEXT(CC!$C$3:$C$1000,"0"),CC!$G$3:$G$1000,""),"")</f>
        <v/>
      </c>
    </row>
    <row r="94" spans="7:12" x14ac:dyDescent="0.25">
      <c r="G94" s="56">
        <f>IFERROR(SUMPRODUCT((TEXT(CC!$C$3:$C$1000,"0")=TEXT(C94,"0"))*IFERROR(CC!$E$3:$E$1000+0,0)),0)</f>
      </c>
      <c r="H94" s="45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46" t="str">
        <f>IF(C94&lt;&gt;"",_xlfn.XLOOKUP(TEXT(C94,"0"),TEXT(CC!$C$3:$C$1000,"0"),CC!$G$3:$G$1000,""),"")</f>
        <v/>
      </c>
    </row>
    <row r="95" spans="7:12" x14ac:dyDescent="0.25">
      <c r="G95" s="56">
        <f>IFERROR(SUMPRODUCT((TEXT(CC!$C$3:$C$1000,"0")=TEXT(C95,"0"))*IFERROR(CC!$E$3:$E$1000+0,0)),0)</f>
      </c>
      <c r="H95" s="45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46" t="str">
        <f>IF(C95&lt;&gt;"",_xlfn.XLOOKUP(TEXT(C95,"0"),TEXT(CC!$C$3:$C$1000,"0"),CC!$G$3:$G$1000,""),"")</f>
        <v/>
      </c>
    </row>
    <row r="96" spans="7:12" x14ac:dyDescent="0.25">
      <c r="G96" s="56">
        <f>IFERROR(SUMPRODUCT((TEXT(CC!$C$3:$C$1000,"0")=TEXT(C96,"0"))*IFERROR(CC!$E$3:$E$1000+0,0)),0)</f>
      </c>
      <c r="H96" s="45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46" t="str">
        <f>IF(C96&lt;&gt;"",_xlfn.XLOOKUP(TEXT(C96,"0"),TEXT(CC!$C$3:$C$1000,"0"),CC!$G$3:$G$1000,""),"")</f>
        <v/>
      </c>
    </row>
    <row r="97" spans="7:12" x14ac:dyDescent="0.25">
      <c r="G97" s="56">
        <f>IFERROR(SUMPRODUCT((TEXT(CC!$C$3:$C$1000,"0")=TEXT(C97,"0"))*IFERROR(CC!$E$3:$E$1000+0,0)),0)</f>
      </c>
      <c r="H97" s="45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46" t="str">
        <f>IF(C97&lt;&gt;"",_xlfn.XLOOKUP(TEXT(C97,"0"),TEXT(CC!$C$3:$C$1000,"0"),CC!$G$3:$G$1000,""),"")</f>
        <v/>
      </c>
    </row>
    <row r="98" spans="7:12" x14ac:dyDescent="0.25">
      <c r="G98" s="56">
        <f>IFERROR(SUMPRODUCT((TEXT(CC!$C$3:$C$1000,"0")=TEXT(C98,"0"))*IFERROR(CC!$E$3:$E$1000+0,0)),0)</f>
      </c>
      <c r="H98" s="45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46" t="str">
        <f>IF(C98&lt;&gt;"",_xlfn.XLOOKUP(TEXT(C98,"0"),TEXT(CC!$C$3:$C$1000,"0"),CC!$G$3:$G$1000,""),"")</f>
        <v/>
      </c>
    </row>
    <row r="99" spans="7:12" x14ac:dyDescent="0.25">
      <c r="G99" s="56">
        <f>IFERROR(SUMPRODUCT((TEXT(CC!$C$3:$C$1000,"0")=TEXT(C99,"0"))*IFERROR(CC!$E$3:$E$1000+0,0)),0)</f>
      </c>
      <c r="H99" s="45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46" t="str">
        <f>IF(C99&lt;&gt;"",_xlfn.XLOOKUP(TEXT(C99,"0"),TEXT(CC!$C$3:$C$1000,"0"),CC!$G$3:$G$1000,""),"")</f>
        <v/>
      </c>
    </row>
    <row r="100" spans="7:12" x14ac:dyDescent="0.25">
      <c r="G100" s="56">
        <f>IFERROR(SUMPRODUCT((TEXT(CC!$C$3:$C$1000,"0")=TEXT(C100,"0"))*IFERROR(CC!$E$3:$E$1000+0,0)),0)</f>
      </c>
      <c r="H100" s="45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46" t="str">
        <f>IF(C100&lt;&gt;"",_xlfn.XLOOKUP(TEXT(C100,"0"),TEXT(CC!$C$3:$C$1000,"0"),CC!$G$3:$G$1000,""),"")</f>
        <v/>
      </c>
    </row>
    <row r="101" spans="7:12" x14ac:dyDescent="0.25">
      <c r="G101" s="56">
        <f>IFERROR(SUMPRODUCT((TEXT(CC!$C$3:$C$1000,"0")=TEXT(C101,"0"))*IFERROR(CC!$E$3:$E$1000+0,0)),0)</f>
      </c>
      <c r="H101" s="45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46" t="str">
        <f>IF(C101&lt;&gt;"",_xlfn.XLOOKUP(TEXT(C101,"0"),TEXT(CC!$C$3:$C$1000,"0"),CC!$G$3:$G$1000,""),"")</f>
        <v/>
      </c>
    </row>
    <row r="102" spans="7:12" x14ac:dyDescent="0.25">
      <c r="G102" s="56">
        <f>IFERROR(SUMPRODUCT((TEXT(CC!$C$3:$C$1000,"0")=TEXT(C102,"0"))*IFERROR(CC!$E$3:$E$1000+0,0)),0)</f>
      </c>
      <c r="H102" s="45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46" t="str">
        <f>IF(C102&lt;&gt;"",_xlfn.XLOOKUP(TEXT(C102,"0"),TEXT(CC!$C$3:$C$1000,"0"),CC!$G$3:$G$1000,""),"")</f>
        <v/>
      </c>
    </row>
    <row r="103" spans="7:12" x14ac:dyDescent="0.25">
      <c r="G103" s="56">
        <f>IFERROR(SUMPRODUCT((TEXT(CC!$C$3:$C$1000,"0")=TEXT(C103,"0"))*IFERROR(CC!$E$3:$E$1000+0,0)),0)</f>
      </c>
      <c r="H103" s="45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46" t="str">
        <f>IF(C103&lt;&gt;"",_xlfn.XLOOKUP(TEXT(C103,"0"),TEXT(CC!$C$3:$C$1000,"0"),CC!$G$3:$G$1000,""),"")</f>
        <v/>
      </c>
    </row>
    <row r="104" spans="7:12" x14ac:dyDescent="0.25">
      <c r="G104" s="56">
        <f>IFERROR(SUMPRODUCT((TEXT(CC!$C$3:$C$1000,"0")=TEXT(C104,"0"))*IFERROR(CC!$E$3:$E$1000+0,0)),0)</f>
      </c>
      <c r="H104" s="45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46" t="str">
        <f>IF(C104&lt;&gt;"",_xlfn.XLOOKUP(TEXT(C104,"0"),TEXT(CC!$C$3:$C$1000,"0"),CC!$G$3:$G$1000,""),"")</f>
        <v/>
      </c>
    </row>
    <row r="105" spans="7:12" x14ac:dyDescent="0.25">
      <c r="G105" s="56">
        <f>IFERROR(SUMPRODUCT((TEXT(CC!$C$3:$C$1000,"0")=TEXT(C105,"0"))*IFERROR(CC!$E$3:$E$1000+0,0)),0)</f>
      </c>
      <c r="H105" s="45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46" t="str">
        <f>IF(C105&lt;&gt;"",_xlfn.XLOOKUP(TEXT(C105,"0"),TEXT(CC!$C$3:$C$1000,"0"),CC!$G$3:$G$1000,""),"")</f>
        <v/>
      </c>
    </row>
    <row r="106" spans="7:12" x14ac:dyDescent="0.25">
      <c r="G106" s="56">
        <f>IFERROR(SUMPRODUCT((TEXT(CC!$C$3:$C$1000,"0")=TEXT(C106,"0"))*IFERROR(CC!$E$3:$E$1000+0,0)),0)</f>
      </c>
      <c r="H106" s="45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46" t="str">
        <f>IF(C106&lt;&gt;"",_xlfn.XLOOKUP(TEXT(C106,"0"),TEXT(CC!$C$3:$C$1000,"0"),CC!$G$3:$G$1000,""),"")</f>
        <v/>
      </c>
    </row>
    <row r="107" spans="7:12" x14ac:dyDescent="0.25">
      <c r="G107" s="56">
        <f>IFERROR(SUMPRODUCT((TEXT(CC!$C$3:$C$1000,"0")=TEXT(C107,"0"))*IFERROR(CC!$E$3:$E$1000+0,0)),0)</f>
      </c>
      <c r="H107" s="45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46" t="str">
        <f>IF(C107&lt;&gt;"",_xlfn.XLOOKUP(TEXT(C107,"0"),TEXT(CC!$C$3:$C$1000,"0"),CC!$G$3:$G$1000,""),"")</f>
        <v/>
      </c>
    </row>
    <row r="108" spans="7:12" x14ac:dyDescent="0.25">
      <c r="G108" s="56">
        <f>IFERROR(SUMPRODUCT((TEXT(CC!$C$3:$C$1000,"0")=TEXT(C108,"0"))*IFERROR(CC!$E$3:$E$1000+0,0)),0)</f>
      </c>
      <c r="H108" s="45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46" t="str">
        <f>IF(C108&lt;&gt;"",_xlfn.XLOOKUP(TEXT(C108,"0"),TEXT(CC!$C$3:$C$1000,"0"),CC!$G$3:$G$1000,""),"")</f>
        <v/>
      </c>
    </row>
    <row r="109" spans="7:12" x14ac:dyDescent="0.25">
      <c r="G109" s="56">
        <f>IFERROR(SUMPRODUCT((TEXT(CC!$C$3:$C$1000,"0")=TEXT(C109,"0"))*IFERROR(CC!$E$3:$E$1000+0,0)),0)</f>
      </c>
      <c r="H109" s="45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46" t="str">
        <f>IF(C109&lt;&gt;"",_xlfn.XLOOKUP(TEXT(C109,"0"),TEXT(CC!$C$3:$C$1000,"0"),CC!$G$3:$G$1000,""),"")</f>
        <v/>
      </c>
    </row>
    <row r="110" spans="7:12" x14ac:dyDescent="0.25">
      <c r="G110" s="56">
        <f>IFERROR(SUMPRODUCT((TEXT(CC!$C$3:$C$1000,"0")=TEXT(C110,"0"))*IFERROR(CC!$E$3:$E$1000+0,0)),0)</f>
      </c>
      <c r="H110" s="45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46" t="str">
        <f>IF(C110&lt;&gt;"",_xlfn.XLOOKUP(TEXT(C110,"0"),TEXT(CC!$C$3:$C$1000,"0"),CC!$G$3:$G$1000,""),"")</f>
        <v/>
      </c>
    </row>
    <row r="111" spans="7:12" x14ac:dyDescent="0.25">
      <c r="G111" s="56">
        <f>IFERROR(SUMPRODUCT((TEXT(CC!$C$3:$C$1000,"0")=TEXT(C111,"0"))*IFERROR(CC!$E$3:$E$1000+0,0)),0)</f>
      </c>
      <c r="H111" s="45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46" t="str">
        <f>IF(C111&lt;&gt;"",_xlfn.XLOOKUP(TEXT(C111,"0"),TEXT(CC!$C$3:$C$1000,"0"),CC!$G$3:$G$1000,""),"")</f>
        <v/>
      </c>
    </row>
    <row r="112" spans="7:12" x14ac:dyDescent="0.25">
      <c r="G112" s="56">
        <f>IFERROR(SUMPRODUCT((TEXT(CC!$C$3:$C$1000,"0")=TEXT(C112,"0"))*IFERROR(CC!$E$3:$E$1000+0,0)),0)</f>
      </c>
      <c r="H112" s="45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46" t="str">
        <f>IF(C112&lt;&gt;"",_xlfn.XLOOKUP(TEXT(C112,"0"),TEXT(CC!$C$3:$C$1000,"0"),CC!$G$3:$G$1000,""),"")</f>
        <v/>
      </c>
    </row>
    <row r="113" spans="7:12" x14ac:dyDescent="0.25">
      <c r="G113" s="56">
        <f>IFERROR(SUMPRODUCT((TEXT(CC!$C$3:$C$1000,"0")=TEXT(C113,"0"))*IFERROR(CC!$E$3:$E$1000+0,0)),0)</f>
      </c>
      <c r="H113" s="45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46" t="str">
        <f>IF(C113&lt;&gt;"",_xlfn.XLOOKUP(TEXT(C113,"0"),TEXT(CC!$C$3:$C$1000,"0"),CC!$G$3:$G$1000,""),"")</f>
        <v/>
      </c>
    </row>
    <row r="114" spans="7:12" x14ac:dyDescent="0.25">
      <c r="G114" s="56">
        <f>IFERROR(SUMPRODUCT((TEXT(CC!$C$3:$C$1000,"0")=TEXT(C114,"0"))*IFERROR(CC!$E$3:$E$1000+0,0)),0)</f>
      </c>
      <c r="H114" s="45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46" t="str">
        <f>IF(C114&lt;&gt;"",_xlfn.XLOOKUP(TEXT(C114,"0"),TEXT(CC!$C$3:$C$1000,"0"),CC!$G$3:$G$1000,""),"")</f>
        <v/>
      </c>
    </row>
    <row r="115" spans="7:12" x14ac:dyDescent="0.25">
      <c r="G115" s="56">
        <f>IFERROR(SUMPRODUCT((TEXT(CC!$C$3:$C$1000,"0")=TEXT(C115,"0"))*IFERROR(CC!$E$3:$E$1000+0,0)),0)</f>
      </c>
      <c r="H115" s="45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46" t="str">
        <f>IF(C115&lt;&gt;"",_xlfn.XLOOKUP(TEXT(C115,"0"),TEXT(CC!$C$3:$C$1000,"0"),CC!$G$3:$G$1000,""),"")</f>
        <v/>
      </c>
    </row>
    <row r="116" spans="7:12" x14ac:dyDescent="0.25">
      <c r="G116" s="56">
        <f>IFERROR(SUMPRODUCT((TEXT(CC!$C$3:$C$1000,"0")=TEXT(C116,"0"))*IFERROR(CC!$E$3:$E$1000+0,0)),0)</f>
      </c>
      <c r="H116" s="45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46" t="str">
        <f>IF(C116&lt;&gt;"",_xlfn.XLOOKUP(TEXT(C116,"0"),TEXT(CC!$C$3:$C$1000,"0"),CC!$G$3:$G$1000,""),"")</f>
        <v/>
      </c>
    </row>
    <row r="117" spans="7:12" x14ac:dyDescent="0.25">
      <c r="G117" s="56">
        <f>IFERROR(SUMPRODUCT((TEXT(CC!$C$3:$C$1000,"0")=TEXT(C117,"0"))*IFERROR(CC!$E$3:$E$1000+0,0)),0)</f>
      </c>
      <c r="H117" s="45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46" t="str">
        <f>IF(C117&lt;&gt;"",_xlfn.XLOOKUP(TEXT(C117,"0"),TEXT(CC!$C$3:$C$1000,"0"),CC!$G$3:$G$1000,""),"")</f>
        <v/>
      </c>
    </row>
    <row r="118" spans="7:12" x14ac:dyDescent="0.25">
      <c r="G118" s="56">
        <f>IFERROR(SUMPRODUCT((TEXT(CC!$C$3:$C$1000,"0")=TEXT(C118,"0"))*IFERROR(CC!$E$3:$E$1000+0,0)),0)</f>
      </c>
      <c r="H118" s="45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46" t="str">
        <f>IF(C118&lt;&gt;"",_xlfn.XLOOKUP(TEXT(C118,"0"),TEXT(CC!$C$3:$C$1000,"0"),CC!$G$3:$G$1000,""),"")</f>
        <v/>
      </c>
    </row>
    <row r="119" spans="7:12" x14ac:dyDescent="0.25">
      <c r="G119" s="56">
        <f>IFERROR(SUMPRODUCT((TEXT(CC!$C$3:$C$1000,"0")=TEXT(C119,"0"))*IFERROR(CC!$E$3:$E$1000+0,0)),0)</f>
      </c>
      <c r="H119" s="45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46" t="str">
        <f>IF(C119&lt;&gt;"",_xlfn.XLOOKUP(TEXT(C119,"0"),TEXT(CC!$C$3:$C$1000,"0"),CC!$G$3:$G$1000,""),"")</f>
        <v/>
      </c>
    </row>
    <row r="120" spans="7:12" x14ac:dyDescent="0.25">
      <c r="G120" s="56">
        <f>IFERROR(SUMPRODUCT((TEXT(CC!$C$3:$C$1000,"0")=TEXT(C120,"0"))*IFERROR(CC!$E$3:$E$1000+0,0)),0)</f>
      </c>
      <c r="H120" s="45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46" t="str">
        <f>IF(C120&lt;&gt;"",_xlfn.XLOOKUP(TEXT(C120,"0"),TEXT(CC!$C$3:$C$1000,"0"),CC!$G$3:$G$1000,""),"")</f>
        <v/>
      </c>
    </row>
    <row r="121" spans="7:12" x14ac:dyDescent="0.25">
      <c r="G121" s="56">
        <f>IFERROR(SUMPRODUCT((TEXT(CC!$C$3:$C$1000,"0")=TEXT(C121,"0"))*IFERROR(CC!$E$3:$E$1000+0,0)),0)</f>
      </c>
      <c r="H121" s="45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46" t="str">
        <f>IF(C121&lt;&gt;"",_xlfn.XLOOKUP(TEXT(C121,"0"),TEXT(CC!$C$3:$C$1000,"0"),CC!$G$3:$G$1000,""),"")</f>
        <v/>
      </c>
    </row>
    <row r="122" spans="7:12" x14ac:dyDescent="0.25">
      <c r="G122" s="56">
        <f>IFERROR(SUMPRODUCT((TEXT(CC!$C$3:$C$1000,"0")=TEXT(C122,"0"))*IFERROR(CC!$E$3:$E$1000+0,0)),0)</f>
      </c>
      <c r="H122" s="45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46" t="str">
        <f>IF(C122&lt;&gt;"",_xlfn.XLOOKUP(TEXT(C122,"0"),TEXT(CC!$C$3:$C$1000,"0"),CC!$G$3:$G$1000,""),"")</f>
        <v/>
      </c>
    </row>
    <row r="123" spans="7:12" x14ac:dyDescent="0.25">
      <c r="G123" s="56">
        <f>IFERROR(SUMPRODUCT((TEXT(CC!$C$3:$C$1000,"0")=TEXT(C123,"0"))*IFERROR(CC!$E$3:$E$1000+0,0)),0)</f>
      </c>
      <c r="H123" s="45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46" t="str">
        <f>IF(C123&lt;&gt;"",_xlfn.XLOOKUP(TEXT(C123,"0"),TEXT(CC!$C$3:$C$1000,"0"),CC!$G$3:$G$1000,""),"")</f>
        <v/>
      </c>
    </row>
    <row r="124" spans="7:12" x14ac:dyDescent="0.25">
      <c r="G124" s="56">
        <f>IFERROR(SUMPRODUCT((TEXT(CC!$C$3:$C$1000,"0")=TEXT(C124,"0"))*IFERROR(CC!$E$3:$E$1000+0,0)),0)</f>
      </c>
      <c r="H124" s="45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46" t="str">
        <f>IF(C124&lt;&gt;"",_xlfn.XLOOKUP(TEXT(C124,"0"),TEXT(CC!$C$3:$C$1000,"0"),CC!$G$3:$G$1000,""),"")</f>
        <v/>
      </c>
    </row>
    <row r="125" spans="7:12" x14ac:dyDescent="0.25">
      <c r="G125" s="56">
        <f>IFERROR(SUMPRODUCT((TEXT(CC!$C$3:$C$1000,"0")=TEXT(C125,"0"))*IFERROR(CC!$E$3:$E$1000+0,0)),0)</f>
      </c>
      <c r="H125" s="45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46" t="str">
        <f>IF(C125&lt;&gt;"",_xlfn.XLOOKUP(TEXT(C125,"0"),TEXT(CC!$C$3:$C$1000,"0"),CC!$G$3:$G$1000,""),"")</f>
        <v/>
      </c>
    </row>
    <row r="126" spans="7:12" x14ac:dyDescent="0.25">
      <c r="G126" s="56">
        <f>IFERROR(SUMPRODUCT((TEXT(CC!$C$3:$C$1000,"0")=TEXT(C126,"0"))*IFERROR(CC!$E$3:$E$1000+0,0)),0)</f>
      </c>
      <c r="H126" s="45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46" t="str">
        <f>IF(C126&lt;&gt;"",_xlfn.XLOOKUP(TEXT(C126,"0"),TEXT(CC!$C$3:$C$1000,"0"),CC!$G$3:$G$1000,""),"")</f>
        <v/>
      </c>
    </row>
    <row r="127" spans="7:12" x14ac:dyDescent="0.25">
      <c r="G127" s="56">
        <f>IFERROR(SUMPRODUCT((TEXT(CC!$C$3:$C$1000,"0")=TEXT(C127,"0"))*IFERROR(CC!$E$3:$E$1000+0,0)),0)</f>
      </c>
      <c r="H127" s="45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46" t="str">
        <f>IF(C127&lt;&gt;"",_xlfn.XLOOKUP(TEXT(C127,"0"),TEXT(CC!$C$3:$C$1000,"0"),CC!$G$3:$G$1000,""),"")</f>
        <v/>
      </c>
    </row>
    <row r="128" spans="7:12" x14ac:dyDescent="0.25">
      <c r="G128" s="56">
        <f>IFERROR(SUMPRODUCT((TEXT(CC!$C$3:$C$1000,"0")=TEXT(C128,"0"))*IFERROR(CC!$E$3:$E$1000+0,0)),0)</f>
      </c>
      <c r="H128" s="45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46" t="str">
        <f>IF(C128&lt;&gt;"",_xlfn.XLOOKUP(TEXT(C128,"0"),TEXT(CC!$C$3:$C$1000,"0"),CC!$G$3:$G$1000,""),"")</f>
        <v/>
      </c>
    </row>
    <row r="129" spans="7:12" x14ac:dyDescent="0.25">
      <c r="G129" s="56">
        <f>IFERROR(SUMPRODUCT((TEXT(CC!$C$3:$C$1000,"0")=TEXT(C129,"0"))*IFERROR(CC!$E$3:$E$1000+0,0)),0)</f>
      </c>
      <c r="H129" s="45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46" t="str">
        <f>IF(C129&lt;&gt;"",_xlfn.XLOOKUP(TEXT(C129,"0"),TEXT(CC!$C$3:$C$1000,"0"),CC!$G$3:$G$1000,""),"")</f>
        <v/>
      </c>
    </row>
    <row r="130" spans="7:12" x14ac:dyDescent="0.25">
      <c r="G130" s="56">
        <f>IFERROR(SUMPRODUCT((TEXT(CC!$C$3:$C$1000,"0")=TEXT(C130,"0"))*IFERROR(CC!$E$3:$E$1000+0,0)),0)</f>
      </c>
      <c r="H130" s="45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46" t="str">
        <f>IF(C130&lt;&gt;"",_xlfn.XLOOKUP(TEXT(C130,"0"),TEXT(CC!$C$3:$C$1000,"0"),CC!$G$3:$G$1000,""),"")</f>
        <v/>
      </c>
    </row>
    <row r="131" spans="7:12" x14ac:dyDescent="0.25">
      <c r="G131" s="56">
        <f>IFERROR(SUMPRODUCT((TEXT(CC!$C$3:$C$1000,"0")=TEXT(C131,"0"))*IFERROR(CC!$E$3:$E$1000+0,0)),0)</f>
      </c>
      <c r="H131" s="45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46" t="str">
        <f>IF(C131&lt;&gt;"",_xlfn.XLOOKUP(TEXT(C131,"0"),TEXT(CC!$C$3:$C$1000,"0"),CC!$G$3:$G$1000,""),"")</f>
        <v/>
      </c>
    </row>
    <row r="132" spans="7:12" x14ac:dyDescent="0.25">
      <c r="G132" s="56">
        <f>IFERROR(SUMPRODUCT((TEXT(CC!$C$3:$C$1000,"0")=TEXT(C132,"0"))*IFERROR(CC!$E$3:$E$1000+0,0)),0)</f>
      </c>
      <c r="H132" s="45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46" t="str">
        <f>IF(C132&lt;&gt;"",_xlfn.XLOOKUP(TEXT(C132,"0"),TEXT(CC!$C$3:$C$1000,"0"),CC!$G$3:$G$1000,""),"")</f>
        <v/>
      </c>
    </row>
    <row r="133" spans="7:12" x14ac:dyDescent="0.25">
      <c r="G133" s="56">
        <f>IFERROR(SUMPRODUCT((TEXT(CC!$C$3:$C$1000,"0")=TEXT(C133,"0"))*IFERROR(CC!$E$3:$E$1000+0,0)),0)</f>
      </c>
      <c r="H133" s="45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46" t="str">
        <f>IF(C133&lt;&gt;"",_xlfn.XLOOKUP(TEXT(C133,"0"),TEXT(CC!$C$3:$C$1000,"0"),CC!$G$3:$G$1000,""),"")</f>
        <v/>
      </c>
    </row>
    <row r="134" spans="7:12" x14ac:dyDescent="0.25">
      <c r="G134" s="56">
        <f>IFERROR(SUMPRODUCT((TEXT(CC!$C$3:$C$1000,"0")=TEXT(C134,"0"))*IFERROR(CC!$E$3:$E$1000+0,0)),0)</f>
      </c>
      <c r="H134" s="45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46" t="str">
        <f>IF(C134&lt;&gt;"",_xlfn.XLOOKUP(TEXT(C134,"0"),TEXT(CC!$C$3:$C$1000,"0"),CC!$G$3:$G$1000,""),"")</f>
        <v/>
      </c>
    </row>
    <row r="135" spans="7:12" x14ac:dyDescent="0.25">
      <c r="G135" s="56">
        <f>IFERROR(SUMPRODUCT((TEXT(CC!$C$3:$C$1000,"0")=TEXT(C135,"0"))*IFERROR(CC!$E$3:$E$1000+0,0)),0)</f>
      </c>
      <c r="H135" s="45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46" t="str">
        <f>IF(C135&lt;&gt;"",_xlfn.XLOOKUP(TEXT(C135,"0"),TEXT(CC!$C$3:$C$1000,"0"),CC!$G$3:$G$1000,""),"")</f>
        <v/>
      </c>
    </row>
    <row r="136" spans="7:12" x14ac:dyDescent="0.25">
      <c r="G136" s="56">
        <f>IFERROR(SUMPRODUCT((TEXT(CC!$C$3:$C$1000,"0")=TEXT(C136,"0"))*IFERROR(CC!$E$3:$E$1000+0,0)),0)</f>
      </c>
      <c r="H136" s="45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46" t="str">
        <f>IF(C136&lt;&gt;"",_xlfn.XLOOKUP(TEXT(C136,"0"),TEXT(CC!$C$3:$C$1000,"0"),CC!$G$3:$G$1000,""),"")</f>
        <v/>
      </c>
    </row>
    <row r="137" spans="7:12" x14ac:dyDescent="0.25">
      <c r="G137" s="56">
        <f>IFERROR(SUMPRODUCT((TEXT(CC!$C$3:$C$1000,"0")=TEXT(C137,"0"))*IFERROR(CC!$E$3:$E$1000+0,0)),0)</f>
      </c>
      <c r="H137" s="45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46" t="str">
        <f>IF(C137&lt;&gt;"",_xlfn.XLOOKUP(TEXT(C137,"0"),TEXT(CC!$C$3:$C$1000,"0"),CC!$G$3:$G$1000,""),"")</f>
        <v/>
      </c>
    </row>
    <row r="138" spans="7:12" x14ac:dyDescent="0.25">
      <c r="G138" s="56">
        <f>IFERROR(SUMPRODUCT((TEXT(CC!$C$3:$C$1000,"0")=TEXT(C138,"0"))*IFERROR(CC!$E$3:$E$1000+0,0)),0)</f>
      </c>
      <c r="H138" s="45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46" t="str">
        <f>IF(C138&lt;&gt;"",_xlfn.XLOOKUP(TEXT(C138,"0"),TEXT(CC!$C$3:$C$1000,"0"),CC!$G$3:$G$1000,""),"")</f>
        <v/>
      </c>
    </row>
    <row r="139" spans="7:12" x14ac:dyDescent="0.25">
      <c r="G139" s="56">
        <f>IFERROR(SUMPRODUCT((TEXT(CC!$C$3:$C$1000,"0")=TEXT(C139,"0"))*IFERROR(CC!$E$3:$E$1000+0,0)),0)</f>
      </c>
      <c r="H139" s="45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46" t="str">
        <f>IF(C139&lt;&gt;"",_xlfn.XLOOKUP(TEXT(C139,"0"),TEXT(CC!$C$3:$C$1000,"0"),CC!$G$3:$G$1000,""),"")</f>
        <v/>
      </c>
    </row>
    <row r="140" spans="7:12" x14ac:dyDescent="0.25">
      <c r="G140" s="56">
        <f>IFERROR(SUMPRODUCT((TEXT(CC!$C$3:$C$1000,"0")=TEXT(C140,"0"))*IFERROR(CC!$E$3:$E$1000+0,0)),0)</f>
      </c>
      <c r="H140" s="45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46" t="str">
        <f>IF(C140&lt;&gt;"",_xlfn.XLOOKUP(TEXT(C140,"0"),TEXT(CC!$C$3:$C$1000,"0"),CC!$G$3:$G$1000,""),"")</f>
        <v/>
      </c>
    </row>
    <row r="141" spans="7:12" x14ac:dyDescent="0.25">
      <c r="G141" s="56">
        <f>IFERROR(SUMPRODUCT((TEXT(CC!$C$3:$C$1000,"0")=TEXT(C141,"0"))*IFERROR(CC!$E$3:$E$1000+0,0)),0)</f>
      </c>
      <c r="H141" s="45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46" t="str">
        <f>IF(C141&lt;&gt;"",_xlfn.XLOOKUP(TEXT(C141,"0"),TEXT(CC!$C$3:$C$1000,"0"),CC!$G$3:$G$1000,""),"")</f>
        <v/>
      </c>
    </row>
    <row r="142" spans="7:12" x14ac:dyDescent="0.25">
      <c r="G142" s="56">
        <f>IFERROR(SUMPRODUCT((TEXT(CC!$C$3:$C$1000,"0")=TEXT(C142,"0"))*IFERROR(CC!$E$3:$E$1000+0,0)),0)</f>
      </c>
      <c r="H142" s="45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46" t="str">
        <f>IF(C142&lt;&gt;"",_xlfn.XLOOKUP(TEXT(C142,"0"),TEXT(CC!$C$3:$C$1000,"0"),CC!$G$3:$G$1000,""),"")</f>
        <v/>
      </c>
    </row>
    <row r="143" spans="7:12" x14ac:dyDescent="0.25">
      <c r="G143" s="56">
        <f>IFERROR(SUMPRODUCT((TEXT(CC!$C$3:$C$1000,"0")=TEXT(C143,"0"))*IFERROR(CC!$E$3:$E$1000+0,0)),0)</f>
      </c>
      <c r="H143" s="45"/>
      <c r="I143" s="24" t="str">
        <f t="shared" si="12"/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46" t="str">
        <f>IF(C143&lt;&gt;"",_xlfn.XLOOKUP(TEXT(C143,"0"),TEXT(CC!$C$3:$C$1000,"0"),CC!$G$3:$G$1000,""),"")</f>
        <v/>
      </c>
    </row>
    <row r="144" spans="7:12" x14ac:dyDescent="0.25">
      <c r="G144" s="56">
        <f>IFERROR(SUMPRODUCT((TEXT(CC!$C$3:$C$1000,"0")=TEXT(C144,"0"))*IFERROR(CC!$E$3:$E$1000+0,0)),0)</f>
      </c>
      <c r="H144" s="45"/>
      <c r="I144" s="24" t="str">
        <f t="shared" ref="I144:I207" si="14">IF(J144&lt;&gt;0,"501010","")</f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46" t="str">
        <f>IF(C144&lt;&gt;"",_xlfn.XLOOKUP(TEXT(C144,"0"),TEXT(CC!$C$3:$C$1000,"0"),CC!$G$3:$G$1000,""),"")</f>
        <v/>
      </c>
    </row>
    <row r="145" spans="7:12" x14ac:dyDescent="0.25">
      <c r="G145" s="56">
        <f>IFERROR(SUMPRODUCT((TEXT(CC!$C$3:$C$1000,"0")=TEXT(C145,"0"))*IFERROR(CC!$E$3:$E$1000+0,0)),0)</f>
      </c>
      <c r="H145" s="45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46" t="str">
        <f>IF(C145&lt;&gt;"",_xlfn.XLOOKUP(TEXT(C145,"0"),TEXT(CC!$C$3:$C$1000,"0"),CC!$G$3:$G$1000,""),"")</f>
        <v/>
      </c>
    </row>
    <row r="146" spans="7:12" x14ac:dyDescent="0.25">
      <c r="G146" s="56">
        <f>IFERROR(SUMPRODUCT((TEXT(CC!$C$3:$C$1000,"0")=TEXT(C146,"0"))*IFERROR(CC!$E$3:$E$1000+0,0)),0)</f>
      </c>
      <c r="H146" s="45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46" t="str">
        <f>IF(C146&lt;&gt;"",_xlfn.XLOOKUP(TEXT(C146,"0"),TEXT(CC!$C$3:$C$1000,"0"),CC!$G$3:$G$1000,""),"")</f>
        <v/>
      </c>
    </row>
    <row r="147" spans="7:12" x14ac:dyDescent="0.25">
      <c r="G147" s="56">
        <f>IFERROR(SUMPRODUCT((TEXT(CC!$C$3:$C$1000,"0")=TEXT(C147,"0"))*IFERROR(CC!$E$3:$E$1000+0,0)),0)</f>
      </c>
      <c r="H147" s="45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46" t="str">
        <f>IF(C147&lt;&gt;"",_xlfn.XLOOKUP(TEXT(C147,"0"),TEXT(CC!$C$3:$C$1000,"0"),CC!$G$3:$G$1000,""),"")</f>
        <v/>
      </c>
    </row>
    <row r="148" spans="7:12" x14ac:dyDescent="0.25">
      <c r="G148" s="56">
        <f>IFERROR(SUMPRODUCT((TEXT(CC!$C$3:$C$1000,"0")=TEXT(C148,"0"))*IFERROR(CC!$E$3:$E$1000+0,0)),0)</f>
      </c>
      <c r="H148" s="45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46" t="str">
        <f>IF(C148&lt;&gt;"",_xlfn.XLOOKUP(TEXT(C148,"0"),TEXT(CC!$C$3:$C$1000,"0"),CC!$G$3:$G$1000,""),"")</f>
        <v/>
      </c>
    </row>
    <row r="149" spans="7:12" x14ac:dyDescent="0.25">
      <c r="G149" s="56">
        <f>IFERROR(SUMPRODUCT((TEXT(CC!$C$3:$C$1000,"0")=TEXT(C149,"0"))*IFERROR(CC!$E$3:$E$1000+0,0)),0)</f>
      </c>
      <c r="H149" s="45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46" t="str">
        <f>IF(C149&lt;&gt;"",_xlfn.XLOOKUP(TEXT(C149,"0"),TEXT(CC!$C$3:$C$1000,"0"),CC!$G$3:$G$1000,""),"")</f>
        <v/>
      </c>
    </row>
    <row r="150" spans="7:12" x14ac:dyDescent="0.25">
      <c r="G150" s="56">
        <f>IFERROR(SUMPRODUCT((TEXT(CC!$C$3:$C$1000,"0")=TEXT(C150,"0"))*IFERROR(CC!$E$3:$E$1000+0,0)),0)</f>
      </c>
      <c r="H150" s="45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46" t="str">
        <f>IF(C150&lt;&gt;"",_xlfn.XLOOKUP(TEXT(C150,"0"),TEXT(CC!$C$3:$C$1000,"0"),CC!$G$3:$G$1000,""),"")</f>
        <v/>
      </c>
    </row>
    <row r="151" spans="7:12" x14ac:dyDescent="0.25">
      <c r="G151" s="56">
        <f>IFERROR(SUMPRODUCT((TEXT(CC!$C$3:$C$1000,"0")=TEXT(C151,"0"))*IFERROR(CC!$E$3:$E$1000+0,0)),0)</f>
      </c>
      <c r="H151" s="45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46" t="str">
        <f>IF(C151&lt;&gt;"",_xlfn.XLOOKUP(TEXT(C151,"0"),TEXT(CC!$C$3:$C$1000,"0"),CC!$G$3:$G$1000,""),"")</f>
        <v/>
      </c>
    </row>
    <row r="152" spans="7:12" x14ac:dyDescent="0.25">
      <c r="G152" s="56">
        <f>IFERROR(SUMPRODUCT((TEXT(CC!$C$3:$C$1000,"0")=TEXT(C152,"0"))*IFERROR(CC!$E$3:$E$1000+0,0)),0)</f>
      </c>
      <c r="H152" s="45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46" t="str">
        <f>IF(C152&lt;&gt;"",_xlfn.XLOOKUP(TEXT(C152,"0"),TEXT(CC!$C$3:$C$1000,"0"),CC!$G$3:$G$1000,""),"")</f>
        <v/>
      </c>
    </row>
    <row r="153" spans="7:12" x14ac:dyDescent="0.25">
      <c r="G153" s="56">
        <f>IFERROR(SUMPRODUCT((TEXT(CC!$C$3:$C$1000,"0")=TEXT(C153,"0"))*IFERROR(CC!$E$3:$E$1000+0,0)),0)</f>
      </c>
      <c r="H153" s="45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46" t="str">
        <f>IF(C153&lt;&gt;"",_xlfn.XLOOKUP(TEXT(C153,"0"),TEXT(CC!$C$3:$C$1000,"0"),CC!$G$3:$G$1000,""),"")</f>
        <v/>
      </c>
    </row>
    <row r="154" spans="7:12" x14ac:dyDescent="0.25">
      <c r="G154" s="56">
        <f>IFERROR(SUMPRODUCT((TEXT(CC!$C$3:$C$1000,"0")=TEXT(C154,"0"))*IFERROR(CC!$E$3:$E$1000+0,0)),0)</f>
      </c>
      <c r="H154" s="45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46" t="str">
        <f>IF(C154&lt;&gt;"",_xlfn.XLOOKUP(TEXT(C154,"0"),TEXT(CC!$C$3:$C$1000,"0"),CC!$G$3:$G$1000,""),"")</f>
        <v/>
      </c>
    </row>
    <row r="155" spans="7:12" x14ac:dyDescent="0.25">
      <c r="G155" s="56">
        <f>IFERROR(SUMPRODUCT((TEXT(CC!$C$3:$C$1000,"0")=TEXT(C155,"0"))*IFERROR(CC!$E$3:$E$1000+0,0)),0)</f>
      </c>
      <c r="H155" s="45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46" t="str">
        <f>IF(C155&lt;&gt;"",_xlfn.XLOOKUP(TEXT(C155,"0"),TEXT(CC!$C$3:$C$1000,"0"),CC!$G$3:$G$1000,""),"")</f>
        <v/>
      </c>
    </row>
    <row r="156" spans="7:12" x14ac:dyDescent="0.25">
      <c r="G156" s="56">
        <f>IFERROR(SUMPRODUCT((TEXT(CC!$C$3:$C$1000,"0")=TEXT(C156,"0"))*IFERROR(CC!$E$3:$E$1000+0,0)),0)</f>
      </c>
      <c r="H156" s="45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46" t="str">
        <f>IF(C156&lt;&gt;"",_xlfn.XLOOKUP(TEXT(C156,"0"),TEXT(CC!$C$3:$C$1000,"0"),CC!$G$3:$G$1000,""),"")</f>
        <v/>
      </c>
    </row>
    <row r="157" spans="7:12" x14ac:dyDescent="0.25">
      <c r="G157" s="56">
        <f>IFERROR(SUMPRODUCT((TEXT(CC!$C$3:$C$1000,"0")=TEXT(C157,"0"))*IFERROR(CC!$E$3:$E$1000+0,0)),0)</f>
      </c>
      <c r="H157" s="45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46" t="str">
        <f>IF(C157&lt;&gt;"",_xlfn.XLOOKUP(TEXT(C157,"0"),TEXT(CC!$C$3:$C$1000,"0"),CC!$G$3:$G$1000,""),"")</f>
        <v/>
      </c>
    </row>
    <row r="158" spans="7:12" x14ac:dyDescent="0.25">
      <c r="G158" s="56">
        <f>IFERROR(SUMPRODUCT((TEXT(CC!$C$3:$C$1000,"0")=TEXT(C158,"0"))*IFERROR(CC!$E$3:$E$1000+0,0)),0)</f>
      </c>
      <c r="H158" s="45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46" t="str">
        <f>IF(C158&lt;&gt;"",_xlfn.XLOOKUP(TEXT(C158,"0"),TEXT(CC!$C$3:$C$1000,"0"),CC!$G$3:$G$1000,""),"")</f>
        <v/>
      </c>
    </row>
    <row r="159" spans="7:12" x14ac:dyDescent="0.25">
      <c r="G159" s="56">
        <f>IFERROR(SUMPRODUCT((TEXT(CC!$C$3:$C$1000,"0")=TEXT(C159,"0"))*IFERROR(CC!$E$3:$E$1000+0,0)),0)</f>
      </c>
      <c r="H159" s="45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46" t="str">
        <f>IF(C159&lt;&gt;"",_xlfn.XLOOKUP(TEXT(C159,"0"),TEXT(CC!$C$3:$C$1000,"0"),CC!$G$3:$G$1000,""),"")</f>
        <v/>
      </c>
    </row>
    <row r="160" spans="7:12" x14ac:dyDescent="0.25">
      <c r="G160" s="56">
        <f>IFERROR(SUMPRODUCT((TEXT(CC!$C$3:$C$1000,"0")=TEXT(C160,"0"))*IFERROR(CC!$E$3:$E$1000+0,0)),0)</f>
      </c>
      <c r="H160" s="45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46" t="str">
        <f>IF(C160&lt;&gt;"",_xlfn.XLOOKUP(TEXT(C160,"0"),TEXT(CC!$C$3:$C$1000,"0"),CC!$G$3:$G$1000,""),"")</f>
        <v/>
      </c>
    </row>
    <row r="161" spans="7:12" x14ac:dyDescent="0.25">
      <c r="G161" s="56">
        <f>IFERROR(SUMPRODUCT((TEXT(CC!$C$3:$C$1000,"0")=TEXT(C161,"0"))*IFERROR(CC!$E$3:$E$1000+0,0)),0)</f>
      </c>
      <c r="H161" s="45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46" t="str">
        <f>IF(C161&lt;&gt;"",_xlfn.XLOOKUP(TEXT(C161,"0"),TEXT(CC!$C$3:$C$1000,"0"),CC!$G$3:$G$1000,""),"")</f>
        <v/>
      </c>
    </row>
    <row r="162" spans="7:12" x14ac:dyDescent="0.25">
      <c r="G162" s="56">
        <f>IFERROR(SUMPRODUCT((TEXT(CC!$C$3:$C$1000,"0")=TEXT(C162,"0"))*IFERROR(CC!$E$3:$E$1000+0,0)),0)</f>
      </c>
      <c r="H162" s="45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46" t="str">
        <f>IF(C162&lt;&gt;"",_xlfn.XLOOKUP(TEXT(C162,"0"),TEXT(CC!$C$3:$C$1000,"0"),CC!$G$3:$G$1000,""),"")</f>
        <v/>
      </c>
    </row>
    <row r="163" spans="7:12" x14ac:dyDescent="0.25">
      <c r="G163" s="56">
        <f>IFERROR(SUMPRODUCT((TEXT(CC!$C$3:$C$1000,"0")=TEXT(C163,"0"))*IFERROR(CC!$E$3:$E$1000+0,0)),0)</f>
      </c>
      <c r="H163" s="45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46" t="str">
        <f>IF(C163&lt;&gt;"",_xlfn.XLOOKUP(TEXT(C163,"0"),TEXT(CC!$C$3:$C$1000,"0"),CC!$G$3:$G$1000,""),"")</f>
        <v/>
      </c>
    </row>
    <row r="164" spans="7:12" x14ac:dyDescent="0.25">
      <c r="G164" s="56">
        <f>IFERROR(SUMPRODUCT((TEXT(CC!$C$3:$C$1000,"0")=TEXT(C164,"0"))*IFERROR(CC!$E$3:$E$1000+0,0)),0)</f>
      </c>
      <c r="H164" s="45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46" t="str">
        <f>IF(C164&lt;&gt;"",_xlfn.XLOOKUP(TEXT(C164,"0"),TEXT(CC!$C$3:$C$1000,"0"),CC!$G$3:$G$1000,""),"")</f>
        <v/>
      </c>
    </row>
    <row r="165" spans="7:12" x14ac:dyDescent="0.25">
      <c r="G165" s="56">
        <f>IFERROR(SUMPRODUCT((TEXT(CC!$C$3:$C$1000,"0")=TEXT(C165,"0"))*IFERROR(CC!$E$3:$E$1000+0,0)),0)</f>
      </c>
      <c r="H165" s="45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46" t="str">
        <f>IF(C165&lt;&gt;"",_xlfn.XLOOKUP(TEXT(C165,"0"),TEXT(CC!$C$3:$C$1000,"0"),CC!$G$3:$G$1000,""),"")</f>
        <v/>
      </c>
    </row>
    <row r="166" spans="7:12" x14ac:dyDescent="0.25">
      <c r="G166" s="56">
        <f>IFERROR(SUMPRODUCT((TEXT(CC!$C$3:$C$1000,"0")=TEXT(C166,"0"))*IFERROR(CC!$E$3:$E$1000+0,0)),0)</f>
      </c>
      <c r="H166" s="45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46" t="str">
        <f>IF(C166&lt;&gt;"",_xlfn.XLOOKUP(TEXT(C166,"0"),TEXT(CC!$C$3:$C$1000,"0"),CC!$G$3:$G$1000,""),"")</f>
        <v/>
      </c>
    </row>
    <row r="167" spans="7:12" x14ac:dyDescent="0.25">
      <c r="G167" s="56">
        <f>IFERROR(SUMPRODUCT((TEXT(CC!$C$3:$C$1000,"0")=TEXT(C167,"0"))*IFERROR(CC!$E$3:$E$1000+0,0)),0)</f>
      </c>
      <c r="H167" s="45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46" t="str">
        <f>IF(C167&lt;&gt;"",_xlfn.XLOOKUP(TEXT(C167,"0"),TEXT(CC!$C$3:$C$1000,"0"),CC!$G$3:$G$1000,""),"")</f>
        <v/>
      </c>
    </row>
    <row r="168" spans="7:12" x14ac:dyDescent="0.25">
      <c r="G168" s="56">
        <f>IFERROR(SUMPRODUCT((TEXT(CC!$C$3:$C$1000,"0")=TEXT(C168,"0"))*IFERROR(CC!$E$3:$E$1000+0,0)),0)</f>
      </c>
      <c r="H168" s="45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46" t="str">
        <f>IF(C168&lt;&gt;"",_xlfn.XLOOKUP(TEXT(C168,"0"),TEXT(CC!$C$3:$C$1000,"0"),CC!$G$3:$G$1000,""),"")</f>
        <v/>
      </c>
    </row>
    <row r="169" spans="7:12" x14ac:dyDescent="0.25">
      <c r="G169" s="56">
        <f>IFERROR(SUMPRODUCT((TEXT(CC!$C$3:$C$1000,"0")=TEXT(C169,"0"))*IFERROR(CC!$E$3:$E$1000+0,0)),0)</f>
      </c>
      <c r="H169" s="45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46" t="str">
        <f>IF(C169&lt;&gt;"",_xlfn.XLOOKUP(TEXT(C169,"0"),TEXT(CC!$C$3:$C$1000,"0"),CC!$G$3:$G$1000,""),"")</f>
        <v/>
      </c>
    </row>
    <row r="170" spans="7:12" x14ac:dyDescent="0.25">
      <c r="G170" s="56">
        <f>IFERROR(SUMPRODUCT((TEXT(CC!$C$3:$C$1000,"0")=TEXT(C170,"0"))*IFERROR(CC!$E$3:$E$1000+0,0)),0)</f>
      </c>
      <c r="H170" s="45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46" t="str">
        <f>IF(C170&lt;&gt;"",_xlfn.XLOOKUP(TEXT(C170,"0"),TEXT(CC!$C$3:$C$1000,"0"),CC!$G$3:$G$1000,""),"")</f>
        <v/>
      </c>
    </row>
    <row r="171" spans="7:12" x14ac:dyDescent="0.25">
      <c r="G171" s="56">
        <f>IFERROR(SUMPRODUCT((TEXT(CC!$C$3:$C$1000,"0")=TEXT(C171,"0"))*IFERROR(CC!$E$3:$E$1000+0,0)),0)</f>
      </c>
      <c r="H171" s="45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46" t="str">
        <f>IF(C171&lt;&gt;"",_xlfn.XLOOKUP(TEXT(C171,"0"),TEXT(CC!$C$3:$C$1000,"0"),CC!$G$3:$G$1000,""),"")</f>
        <v/>
      </c>
    </row>
    <row r="172" spans="7:12" x14ac:dyDescent="0.25">
      <c r="G172" s="56">
        <f>IFERROR(SUMPRODUCT((TEXT(CC!$C$3:$C$1000,"0")=TEXT(C172,"0"))*IFERROR(CC!$E$3:$E$1000+0,0)),0)</f>
      </c>
      <c r="H172" s="45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46" t="str">
        <f>IF(C172&lt;&gt;"",_xlfn.XLOOKUP(TEXT(C172,"0"),TEXT(CC!$C$3:$C$1000,"0"),CC!$G$3:$G$1000,""),"")</f>
        <v/>
      </c>
    </row>
    <row r="173" spans="7:12" x14ac:dyDescent="0.25">
      <c r="G173" s="56">
        <f>IFERROR(SUMPRODUCT((TEXT(CC!$C$3:$C$1000,"0")=TEXT(C173,"0"))*IFERROR(CC!$E$3:$E$1000+0,0)),0)</f>
      </c>
      <c r="H173" s="45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46" t="str">
        <f>IF(C173&lt;&gt;"",_xlfn.XLOOKUP(TEXT(C173,"0"),TEXT(CC!$C$3:$C$1000,"0"),CC!$G$3:$G$1000,""),"")</f>
        <v/>
      </c>
    </row>
    <row r="174" spans="7:12" x14ac:dyDescent="0.25">
      <c r="G174" s="56">
        <f>IFERROR(SUMPRODUCT((TEXT(CC!$C$3:$C$1000,"0")=TEXT(C174,"0"))*IFERROR(CC!$E$3:$E$1000+0,0)),0)</f>
      </c>
      <c r="H174" s="45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46" t="str">
        <f>IF(C174&lt;&gt;"",_xlfn.XLOOKUP(TEXT(C174,"0"),TEXT(CC!$C$3:$C$1000,"0"),CC!$G$3:$G$1000,""),"")</f>
        <v/>
      </c>
    </row>
    <row r="175" spans="7:12" x14ac:dyDescent="0.25">
      <c r="G175" s="56">
        <f>IFERROR(SUMPRODUCT((TEXT(CC!$C$3:$C$1000,"0")=TEXT(C175,"0"))*IFERROR(CC!$E$3:$E$1000+0,0)),0)</f>
      </c>
      <c r="H175" s="45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46" t="str">
        <f>IF(C175&lt;&gt;"",_xlfn.XLOOKUP(TEXT(C175,"0"),TEXT(CC!$C$3:$C$1000,"0"),CC!$G$3:$G$1000,""),"")</f>
        <v/>
      </c>
    </row>
    <row r="176" spans="7:12" x14ac:dyDescent="0.25">
      <c r="G176" s="56">
        <f>IFERROR(SUMPRODUCT((TEXT(CC!$C$3:$C$1000,"0")=TEXT(C176,"0"))*IFERROR(CC!$E$3:$E$1000+0,0)),0)</f>
      </c>
      <c r="H176" s="45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46" t="str">
        <f>IF(C176&lt;&gt;"",_xlfn.XLOOKUP(TEXT(C176,"0"),TEXT(CC!$C$3:$C$1000,"0"),CC!$G$3:$G$1000,""),"")</f>
        <v/>
      </c>
    </row>
    <row r="177" spans="7:12" x14ac:dyDescent="0.25">
      <c r="G177" s="56">
        <f>IFERROR(SUMPRODUCT((TEXT(CC!$C$3:$C$1000,"0")=TEXT(C177,"0"))*IFERROR(CC!$E$3:$E$1000+0,0)),0)</f>
      </c>
      <c r="H177" s="45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46" t="str">
        <f>IF(C177&lt;&gt;"",_xlfn.XLOOKUP(TEXT(C177,"0"),TEXT(CC!$C$3:$C$1000,"0"),CC!$G$3:$G$1000,""),"")</f>
        <v/>
      </c>
    </row>
    <row r="178" spans="7:12" x14ac:dyDescent="0.25">
      <c r="G178" s="56">
        <f>IFERROR(SUMPRODUCT((TEXT(CC!$C$3:$C$1000,"0")=TEXT(C178,"0"))*IFERROR(CC!$E$3:$E$1000+0,0)),0)</f>
      </c>
      <c r="H178" s="45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46" t="str">
        <f>IF(C178&lt;&gt;"",_xlfn.XLOOKUP(TEXT(C178,"0"),TEXT(CC!$C$3:$C$1000,"0"),CC!$G$3:$G$1000,""),"")</f>
        <v/>
      </c>
    </row>
    <row r="179" spans="7:12" x14ac:dyDescent="0.25">
      <c r="G179" s="56">
        <f>IFERROR(SUMPRODUCT((TEXT(CC!$C$3:$C$1000,"0")=TEXT(C179,"0"))*IFERROR(CC!$E$3:$E$1000+0,0)),0)</f>
      </c>
      <c r="H179" s="45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46" t="str">
        <f>IF(C179&lt;&gt;"",_xlfn.XLOOKUP(TEXT(C179,"0"),TEXT(CC!$C$3:$C$1000,"0"),CC!$G$3:$G$1000,""),"")</f>
        <v/>
      </c>
    </row>
    <row r="180" spans="7:12" x14ac:dyDescent="0.25">
      <c r="G180" s="56">
        <f>IFERROR(SUMPRODUCT((TEXT(CC!$C$3:$C$1000,"0")=TEXT(C180,"0"))*IFERROR(CC!$E$3:$E$1000+0,0)),0)</f>
      </c>
      <c r="H180" s="45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46" t="str">
        <f>IF(C180&lt;&gt;"",_xlfn.XLOOKUP(TEXT(C180,"0"),TEXT(CC!$C$3:$C$1000,"0"),CC!$G$3:$G$1000,""),"")</f>
        <v/>
      </c>
    </row>
    <row r="181" spans="7:12" x14ac:dyDescent="0.25">
      <c r="G181" s="56">
        <f>IFERROR(SUMPRODUCT((TEXT(CC!$C$3:$C$1000,"0")=TEXT(C181,"0"))*IFERROR(CC!$E$3:$E$1000+0,0)),0)</f>
      </c>
      <c r="H181" s="45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46" t="str">
        <f>IF(C181&lt;&gt;"",_xlfn.XLOOKUP(TEXT(C181,"0"),TEXT(CC!$C$3:$C$1000,"0"),CC!$G$3:$G$1000,""),"")</f>
        <v/>
      </c>
    </row>
    <row r="182" spans="7:12" x14ac:dyDescent="0.25">
      <c r="G182" s="56">
        <f>IFERROR(SUMPRODUCT((TEXT(CC!$C$3:$C$1000,"0")=TEXT(C182,"0"))*IFERROR(CC!$E$3:$E$1000+0,0)),0)</f>
      </c>
      <c r="H182" s="45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46" t="str">
        <f>IF(C182&lt;&gt;"",_xlfn.XLOOKUP(TEXT(C182,"0"),TEXT(CC!$C$3:$C$1000,"0"),CC!$G$3:$G$1000,""),"")</f>
        <v/>
      </c>
    </row>
    <row r="183" spans="7:12" x14ac:dyDescent="0.25">
      <c r="G183" s="56">
        <f>IFERROR(SUMPRODUCT((TEXT(CC!$C$3:$C$1000,"0")=TEXT(C183,"0"))*IFERROR(CC!$E$3:$E$1000+0,0)),0)</f>
      </c>
      <c r="H183" s="45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46" t="str">
        <f>IF(C183&lt;&gt;"",_xlfn.XLOOKUP(TEXT(C183,"0"),TEXT(CC!$C$3:$C$1000,"0"),CC!$G$3:$G$1000,""),"")</f>
        <v/>
      </c>
    </row>
    <row r="184" spans="7:12" x14ac:dyDescent="0.25">
      <c r="G184" s="56">
        <f>IFERROR(SUMPRODUCT((TEXT(CC!$C$3:$C$1000,"0")=TEXT(C184,"0"))*IFERROR(CC!$E$3:$E$1000+0,0)),0)</f>
      </c>
      <c r="H184" s="45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46" t="str">
        <f>IF(C184&lt;&gt;"",_xlfn.XLOOKUP(TEXT(C184,"0"),TEXT(CC!$C$3:$C$1000,"0"),CC!$G$3:$G$1000,""),"")</f>
        <v/>
      </c>
    </row>
    <row r="185" spans="7:12" x14ac:dyDescent="0.25">
      <c r="G185" s="56">
        <f>IFERROR(SUMPRODUCT((TEXT(CC!$C$3:$C$1000,"0")=TEXT(C185,"0"))*IFERROR(CC!$E$3:$E$1000+0,0)),0)</f>
      </c>
      <c r="H185" s="45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46" t="str">
        <f>IF(C185&lt;&gt;"",_xlfn.XLOOKUP(TEXT(C185,"0"),TEXT(CC!$C$3:$C$1000,"0"),CC!$G$3:$G$1000,""),"")</f>
        <v/>
      </c>
    </row>
    <row r="186" spans="7:12" x14ac:dyDescent="0.25">
      <c r="G186" s="56">
        <f>IFERROR(SUMPRODUCT((TEXT(CC!$C$3:$C$1000,"0")=TEXT(C186,"0"))*IFERROR(CC!$E$3:$E$1000+0,0)),0)</f>
      </c>
      <c r="H186" s="45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46" t="str">
        <f>IF(C186&lt;&gt;"",_xlfn.XLOOKUP(TEXT(C186,"0"),TEXT(CC!$C$3:$C$1000,"0"),CC!$G$3:$G$1000,""),"")</f>
        <v/>
      </c>
    </row>
    <row r="187" spans="7:12" x14ac:dyDescent="0.25">
      <c r="G187" s="56">
        <f>IFERROR(SUMPRODUCT((TEXT(CC!$C$3:$C$1000,"0")=TEXT(C187,"0"))*IFERROR(CC!$E$3:$E$1000+0,0)),0)</f>
      </c>
      <c r="H187" s="45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46" t="str">
        <f>IF(C187&lt;&gt;"",_xlfn.XLOOKUP(TEXT(C187,"0"),TEXT(CC!$C$3:$C$1000,"0"),CC!$G$3:$G$1000,""),"")</f>
        <v/>
      </c>
    </row>
    <row r="188" spans="7:12" x14ac:dyDescent="0.25">
      <c r="G188" s="56">
        <f>IFERROR(SUMPRODUCT((TEXT(CC!$C$3:$C$1000,"0")=TEXT(C188,"0"))*IFERROR(CC!$E$3:$E$1000+0,0)),0)</f>
      </c>
      <c r="H188" s="45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46" t="str">
        <f>IF(C188&lt;&gt;"",_xlfn.XLOOKUP(TEXT(C188,"0"),TEXT(CC!$C$3:$C$1000,"0"),CC!$G$3:$G$1000,""),"")</f>
        <v/>
      </c>
    </row>
    <row r="189" spans="7:12" x14ac:dyDescent="0.25">
      <c r="G189" s="56">
        <f>IFERROR(SUMPRODUCT((TEXT(CC!$C$3:$C$1000,"0")=TEXT(C189,"0"))*IFERROR(CC!$E$3:$E$1000+0,0)),0)</f>
      </c>
      <c r="H189" s="45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46" t="str">
        <f>IF(C189&lt;&gt;"",_xlfn.XLOOKUP(TEXT(C189,"0"),TEXT(CC!$C$3:$C$1000,"0"),CC!$G$3:$G$1000,""),"")</f>
        <v/>
      </c>
    </row>
    <row r="190" spans="7:12" x14ac:dyDescent="0.25">
      <c r="G190" s="56">
        <f>IFERROR(SUMPRODUCT((TEXT(CC!$C$3:$C$1000,"0")=TEXT(C190,"0"))*IFERROR(CC!$E$3:$E$1000+0,0)),0)</f>
      </c>
      <c r="H190" s="45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46" t="str">
        <f>IF(C190&lt;&gt;"",_xlfn.XLOOKUP(TEXT(C190,"0"),TEXT(CC!$C$3:$C$1000,"0"),CC!$G$3:$G$1000,""),"")</f>
        <v/>
      </c>
    </row>
    <row r="191" spans="7:12" x14ac:dyDescent="0.25">
      <c r="G191" s="56">
        <f>IFERROR(SUMPRODUCT((TEXT(CC!$C$3:$C$1000,"0")=TEXT(C191,"0"))*IFERROR(CC!$E$3:$E$1000+0,0)),0)</f>
      </c>
      <c r="H191" s="45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46" t="str">
        <f>IF(C191&lt;&gt;"",_xlfn.XLOOKUP(TEXT(C191,"0"),TEXT(CC!$C$3:$C$1000,"0"),CC!$G$3:$G$1000,""),"")</f>
        <v/>
      </c>
    </row>
    <row r="192" spans="7:12" x14ac:dyDescent="0.25">
      <c r="G192" s="56">
        <f>IFERROR(SUMPRODUCT((TEXT(CC!$C$3:$C$1000,"0")=TEXT(C192,"0"))*IFERROR(CC!$E$3:$E$1000+0,0)),0)</f>
      </c>
      <c r="H192" s="45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46" t="str">
        <f>IF(C192&lt;&gt;"",_xlfn.XLOOKUP(TEXT(C192,"0"),TEXT(CC!$C$3:$C$1000,"0"),CC!$G$3:$G$1000,""),"")</f>
        <v/>
      </c>
    </row>
    <row r="193" spans="7:12" x14ac:dyDescent="0.25">
      <c r="G193" s="56">
        <f>IFERROR(SUMPRODUCT((TEXT(CC!$C$3:$C$1000,"0")=TEXT(C193,"0"))*IFERROR(CC!$E$3:$E$1000+0,0)),0)</f>
      </c>
      <c r="H193" s="45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46" t="str">
        <f>IF(C193&lt;&gt;"",_xlfn.XLOOKUP(TEXT(C193,"0"),TEXT(CC!$C$3:$C$1000,"0"),CC!$G$3:$G$1000,""),"")</f>
        <v/>
      </c>
    </row>
    <row r="194" spans="7:12" x14ac:dyDescent="0.25">
      <c r="G194" s="56">
        <f>IFERROR(SUMPRODUCT((TEXT(CC!$C$3:$C$1000,"0")=TEXT(C194,"0"))*IFERROR(CC!$E$3:$E$1000+0,0)),0)</f>
      </c>
      <c r="H194" s="45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46" t="str">
        <f>IF(C194&lt;&gt;"",_xlfn.XLOOKUP(TEXT(C194,"0"),TEXT(CC!$C$3:$C$1000,"0"),CC!$G$3:$G$1000,""),"")</f>
        <v/>
      </c>
    </row>
    <row r="195" spans="7:12" x14ac:dyDescent="0.25">
      <c r="G195" s="56">
        <f>IFERROR(SUMPRODUCT((TEXT(CC!$C$3:$C$1000,"0")=TEXT(C195,"0"))*IFERROR(CC!$E$3:$E$1000+0,0)),0)</f>
      </c>
      <c r="H195" s="45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46" t="str">
        <f>IF(C195&lt;&gt;"",_xlfn.XLOOKUP(TEXT(C195,"0"),TEXT(CC!$C$3:$C$1000,"0"),CC!$G$3:$G$1000,""),"")</f>
        <v/>
      </c>
    </row>
    <row r="196" spans="7:12" x14ac:dyDescent="0.25">
      <c r="G196" s="56">
        <f>IFERROR(SUMPRODUCT((TEXT(CC!$C$3:$C$1000,"0")=TEXT(C196,"0"))*IFERROR(CC!$E$3:$E$1000+0,0)),0)</f>
      </c>
      <c r="H196" s="45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46" t="str">
        <f>IF(C196&lt;&gt;"",_xlfn.XLOOKUP(TEXT(C196,"0"),TEXT(CC!$C$3:$C$1000,"0"),CC!$G$3:$G$1000,""),"")</f>
        <v/>
      </c>
    </row>
    <row r="197" spans="7:12" x14ac:dyDescent="0.25">
      <c r="G197" s="56">
        <f>IFERROR(SUMPRODUCT((TEXT(CC!$C$3:$C$1000,"0")=TEXT(C197,"0"))*IFERROR(CC!$E$3:$E$1000+0,0)),0)</f>
      </c>
      <c r="H197" s="45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46" t="str">
        <f>IF(C197&lt;&gt;"",_xlfn.XLOOKUP(TEXT(C197,"0"),TEXT(CC!$C$3:$C$1000,"0"),CC!$G$3:$G$1000,""),"")</f>
        <v/>
      </c>
    </row>
    <row r="198" spans="7:12" x14ac:dyDescent="0.25">
      <c r="G198" s="56">
        <f>IFERROR(SUMPRODUCT((TEXT(CC!$C$3:$C$1000,"0")=TEXT(C198,"0"))*IFERROR(CC!$E$3:$E$1000+0,0)),0)</f>
      </c>
      <c r="H198" s="45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46" t="str">
        <f>IF(C198&lt;&gt;"",_xlfn.XLOOKUP(TEXT(C198,"0"),TEXT(CC!$C$3:$C$1000,"0"),CC!$G$3:$G$1000,""),"")</f>
        <v/>
      </c>
    </row>
    <row r="199" spans="7:12" x14ac:dyDescent="0.25">
      <c r="G199" s="56">
        <f>IFERROR(SUMPRODUCT((TEXT(CC!$C$3:$C$1000,"0")=TEXT(C199,"0"))*IFERROR(CC!$E$3:$E$1000+0,0)),0)</f>
      </c>
      <c r="H199" s="45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46" t="str">
        <f>IF(C199&lt;&gt;"",_xlfn.XLOOKUP(TEXT(C199,"0"),TEXT(CC!$C$3:$C$1000,"0"),CC!$G$3:$G$1000,""),"")</f>
        <v/>
      </c>
    </row>
    <row r="200" spans="7:12" x14ac:dyDescent="0.25">
      <c r="G200" s="56">
        <f>IFERROR(SUMPRODUCT((TEXT(CC!$C$3:$C$1000,"0")=TEXT(C200,"0"))*IFERROR(CC!$E$3:$E$1000+0,0)),0)</f>
      </c>
      <c r="H200" s="45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46" t="str">
        <f>IF(C200&lt;&gt;"",_xlfn.XLOOKUP(TEXT(C200,"0"),TEXT(CC!$C$3:$C$1000,"0"),CC!$G$3:$G$1000,""),"")</f>
        <v/>
      </c>
    </row>
    <row r="201" spans="7:12" x14ac:dyDescent="0.25">
      <c r="G201" s="56">
        <f>IFERROR(SUMPRODUCT((TEXT(CC!$C$3:$C$1000,"0")=TEXT(C201,"0"))*IFERROR(CC!$E$3:$E$1000+0,0)),0)</f>
      </c>
      <c r="H201" s="45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46" t="str">
        <f>IF(C201&lt;&gt;"",_xlfn.XLOOKUP(TEXT(C201,"0"),TEXT(CC!$C$3:$C$1000,"0"),CC!$G$3:$G$1000,""),"")</f>
        <v/>
      </c>
    </row>
    <row r="202" spans="7:12" x14ac:dyDescent="0.25">
      <c r="G202" s="56">
        <f>IFERROR(SUMPRODUCT((TEXT(CC!$C$3:$C$1000,"0")=TEXT(C202,"0"))*IFERROR(CC!$E$3:$E$1000+0,0)),0)</f>
      </c>
      <c r="H202" s="45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46" t="str">
        <f>IF(C202&lt;&gt;"",_xlfn.XLOOKUP(TEXT(C202,"0"),TEXT(CC!$C$3:$C$1000,"0"),CC!$G$3:$G$1000,""),"")</f>
        <v/>
      </c>
    </row>
    <row r="203" spans="7:12" x14ac:dyDescent="0.25">
      <c r="G203" s="56">
        <f>IFERROR(SUMPRODUCT((TEXT(CC!$C$3:$C$1000,"0")=TEXT(C203,"0"))*IFERROR(CC!$E$3:$E$1000+0,0)),0)</f>
      </c>
      <c r="H203" s="45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46" t="str">
        <f>IF(C203&lt;&gt;"",_xlfn.XLOOKUP(TEXT(C203,"0"),TEXT(CC!$C$3:$C$1000,"0"),CC!$G$3:$G$1000,""),"")</f>
        <v/>
      </c>
    </row>
    <row r="204" spans="7:12" x14ac:dyDescent="0.25">
      <c r="G204" s="56">
        <f>IFERROR(SUMPRODUCT((TEXT(CC!$C$3:$C$1000,"0")=TEXT(C204,"0"))*IFERROR(CC!$E$3:$E$1000+0,0)),0)</f>
      </c>
      <c r="H204" s="45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46" t="str">
        <f>IF(C204&lt;&gt;"",_xlfn.XLOOKUP(TEXT(C204,"0"),TEXT(CC!$C$3:$C$1000,"0"),CC!$G$3:$G$1000,""),"")</f>
        <v/>
      </c>
    </row>
    <row r="205" spans="7:12" x14ac:dyDescent="0.25">
      <c r="G205" s="56">
        <f>IFERROR(SUMPRODUCT((TEXT(CC!$C$3:$C$1000,"0")=TEXT(C205,"0"))*IFERROR(CC!$E$3:$E$1000+0,0)),0)</f>
      </c>
      <c r="H205" s="45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46" t="str">
        <f>IF(C205&lt;&gt;"",_xlfn.XLOOKUP(TEXT(C205,"0"),TEXT(CC!$C$3:$C$1000,"0"),CC!$G$3:$G$1000,""),"")</f>
        <v/>
      </c>
    </row>
    <row r="206" spans="7:12" x14ac:dyDescent="0.25">
      <c r="G206" s="56">
        <f>IFERROR(SUMPRODUCT((TEXT(CC!$C$3:$C$1000,"0")=TEXT(C206,"0"))*IFERROR(CC!$E$3:$E$1000+0,0)),0)</f>
      </c>
      <c r="H206" s="45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46" t="str">
        <f>IF(C206&lt;&gt;"",_xlfn.XLOOKUP(TEXT(C206,"0"),TEXT(CC!$C$3:$C$1000,"0"),CC!$G$3:$G$1000,""),"")</f>
        <v/>
      </c>
    </row>
    <row r="207" spans="7:12" x14ac:dyDescent="0.25">
      <c r="G207" s="56">
        <f>IFERROR(SUMPRODUCT((TEXT(CC!$C$3:$C$1000,"0")=TEXT(C207,"0"))*IFERROR(CC!$E$3:$E$1000+0,0)),0)</f>
      </c>
      <c r="H207" s="45"/>
      <c r="I207" s="24" t="str">
        <f t="shared" si="14"/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46" t="str">
        <f>IF(C207&lt;&gt;"",_xlfn.XLOOKUP(TEXT(C207,"0"),TEXT(CC!$C$3:$C$1000,"0"),CC!$G$3:$G$1000,""),"")</f>
        <v/>
      </c>
    </row>
    <row r="208" spans="7:12" x14ac:dyDescent="0.25">
      <c r="G208" s="56">
        <f>IFERROR(SUMPRODUCT((TEXT(CC!$C$3:$C$1000,"0")=TEXT(C208,"0"))*IFERROR(CC!$E$3:$E$1000+0,0)),0)</f>
      </c>
      <c r="H208" s="45"/>
      <c r="I208" s="24" t="str">
        <f t="shared" ref="I208:I271" si="16">IF(J208&lt;&gt;0,"501010","")</f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46" t="str">
        <f>IF(C208&lt;&gt;"",_xlfn.XLOOKUP(TEXT(C208,"0"),TEXT(CC!$C$3:$C$1000,"0"),CC!$G$3:$G$1000,""),"")</f>
        <v/>
      </c>
    </row>
    <row r="209" spans="7:12" x14ac:dyDescent="0.25">
      <c r="G209" s="56">
        <f>IFERROR(SUMPRODUCT((TEXT(CC!$C$3:$C$1000,"0")=TEXT(C209,"0"))*IFERROR(CC!$E$3:$E$1000+0,0)),0)</f>
      </c>
      <c r="H209" s="45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46" t="str">
        <f>IF(C209&lt;&gt;"",_xlfn.XLOOKUP(TEXT(C209,"0"),TEXT(CC!$C$3:$C$1000,"0"),CC!$G$3:$G$1000,""),"")</f>
        <v/>
      </c>
    </row>
    <row r="210" spans="7:12" x14ac:dyDescent="0.25">
      <c r="G210" s="56">
        <f>IFERROR(SUMPRODUCT((TEXT(CC!$C$3:$C$1000,"0")=TEXT(C210,"0"))*IFERROR(CC!$E$3:$E$1000+0,0)),0)</f>
      </c>
      <c r="H210" s="45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46" t="str">
        <f>IF(C210&lt;&gt;"",_xlfn.XLOOKUP(TEXT(C210,"0"),TEXT(CC!$C$3:$C$1000,"0"),CC!$G$3:$G$1000,""),"")</f>
        <v/>
      </c>
    </row>
    <row r="211" spans="7:12" x14ac:dyDescent="0.25">
      <c r="G211" s="56">
        <f>IFERROR(SUMPRODUCT((TEXT(CC!$C$3:$C$1000,"0")=TEXT(C211,"0"))*IFERROR(CC!$E$3:$E$1000+0,0)),0)</f>
      </c>
      <c r="H211" s="45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46" t="str">
        <f>IF(C211&lt;&gt;"",_xlfn.XLOOKUP(TEXT(C211,"0"),TEXT(CC!$C$3:$C$1000,"0"),CC!$G$3:$G$1000,""),"")</f>
        <v/>
      </c>
    </row>
    <row r="212" spans="7:12" x14ac:dyDescent="0.25">
      <c r="G212" s="56">
        <f>IFERROR(SUMPRODUCT((TEXT(CC!$C$3:$C$1000,"0")=TEXT(C212,"0"))*IFERROR(CC!$E$3:$E$1000+0,0)),0)</f>
      </c>
      <c r="H212" s="45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46" t="str">
        <f>IF(C212&lt;&gt;"",_xlfn.XLOOKUP(TEXT(C212,"0"),TEXT(CC!$C$3:$C$1000,"0"),CC!$G$3:$G$1000,""),"")</f>
        <v/>
      </c>
    </row>
    <row r="213" spans="7:12" x14ac:dyDescent="0.25">
      <c r="G213" s="56">
        <f>IFERROR(SUMPRODUCT((TEXT(CC!$C$3:$C$1000,"0")=TEXT(C213,"0"))*IFERROR(CC!$E$3:$E$1000+0,0)),0)</f>
      </c>
      <c r="H213" s="45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46" t="str">
        <f>IF(C213&lt;&gt;"",_xlfn.XLOOKUP(TEXT(C213,"0"),TEXT(CC!$C$3:$C$1000,"0"),CC!$G$3:$G$1000,""),"")</f>
        <v/>
      </c>
    </row>
    <row r="214" spans="7:12" x14ac:dyDescent="0.25">
      <c r="G214" s="56">
        <f>IFERROR(SUMPRODUCT((TEXT(CC!$C$3:$C$1000,"0")=TEXT(C214,"0"))*IFERROR(CC!$E$3:$E$1000+0,0)),0)</f>
      </c>
      <c r="H214" s="45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46" t="str">
        <f>IF(C214&lt;&gt;"",_xlfn.XLOOKUP(TEXT(C214,"0"),TEXT(CC!$C$3:$C$1000,"0"),CC!$G$3:$G$1000,""),"")</f>
        <v/>
      </c>
    </row>
    <row r="215" spans="7:12" x14ac:dyDescent="0.25">
      <c r="G215" s="56">
        <f>IFERROR(SUMPRODUCT((TEXT(CC!$C$3:$C$1000,"0")=TEXT(C215,"0"))*IFERROR(CC!$E$3:$E$1000+0,0)),0)</f>
      </c>
      <c r="H215" s="45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46" t="str">
        <f>IF(C215&lt;&gt;"",_xlfn.XLOOKUP(TEXT(C215,"0"),TEXT(CC!$C$3:$C$1000,"0"),CC!$G$3:$G$1000,""),"")</f>
        <v/>
      </c>
    </row>
    <row r="216" spans="7:12" x14ac:dyDescent="0.25">
      <c r="G216" s="56">
        <f>IFERROR(SUMPRODUCT((TEXT(CC!$C$3:$C$1000,"0")=TEXT(C216,"0"))*IFERROR(CC!$E$3:$E$1000+0,0)),0)</f>
      </c>
      <c r="H216" s="45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46" t="str">
        <f>IF(C216&lt;&gt;"",_xlfn.XLOOKUP(TEXT(C216,"0"),TEXT(CC!$C$3:$C$1000,"0"),CC!$G$3:$G$1000,""),"")</f>
        <v/>
      </c>
    </row>
    <row r="217" spans="7:12" x14ac:dyDescent="0.25">
      <c r="G217" s="56">
        <f>IFERROR(SUMPRODUCT((TEXT(CC!$C$3:$C$1000,"0")=TEXT(C217,"0"))*IFERROR(CC!$E$3:$E$1000+0,0)),0)</f>
      </c>
      <c r="H217" s="45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46" t="str">
        <f>IF(C217&lt;&gt;"",_xlfn.XLOOKUP(TEXT(C217,"0"),TEXT(CC!$C$3:$C$1000,"0"),CC!$G$3:$G$1000,""),"")</f>
        <v/>
      </c>
    </row>
    <row r="218" spans="7:12" x14ac:dyDescent="0.25">
      <c r="G218" s="56">
        <f>IFERROR(SUMPRODUCT((TEXT(CC!$C$3:$C$1000,"0")=TEXT(C218,"0"))*IFERROR(CC!$E$3:$E$1000+0,0)),0)</f>
      </c>
      <c r="H218" s="45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46" t="str">
        <f>IF(C218&lt;&gt;"",_xlfn.XLOOKUP(TEXT(C218,"0"),TEXT(CC!$C$3:$C$1000,"0"),CC!$G$3:$G$1000,""),"")</f>
        <v/>
      </c>
    </row>
    <row r="219" spans="7:12" x14ac:dyDescent="0.25">
      <c r="G219" s="56">
        <f>IFERROR(SUMPRODUCT((TEXT(CC!$C$3:$C$1000,"0")=TEXT(C219,"0"))*IFERROR(CC!$E$3:$E$1000+0,0)),0)</f>
      </c>
      <c r="H219" s="45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46" t="str">
        <f>IF(C219&lt;&gt;"",_xlfn.XLOOKUP(TEXT(C219,"0"),TEXT(CC!$C$3:$C$1000,"0"),CC!$G$3:$G$1000,""),"")</f>
        <v/>
      </c>
    </row>
    <row r="220" spans="7:12" x14ac:dyDescent="0.25">
      <c r="G220" s="56">
        <f>IFERROR(SUMPRODUCT((TEXT(CC!$C$3:$C$1000,"0")=TEXT(C220,"0"))*IFERROR(CC!$E$3:$E$1000+0,0)),0)</f>
      </c>
      <c r="H220" s="45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46" t="str">
        <f>IF(C220&lt;&gt;"",_xlfn.XLOOKUP(TEXT(C220,"0"),TEXT(CC!$C$3:$C$1000,"0"),CC!$G$3:$G$1000,""),"")</f>
        <v/>
      </c>
    </row>
    <row r="221" spans="7:12" x14ac:dyDescent="0.25">
      <c r="G221" s="56">
        <f>IFERROR(SUMPRODUCT((TEXT(CC!$C$3:$C$1000,"0")=TEXT(C221,"0"))*IFERROR(CC!$E$3:$E$1000+0,0)),0)</f>
      </c>
      <c r="H221" s="45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46" t="str">
        <f>IF(C221&lt;&gt;"",_xlfn.XLOOKUP(TEXT(C221,"0"),TEXT(CC!$C$3:$C$1000,"0"),CC!$G$3:$G$1000,""),"")</f>
        <v/>
      </c>
    </row>
    <row r="222" spans="7:12" x14ac:dyDescent="0.25">
      <c r="G222" s="56">
        <f>IFERROR(SUMPRODUCT((TEXT(CC!$C$3:$C$1000,"0")=TEXT(C222,"0"))*IFERROR(CC!$E$3:$E$1000+0,0)),0)</f>
      </c>
      <c r="H222" s="45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46" t="str">
        <f>IF(C222&lt;&gt;"",_xlfn.XLOOKUP(TEXT(C222,"0"),TEXT(CC!$C$3:$C$1000,"0"),CC!$G$3:$G$1000,""),"")</f>
        <v/>
      </c>
    </row>
    <row r="223" spans="7:12" x14ac:dyDescent="0.25">
      <c r="G223" s="56">
        <f>IFERROR(SUMPRODUCT((TEXT(CC!$C$3:$C$1000,"0")=TEXT(C223,"0"))*IFERROR(CC!$E$3:$E$1000+0,0)),0)</f>
      </c>
      <c r="H223" s="45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46" t="str">
        <f>IF(C223&lt;&gt;"",_xlfn.XLOOKUP(TEXT(C223,"0"),TEXT(CC!$C$3:$C$1000,"0"),CC!$G$3:$G$1000,""),"")</f>
        <v/>
      </c>
    </row>
    <row r="224" spans="7:12" x14ac:dyDescent="0.25">
      <c r="G224" s="56">
        <f>IFERROR(SUMPRODUCT((TEXT(CC!$C$3:$C$1000,"0")=TEXT(C224,"0"))*IFERROR(CC!$E$3:$E$1000+0,0)),0)</f>
      </c>
      <c r="H224" s="45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46" t="str">
        <f>IF(C224&lt;&gt;"",_xlfn.XLOOKUP(TEXT(C224,"0"),TEXT(CC!$C$3:$C$1000,"0"),CC!$G$3:$G$1000,""),"")</f>
        <v/>
      </c>
    </row>
    <row r="225" spans="7:12" x14ac:dyDescent="0.25">
      <c r="G225" s="56">
        <f>IFERROR(SUMPRODUCT((TEXT(CC!$C$3:$C$1000,"0")=TEXT(C225,"0"))*IFERROR(CC!$E$3:$E$1000+0,0)),0)</f>
      </c>
      <c r="H225" s="45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46" t="str">
        <f>IF(C225&lt;&gt;"",_xlfn.XLOOKUP(TEXT(C225,"0"),TEXT(CC!$C$3:$C$1000,"0"),CC!$G$3:$G$1000,""),"")</f>
        <v/>
      </c>
    </row>
    <row r="226" spans="7:12" x14ac:dyDescent="0.25">
      <c r="G226" s="56">
        <f>IFERROR(SUMPRODUCT((TEXT(CC!$C$3:$C$1000,"0")=TEXT(C226,"0"))*IFERROR(CC!$E$3:$E$1000+0,0)),0)</f>
      </c>
      <c r="H226" s="45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46" t="str">
        <f>IF(C226&lt;&gt;"",_xlfn.XLOOKUP(TEXT(C226,"0"),TEXT(CC!$C$3:$C$1000,"0"),CC!$G$3:$G$1000,""),"")</f>
        <v/>
      </c>
    </row>
    <row r="227" spans="7:12" x14ac:dyDescent="0.25">
      <c r="G227" s="56">
        <f>IFERROR(SUMPRODUCT((TEXT(CC!$C$3:$C$1000,"0")=TEXT(C227,"0"))*IFERROR(CC!$E$3:$E$1000+0,0)),0)</f>
      </c>
      <c r="H227" s="45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46" t="str">
        <f>IF(C227&lt;&gt;"",_xlfn.XLOOKUP(TEXT(C227,"0"),TEXT(CC!$C$3:$C$1000,"0"),CC!$G$3:$G$1000,""),"")</f>
        <v/>
      </c>
    </row>
    <row r="228" spans="7:12" x14ac:dyDescent="0.25">
      <c r="G228" s="56">
        <f>IFERROR(SUMPRODUCT((TEXT(CC!$C$3:$C$1000,"0")=TEXT(C228,"0"))*IFERROR(CC!$E$3:$E$1000+0,0)),0)</f>
      </c>
      <c r="H228" s="45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46" t="str">
        <f>IF(C228&lt;&gt;"",_xlfn.XLOOKUP(TEXT(C228,"0"),TEXT(CC!$C$3:$C$1000,"0"),CC!$G$3:$G$1000,""),"")</f>
        <v/>
      </c>
    </row>
    <row r="229" spans="7:12" x14ac:dyDescent="0.25">
      <c r="G229" s="56">
        <f>IFERROR(SUMPRODUCT((TEXT(CC!$C$3:$C$1000,"0")=TEXT(C229,"0"))*IFERROR(CC!$E$3:$E$1000+0,0)),0)</f>
      </c>
      <c r="H229" s="45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46" t="str">
        <f>IF(C229&lt;&gt;"",_xlfn.XLOOKUP(TEXT(C229,"0"),TEXT(CC!$C$3:$C$1000,"0"),CC!$G$3:$G$1000,""),"")</f>
        <v/>
      </c>
    </row>
    <row r="230" spans="7:12" x14ac:dyDescent="0.25">
      <c r="G230" s="56">
        <f>IFERROR(SUMPRODUCT((TEXT(CC!$C$3:$C$1000,"0")=TEXT(C230,"0"))*IFERROR(CC!$E$3:$E$1000+0,0)),0)</f>
      </c>
      <c r="H230" s="45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46" t="str">
        <f>IF(C230&lt;&gt;"",_xlfn.XLOOKUP(TEXT(C230,"0"),TEXT(CC!$C$3:$C$1000,"0"),CC!$G$3:$G$1000,""),"")</f>
        <v/>
      </c>
    </row>
    <row r="231" spans="7:12" x14ac:dyDescent="0.25">
      <c r="G231" s="56">
        <f>IFERROR(SUMPRODUCT((TEXT(CC!$C$3:$C$1000,"0")=TEXT(C231,"0"))*IFERROR(CC!$E$3:$E$1000+0,0)),0)</f>
      </c>
      <c r="H231" s="45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46" t="str">
        <f>IF(C231&lt;&gt;"",_xlfn.XLOOKUP(TEXT(C231,"0"),TEXT(CC!$C$3:$C$1000,"0"),CC!$G$3:$G$1000,""),"")</f>
        <v/>
      </c>
    </row>
    <row r="232" spans="7:12" x14ac:dyDescent="0.25">
      <c r="G232" s="56">
        <f>IFERROR(SUMPRODUCT((TEXT(CC!$C$3:$C$1000,"0")=TEXT(C232,"0"))*IFERROR(CC!$E$3:$E$1000+0,0)),0)</f>
      </c>
      <c r="H232" s="45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46" t="str">
        <f>IF(C232&lt;&gt;"",_xlfn.XLOOKUP(TEXT(C232,"0"),TEXT(CC!$C$3:$C$1000,"0"),CC!$G$3:$G$1000,""),"")</f>
        <v/>
      </c>
    </row>
    <row r="233" spans="7:12" x14ac:dyDescent="0.25">
      <c r="G233" s="56">
        <f>IFERROR(SUMPRODUCT((TEXT(CC!$C$3:$C$1000,"0")=TEXT(C233,"0"))*IFERROR(CC!$E$3:$E$1000+0,0)),0)</f>
      </c>
      <c r="H233" s="45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46" t="str">
        <f>IF(C233&lt;&gt;"",_xlfn.XLOOKUP(TEXT(C233,"0"),TEXT(CC!$C$3:$C$1000,"0"),CC!$G$3:$G$1000,""),"")</f>
        <v/>
      </c>
    </row>
    <row r="234" spans="7:12" x14ac:dyDescent="0.25">
      <c r="G234" s="56">
        <f>IFERROR(SUMPRODUCT((TEXT(CC!$C$3:$C$1000,"0")=TEXT(C234,"0"))*IFERROR(CC!$E$3:$E$1000+0,0)),0)</f>
      </c>
      <c r="H234" s="45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46" t="str">
        <f>IF(C234&lt;&gt;"",_xlfn.XLOOKUP(TEXT(C234,"0"),TEXT(CC!$C$3:$C$1000,"0"),CC!$G$3:$G$1000,""),"")</f>
        <v/>
      </c>
    </row>
    <row r="235" spans="7:12" x14ac:dyDescent="0.25">
      <c r="G235" s="56">
        <f>IFERROR(SUMPRODUCT((TEXT(CC!$C$3:$C$1000,"0")=TEXT(C235,"0"))*IFERROR(CC!$E$3:$E$1000+0,0)),0)</f>
      </c>
      <c r="H235" s="45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46" t="str">
        <f>IF(C235&lt;&gt;"",_xlfn.XLOOKUP(TEXT(C235,"0"),TEXT(CC!$C$3:$C$1000,"0"),CC!$G$3:$G$1000,""),"")</f>
        <v/>
      </c>
    </row>
    <row r="236" spans="7:12" x14ac:dyDescent="0.25">
      <c r="G236" s="56">
        <f>IFERROR(SUMPRODUCT((TEXT(CC!$C$3:$C$1000,"0")=TEXT(C236,"0"))*IFERROR(CC!$E$3:$E$1000+0,0)),0)</f>
      </c>
      <c r="H236" s="45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46" t="str">
        <f>IF(C236&lt;&gt;"",_xlfn.XLOOKUP(TEXT(C236,"0"),TEXT(CC!$C$3:$C$1000,"0"),CC!$G$3:$G$1000,""),"")</f>
        <v/>
      </c>
    </row>
    <row r="237" spans="7:12" x14ac:dyDescent="0.25">
      <c r="G237" s="56">
        <f>IFERROR(SUMPRODUCT((TEXT(CC!$C$3:$C$1000,"0")=TEXT(C237,"0"))*IFERROR(CC!$E$3:$E$1000+0,0)),0)</f>
      </c>
      <c r="H237" s="45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46" t="str">
        <f>IF(C237&lt;&gt;"",_xlfn.XLOOKUP(TEXT(C237,"0"),TEXT(CC!$C$3:$C$1000,"0"),CC!$G$3:$G$1000,""),"")</f>
        <v/>
      </c>
    </row>
    <row r="238" spans="7:12" x14ac:dyDescent="0.25">
      <c r="G238" s="56">
        <f>IFERROR(SUMPRODUCT((TEXT(CC!$C$3:$C$1000,"0")=TEXT(C238,"0"))*IFERROR(CC!$E$3:$E$1000+0,0)),0)</f>
      </c>
      <c r="H238" s="45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46" t="str">
        <f>IF(C238&lt;&gt;"",_xlfn.XLOOKUP(TEXT(C238,"0"),TEXT(CC!$C$3:$C$1000,"0"),CC!$G$3:$G$1000,""),"")</f>
        <v/>
      </c>
    </row>
    <row r="239" spans="7:12" x14ac:dyDescent="0.25">
      <c r="G239" s="56">
        <f>IFERROR(SUMPRODUCT((TEXT(CC!$C$3:$C$1000,"0")=TEXT(C239,"0"))*IFERROR(CC!$E$3:$E$1000+0,0)),0)</f>
      </c>
      <c r="H239" s="45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46" t="str">
        <f>IF(C239&lt;&gt;"",_xlfn.XLOOKUP(TEXT(C239,"0"),TEXT(CC!$C$3:$C$1000,"0"),CC!$G$3:$G$1000,""),"")</f>
        <v/>
      </c>
    </row>
    <row r="240" spans="7:12" x14ac:dyDescent="0.25">
      <c r="G240" s="56">
        <f>IFERROR(SUMPRODUCT((TEXT(CC!$C$3:$C$1000,"0")=TEXT(C240,"0"))*IFERROR(CC!$E$3:$E$1000+0,0)),0)</f>
      </c>
      <c r="H240" s="45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46" t="str">
        <f>IF(C240&lt;&gt;"",_xlfn.XLOOKUP(TEXT(C240,"0"),TEXT(CC!$C$3:$C$1000,"0"),CC!$G$3:$G$1000,""),"")</f>
        <v/>
      </c>
    </row>
    <row r="241" spans="7:12" x14ac:dyDescent="0.25">
      <c r="G241" s="56">
        <f>IFERROR(SUMPRODUCT((TEXT(CC!$C$3:$C$1000,"0")=TEXT(C241,"0"))*IFERROR(CC!$E$3:$E$1000+0,0)),0)</f>
      </c>
      <c r="H241" s="45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46" t="str">
        <f>IF(C241&lt;&gt;"",_xlfn.XLOOKUP(TEXT(C241,"0"),TEXT(CC!$C$3:$C$1000,"0"),CC!$G$3:$G$1000,""),"")</f>
        <v/>
      </c>
    </row>
    <row r="242" spans="7:12" x14ac:dyDescent="0.25">
      <c r="G242" s="56">
        <f>IFERROR(SUMPRODUCT((TEXT(CC!$C$3:$C$1000,"0")=TEXT(C242,"0"))*IFERROR(CC!$E$3:$E$1000+0,0)),0)</f>
      </c>
      <c r="H242" s="45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46" t="str">
        <f>IF(C242&lt;&gt;"",_xlfn.XLOOKUP(TEXT(C242,"0"),TEXT(CC!$C$3:$C$1000,"0"),CC!$G$3:$G$1000,""),"")</f>
        <v/>
      </c>
    </row>
    <row r="243" spans="7:12" x14ac:dyDescent="0.25">
      <c r="G243" s="56">
        <f>IFERROR(SUMPRODUCT((TEXT(CC!$C$3:$C$1000,"0")=TEXT(C243,"0"))*IFERROR(CC!$E$3:$E$1000+0,0)),0)</f>
      </c>
      <c r="H243" s="45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46" t="str">
        <f>IF(C243&lt;&gt;"",_xlfn.XLOOKUP(TEXT(C243,"0"),TEXT(CC!$C$3:$C$1000,"0"),CC!$G$3:$G$1000,""),"")</f>
        <v/>
      </c>
    </row>
    <row r="244" spans="7:12" x14ac:dyDescent="0.25">
      <c r="G244" s="56">
        <f>IFERROR(SUMPRODUCT((TEXT(CC!$C$3:$C$1000,"0")=TEXT(C244,"0"))*IFERROR(CC!$E$3:$E$1000+0,0)),0)</f>
      </c>
      <c r="H244" s="45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46" t="str">
        <f>IF(C244&lt;&gt;"",_xlfn.XLOOKUP(TEXT(C244,"0"),TEXT(CC!$C$3:$C$1000,"0"),CC!$G$3:$G$1000,""),"")</f>
        <v/>
      </c>
    </row>
    <row r="245" spans="7:12" x14ac:dyDescent="0.25">
      <c r="G245" s="56">
        <f>IFERROR(SUMPRODUCT((TEXT(CC!$C$3:$C$1000,"0")=TEXT(C245,"0"))*IFERROR(CC!$E$3:$E$1000+0,0)),0)</f>
      </c>
      <c r="H245" s="45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46" t="str">
        <f>IF(C245&lt;&gt;"",_xlfn.XLOOKUP(TEXT(C245,"0"),TEXT(CC!$C$3:$C$1000,"0"),CC!$G$3:$G$1000,""),"")</f>
        <v/>
      </c>
    </row>
    <row r="246" spans="7:12" x14ac:dyDescent="0.25">
      <c r="G246" s="56">
        <f>IFERROR(SUMPRODUCT((TEXT(CC!$C$3:$C$1000,"0")=TEXT(C246,"0"))*IFERROR(CC!$E$3:$E$1000+0,0)),0)</f>
      </c>
      <c r="H246" s="45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46" t="str">
        <f>IF(C246&lt;&gt;"",_xlfn.XLOOKUP(TEXT(C246,"0"),TEXT(CC!$C$3:$C$1000,"0"),CC!$G$3:$G$1000,""),"")</f>
        <v/>
      </c>
    </row>
    <row r="247" spans="7:12" x14ac:dyDescent="0.25">
      <c r="G247" s="56">
        <f>IFERROR(SUMPRODUCT((TEXT(CC!$C$3:$C$1000,"0")=TEXT(C247,"0"))*IFERROR(CC!$E$3:$E$1000+0,0)),0)</f>
      </c>
      <c r="H247" s="45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46" t="str">
        <f>IF(C247&lt;&gt;"",_xlfn.XLOOKUP(TEXT(C247,"0"),TEXT(CC!$C$3:$C$1000,"0"),CC!$G$3:$G$1000,""),"")</f>
        <v/>
      </c>
    </row>
    <row r="248" spans="7:12" x14ac:dyDescent="0.25">
      <c r="G248" s="56">
        <f>IFERROR(SUMPRODUCT((TEXT(CC!$C$3:$C$1000,"0")=TEXT(C248,"0"))*IFERROR(CC!$E$3:$E$1000+0,0)),0)</f>
      </c>
      <c r="H248" s="45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46" t="str">
        <f>IF(C248&lt;&gt;"",_xlfn.XLOOKUP(TEXT(C248,"0"),TEXT(CC!$C$3:$C$1000,"0"),CC!$G$3:$G$1000,""),"")</f>
        <v/>
      </c>
    </row>
    <row r="249" spans="7:12" x14ac:dyDescent="0.25">
      <c r="G249" s="56">
        <f>IFERROR(SUMPRODUCT((TEXT(CC!$C$3:$C$1000,"0")=TEXT(C249,"0"))*IFERROR(CC!$E$3:$E$1000+0,0)),0)</f>
      </c>
      <c r="H249" s="45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46" t="str">
        <f>IF(C249&lt;&gt;"",_xlfn.XLOOKUP(TEXT(C249,"0"),TEXT(CC!$C$3:$C$1000,"0"),CC!$G$3:$G$1000,""),"")</f>
        <v/>
      </c>
    </row>
    <row r="250" spans="7:12" x14ac:dyDescent="0.25">
      <c r="G250" s="56">
        <f>IFERROR(SUMPRODUCT((TEXT(CC!$C$3:$C$1000,"0")=TEXT(C250,"0"))*IFERROR(CC!$E$3:$E$1000+0,0)),0)</f>
      </c>
      <c r="H250" s="45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46" t="str">
        <f>IF(C250&lt;&gt;"",_xlfn.XLOOKUP(TEXT(C250,"0"),TEXT(CC!$C$3:$C$1000,"0"),CC!$G$3:$G$1000,""),"")</f>
        <v/>
      </c>
    </row>
    <row r="251" spans="7:12" x14ac:dyDescent="0.25">
      <c r="G251" s="56">
        <f>IFERROR(SUMPRODUCT((TEXT(CC!$C$3:$C$1000,"0")=TEXT(C251,"0"))*IFERROR(CC!$E$3:$E$1000+0,0)),0)</f>
      </c>
      <c r="H251" s="45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46" t="str">
        <f>IF(C251&lt;&gt;"",_xlfn.XLOOKUP(TEXT(C251,"0"),TEXT(CC!$C$3:$C$1000,"0"),CC!$G$3:$G$1000,""),"")</f>
        <v/>
      </c>
    </row>
    <row r="252" spans="7:12" x14ac:dyDescent="0.25">
      <c r="G252" s="56">
        <f>IFERROR(SUMPRODUCT((TEXT(CC!$C$3:$C$1000,"0")=TEXT(C252,"0"))*IFERROR(CC!$E$3:$E$1000+0,0)),0)</f>
      </c>
      <c r="H252" s="45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46" t="str">
        <f>IF(C252&lt;&gt;"",_xlfn.XLOOKUP(TEXT(C252,"0"),TEXT(CC!$C$3:$C$1000,"0"),CC!$G$3:$G$1000,""),"")</f>
        <v/>
      </c>
    </row>
    <row r="253" spans="7:12" x14ac:dyDescent="0.25">
      <c r="G253" s="56">
        <f>IFERROR(SUMPRODUCT((TEXT(CC!$C$3:$C$1000,"0")=TEXT(C253,"0"))*IFERROR(CC!$E$3:$E$1000+0,0)),0)</f>
      </c>
      <c r="H253" s="45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46" t="str">
        <f>IF(C253&lt;&gt;"",_xlfn.XLOOKUP(TEXT(C253,"0"),TEXT(CC!$C$3:$C$1000,"0"),CC!$G$3:$G$1000,""),"")</f>
        <v/>
      </c>
    </row>
    <row r="254" spans="7:12" x14ac:dyDescent="0.25">
      <c r="G254" s="56">
        <f>IFERROR(SUMPRODUCT((TEXT(CC!$C$3:$C$1000,"0")=TEXT(C254,"0"))*IFERROR(CC!$E$3:$E$1000+0,0)),0)</f>
      </c>
      <c r="H254" s="45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46" t="str">
        <f>IF(C254&lt;&gt;"",_xlfn.XLOOKUP(TEXT(C254,"0"),TEXT(CC!$C$3:$C$1000,"0"),CC!$G$3:$G$1000,""),"")</f>
        <v/>
      </c>
    </row>
    <row r="255" spans="7:12" x14ac:dyDescent="0.25">
      <c r="G255" s="56">
        <f>IFERROR(SUMPRODUCT((TEXT(CC!$C$3:$C$1000,"0")=TEXT(C255,"0"))*IFERROR(CC!$E$3:$E$1000+0,0)),0)</f>
      </c>
      <c r="H255" s="45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46" t="str">
        <f>IF(C255&lt;&gt;"",_xlfn.XLOOKUP(TEXT(C255,"0"),TEXT(CC!$C$3:$C$1000,"0"),CC!$G$3:$G$1000,""),"")</f>
        <v/>
      </c>
    </row>
    <row r="256" spans="7:12" x14ac:dyDescent="0.25">
      <c r="G256" s="56">
        <f>IFERROR(SUMPRODUCT((TEXT(CC!$C$3:$C$1000,"0")=TEXT(C256,"0"))*IFERROR(CC!$E$3:$E$1000+0,0)),0)</f>
      </c>
      <c r="H256" s="45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46" t="str">
        <f>IF(C256&lt;&gt;"",_xlfn.XLOOKUP(TEXT(C256,"0"),TEXT(CC!$C$3:$C$1000,"0"),CC!$G$3:$G$1000,""),"")</f>
        <v/>
      </c>
    </row>
    <row r="257" spans="7:12" x14ac:dyDescent="0.25">
      <c r="G257" s="56">
        <f>IFERROR(SUMPRODUCT((TEXT(CC!$C$3:$C$1000,"0")=TEXT(C257,"0"))*IFERROR(CC!$E$3:$E$1000+0,0)),0)</f>
      </c>
      <c r="H257" s="45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46" t="str">
        <f>IF(C257&lt;&gt;"",_xlfn.XLOOKUP(TEXT(C257,"0"),TEXT(CC!$C$3:$C$1000,"0"),CC!$G$3:$G$1000,""),"")</f>
        <v/>
      </c>
    </row>
    <row r="258" spans="7:12" x14ac:dyDescent="0.25">
      <c r="G258" s="56">
        <f>IFERROR(SUMPRODUCT((TEXT(CC!$C$3:$C$1000,"0")=TEXT(C258,"0"))*IFERROR(CC!$E$3:$E$1000+0,0)),0)</f>
      </c>
      <c r="H258" s="45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46" t="str">
        <f>IF(C258&lt;&gt;"",_xlfn.XLOOKUP(TEXT(C258,"0"),TEXT(CC!$C$3:$C$1000,"0"),CC!$G$3:$G$1000,""),"")</f>
        <v/>
      </c>
    </row>
    <row r="259" spans="7:12" x14ac:dyDescent="0.25">
      <c r="G259" s="56">
        <f>IFERROR(SUMPRODUCT((TEXT(CC!$C$3:$C$1000,"0")=TEXT(C259,"0"))*IFERROR(CC!$E$3:$E$1000+0,0)),0)</f>
      </c>
      <c r="H259" s="45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46" t="str">
        <f>IF(C259&lt;&gt;"",_xlfn.XLOOKUP(TEXT(C259,"0"),TEXT(CC!$C$3:$C$1000,"0"),CC!$G$3:$G$1000,""),"")</f>
        <v/>
      </c>
    </row>
    <row r="260" spans="7:12" x14ac:dyDescent="0.25">
      <c r="G260" s="56">
        <f>IFERROR(SUMPRODUCT((TEXT(CC!$C$3:$C$1000,"0")=TEXT(C260,"0"))*IFERROR(CC!$E$3:$E$1000+0,0)),0)</f>
      </c>
      <c r="H260" s="45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46" t="str">
        <f>IF(C260&lt;&gt;"",_xlfn.XLOOKUP(TEXT(C260,"0"),TEXT(CC!$C$3:$C$1000,"0"),CC!$G$3:$G$1000,""),"")</f>
        <v/>
      </c>
    </row>
    <row r="261" spans="7:12" x14ac:dyDescent="0.25">
      <c r="G261" s="56">
        <f>IFERROR(SUMPRODUCT((TEXT(CC!$C$3:$C$1000,"0")=TEXT(C261,"0"))*IFERROR(CC!$E$3:$E$1000+0,0)),0)</f>
      </c>
      <c r="H261" s="45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46" t="str">
        <f>IF(C261&lt;&gt;"",_xlfn.XLOOKUP(TEXT(C261,"0"),TEXT(CC!$C$3:$C$1000,"0"),CC!$G$3:$G$1000,""),"")</f>
        <v/>
      </c>
    </row>
    <row r="262" spans="7:12" x14ac:dyDescent="0.25">
      <c r="G262" s="56">
        <f>IFERROR(SUMPRODUCT((TEXT(CC!$C$3:$C$1000,"0")=TEXT(C262,"0"))*IFERROR(CC!$E$3:$E$1000+0,0)),0)</f>
      </c>
      <c r="H262" s="45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46" t="str">
        <f>IF(C262&lt;&gt;"",_xlfn.XLOOKUP(TEXT(C262,"0"),TEXT(CC!$C$3:$C$1000,"0"),CC!$G$3:$G$1000,""),"")</f>
        <v/>
      </c>
    </row>
    <row r="263" spans="7:12" x14ac:dyDescent="0.25">
      <c r="G263" s="56">
        <f>IFERROR(SUMPRODUCT((TEXT(CC!$C$3:$C$1000,"0")=TEXT(C263,"0"))*IFERROR(CC!$E$3:$E$1000+0,0)),0)</f>
      </c>
      <c r="H263" s="45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46" t="str">
        <f>IF(C263&lt;&gt;"",_xlfn.XLOOKUP(TEXT(C263,"0"),TEXT(CC!$C$3:$C$1000,"0"),CC!$G$3:$G$1000,""),"")</f>
        <v/>
      </c>
    </row>
    <row r="264" spans="7:12" x14ac:dyDescent="0.25">
      <c r="G264" s="56">
        <f>IFERROR(SUMPRODUCT((TEXT(CC!$C$3:$C$1000,"0")=TEXT(C264,"0"))*IFERROR(CC!$E$3:$E$1000+0,0)),0)</f>
      </c>
      <c r="H264" s="45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46" t="str">
        <f>IF(C264&lt;&gt;"",_xlfn.XLOOKUP(TEXT(C264,"0"),TEXT(CC!$C$3:$C$1000,"0"),CC!$G$3:$G$1000,""),"")</f>
        <v/>
      </c>
    </row>
    <row r="265" spans="7:12" x14ac:dyDescent="0.25">
      <c r="G265" s="56">
        <f>IFERROR(SUMPRODUCT((TEXT(CC!$C$3:$C$1000,"0")=TEXT(C265,"0"))*IFERROR(CC!$E$3:$E$1000+0,0)),0)</f>
      </c>
      <c r="H265" s="45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46" t="str">
        <f>IF(C265&lt;&gt;"",_xlfn.XLOOKUP(TEXT(C265,"0"),TEXT(CC!$C$3:$C$1000,"0"),CC!$G$3:$G$1000,""),"")</f>
        <v/>
      </c>
    </row>
    <row r="266" spans="7:12" x14ac:dyDescent="0.25">
      <c r="G266" s="56">
        <f>IFERROR(SUMPRODUCT((TEXT(CC!$C$3:$C$1000,"0")=TEXT(C266,"0"))*IFERROR(CC!$E$3:$E$1000+0,0)),0)</f>
      </c>
      <c r="H266" s="45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46" t="str">
        <f>IF(C266&lt;&gt;"",_xlfn.XLOOKUP(TEXT(C266,"0"),TEXT(CC!$C$3:$C$1000,"0"),CC!$G$3:$G$1000,""),"")</f>
        <v/>
      </c>
    </row>
    <row r="267" spans="7:12" x14ac:dyDescent="0.25">
      <c r="G267" s="56">
        <f>IFERROR(SUMPRODUCT((TEXT(CC!$C$3:$C$1000,"0")=TEXT(C267,"0"))*IFERROR(CC!$E$3:$E$1000+0,0)),0)</f>
      </c>
      <c r="H267" s="45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46" t="str">
        <f>IF(C267&lt;&gt;"",_xlfn.XLOOKUP(TEXT(C267,"0"),TEXT(CC!$C$3:$C$1000,"0"),CC!$G$3:$G$1000,""),"")</f>
        <v/>
      </c>
    </row>
    <row r="268" spans="7:12" x14ac:dyDescent="0.25">
      <c r="G268" s="56">
        <f>IFERROR(SUMPRODUCT((TEXT(CC!$C$3:$C$1000,"0")=TEXT(C268,"0"))*IFERROR(CC!$E$3:$E$1000+0,0)),0)</f>
      </c>
      <c r="H268" s="45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46" t="str">
        <f>IF(C268&lt;&gt;"",_xlfn.XLOOKUP(TEXT(C268,"0"),TEXT(CC!$C$3:$C$1000,"0"),CC!$G$3:$G$1000,""),"")</f>
        <v/>
      </c>
    </row>
    <row r="269" spans="7:12" x14ac:dyDescent="0.25">
      <c r="G269" s="56">
        <f>IFERROR(SUMPRODUCT((TEXT(CC!$C$3:$C$1000,"0")=TEXT(C269,"0"))*IFERROR(CC!$E$3:$E$1000+0,0)),0)</f>
      </c>
      <c r="H269" s="45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46" t="str">
        <f>IF(C269&lt;&gt;"",_xlfn.XLOOKUP(TEXT(C269,"0"),TEXT(CC!$C$3:$C$1000,"0"),CC!$G$3:$G$1000,""),"")</f>
        <v/>
      </c>
    </row>
    <row r="270" spans="7:12" x14ac:dyDescent="0.25">
      <c r="G270" s="56">
        <f>IFERROR(SUMPRODUCT((TEXT(CC!$C$3:$C$1000,"0")=TEXT(C270,"0"))*IFERROR(CC!$E$3:$E$1000+0,0)),0)</f>
      </c>
      <c r="H270" s="45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46" t="str">
        <f>IF(C270&lt;&gt;"",_xlfn.XLOOKUP(TEXT(C270,"0"),TEXT(CC!$C$3:$C$1000,"0"),CC!$G$3:$G$1000,""),"")</f>
        <v/>
      </c>
    </row>
    <row r="271" spans="7:12" x14ac:dyDescent="0.25">
      <c r="G271" s="56">
        <f>IFERROR(SUMPRODUCT((TEXT(CC!$C$3:$C$1000,"0")=TEXT(C271,"0"))*IFERROR(CC!$E$3:$E$1000+0,0)),0)</f>
      </c>
      <c r="H271" s="45"/>
      <c r="I271" s="24" t="str">
        <f t="shared" si="16"/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46" t="str">
        <f>IF(C271&lt;&gt;"",_xlfn.XLOOKUP(TEXT(C271,"0"),TEXT(CC!$C$3:$C$1000,"0"),CC!$G$3:$G$1000,""),"")</f>
        <v/>
      </c>
    </row>
    <row r="272" spans="7:12" x14ac:dyDescent="0.25">
      <c r="G272" s="56">
        <f>IFERROR(SUMPRODUCT((TEXT(CC!$C$3:$C$1000,"0")=TEXT(C272,"0"))*IFERROR(CC!$E$3:$E$1000+0,0)),0)</f>
      </c>
      <c r="H272" s="45"/>
      <c r="I272" s="24" t="str">
        <f t="shared" ref="I272:I335" si="18">IF(J272&lt;&gt;0,"501010","")</f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46" t="str">
        <f>IF(C272&lt;&gt;"",_xlfn.XLOOKUP(TEXT(C272,"0"),TEXT(CC!$C$3:$C$1000,"0"),CC!$G$3:$G$1000,""),"")</f>
        <v/>
      </c>
    </row>
    <row r="273" spans="7:12" x14ac:dyDescent="0.25">
      <c r="G273" s="56">
        <f>IFERROR(SUMPRODUCT((TEXT(CC!$C$3:$C$1000,"0")=TEXT(C273,"0"))*IFERROR(CC!$E$3:$E$1000+0,0)),0)</f>
      </c>
      <c r="H273" s="45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46" t="str">
        <f>IF(C273&lt;&gt;"",_xlfn.XLOOKUP(TEXT(C273,"0"),TEXT(CC!$C$3:$C$1000,"0"),CC!$G$3:$G$1000,""),"")</f>
        <v/>
      </c>
    </row>
    <row r="274" spans="7:12" x14ac:dyDescent="0.25">
      <c r="G274" s="56">
        <f>IFERROR(SUMPRODUCT((TEXT(CC!$C$3:$C$1000,"0")=TEXT(C274,"0"))*IFERROR(CC!$E$3:$E$1000+0,0)),0)</f>
      </c>
      <c r="H274" s="45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46" t="str">
        <f>IF(C274&lt;&gt;"",_xlfn.XLOOKUP(TEXT(C274,"0"),TEXT(CC!$C$3:$C$1000,"0"),CC!$G$3:$G$1000,""),"")</f>
        <v/>
      </c>
    </row>
    <row r="275" spans="7:12" x14ac:dyDescent="0.25">
      <c r="G275" s="56">
        <f>IFERROR(SUMPRODUCT((TEXT(CC!$C$3:$C$1000,"0")=TEXT(C275,"0"))*IFERROR(CC!$E$3:$E$1000+0,0)),0)</f>
      </c>
      <c r="H275" s="45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46" t="str">
        <f>IF(C275&lt;&gt;"",_xlfn.XLOOKUP(TEXT(C275,"0"),TEXT(CC!$C$3:$C$1000,"0"),CC!$G$3:$G$1000,""),"")</f>
        <v/>
      </c>
    </row>
    <row r="276" spans="7:12" x14ac:dyDescent="0.25">
      <c r="G276" s="56">
        <f>IFERROR(SUMPRODUCT((TEXT(CC!$C$3:$C$1000,"0")=TEXT(C276,"0"))*IFERROR(CC!$E$3:$E$1000+0,0)),0)</f>
      </c>
      <c r="H276" s="45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46" t="str">
        <f>IF(C276&lt;&gt;"",_xlfn.XLOOKUP(TEXT(C276,"0"),TEXT(CC!$C$3:$C$1000,"0"),CC!$G$3:$G$1000,""),"")</f>
        <v/>
      </c>
    </row>
    <row r="277" spans="7:12" x14ac:dyDescent="0.25">
      <c r="G277" s="56">
        <f>IFERROR(SUMPRODUCT((TEXT(CC!$C$3:$C$1000,"0")=TEXT(C277,"0"))*IFERROR(CC!$E$3:$E$1000+0,0)),0)</f>
      </c>
      <c r="H277" s="45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46" t="str">
        <f>IF(C277&lt;&gt;"",_xlfn.XLOOKUP(TEXT(C277,"0"),TEXT(CC!$C$3:$C$1000,"0"),CC!$G$3:$G$1000,""),"")</f>
        <v/>
      </c>
    </row>
    <row r="278" spans="7:12" x14ac:dyDescent="0.25">
      <c r="G278" s="56">
        <f>IFERROR(SUMPRODUCT((TEXT(CC!$C$3:$C$1000,"0")=TEXT(C278,"0"))*IFERROR(CC!$E$3:$E$1000+0,0)),0)</f>
      </c>
      <c r="H278" s="45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46" t="str">
        <f>IF(C278&lt;&gt;"",_xlfn.XLOOKUP(TEXT(C278,"0"),TEXT(CC!$C$3:$C$1000,"0"),CC!$G$3:$G$1000,""),"")</f>
        <v/>
      </c>
    </row>
    <row r="279" spans="7:12" x14ac:dyDescent="0.25">
      <c r="G279" s="56">
        <f>IFERROR(SUMPRODUCT((TEXT(CC!$C$3:$C$1000,"0")=TEXT(C279,"0"))*IFERROR(CC!$E$3:$E$1000+0,0)),0)</f>
      </c>
      <c r="H279" s="45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46" t="str">
        <f>IF(C279&lt;&gt;"",_xlfn.XLOOKUP(TEXT(C279,"0"),TEXT(CC!$C$3:$C$1000,"0"),CC!$G$3:$G$1000,""),"")</f>
        <v/>
      </c>
    </row>
    <row r="280" spans="7:12" x14ac:dyDescent="0.25">
      <c r="G280" s="56">
        <f>IFERROR(SUMPRODUCT((TEXT(CC!$C$3:$C$1000,"0")=TEXT(C280,"0"))*IFERROR(CC!$E$3:$E$1000+0,0)),0)</f>
      </c>
      <c r="H280" s="45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46" t="str">
        <f>IF(C280&lt;&gt;"",_xlfn.XLOOKUP(TEXT(C280,"0"),TEXT(CC!$C$3:$C$1000,"0"),CC!$G$3:$G$1000,""),"")</f>
        <v/>
      </c>
    </row>
    <row r="281" spans="7:12" x14ac:dyDescent="0.25">
      <c r="G281" s="56">
        <f>IFERROR(SUMPRODUCT((TEXT(CC!$C$3:$C$1000,"0")=TEXT(C281,"0"))*IFERROR(CC!$E$3:$E$1000+0,0)),0)</f>
      </c>
      <c r="H281" s="45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46" t="str">
        <f>IF(C281&lt;&gt;"",_xlfn.XLOOKUP(TEXT(C281,"0"),TEXT(CC!$C$3:$C$1000,"0"),CC!$G$3:$G$1000,""),"")</f>
        <v/>
      </c>
    </row>
    <row r="282" spans="7:12" x14ac:dyDescent="0.25">
      <c r="G282" s="56">
        <f>IFERROR(SUMPRODUCT((TEXT(CC!$C$3:$C$1000,"0")=TEXT(C282,"0"))*IFERROR(CC!$E$3:$E$1000+0,0)),0)</f>
      </c>
      <c r="H282" s="45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46" t="str">
        <f>IF(C282&lt;&gt;"",_xlfn.XLOOKUP(TEXT(C282,"0"),TEXT(CC!$C$3:$C$1000,"0"),CC!$G$3:$G$1000,""),"")</f>
        <v/>
      </c>
    </row>
    <row r="283" spans="7:12" x14ac:dyDescent="0.25">
      <c r="G283" s="56">
        <f>IFERROR(SUMPRODUCT((TEXT(CC!$C$3:$C$1000,"0")=TEXT(C283,"0"))*IFERROR(CC!$E$3:$E$1000+0,0)),0)</f>
      </c>
      <c r="H283" s="45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46" t="str">
        <f>IF(C283&lt;&gt;"",_xlfn.XLOOKUP(TEXT(C283,"0"),TEXT(CC!$C$3:$C$1000,"0"),CC!$G$3:$G$1000,""),"")</f>
        <v/>
      </c>
    </row>
    <row r="284" spans="7:12" x14ac:dyDescent="0.25">
      <c r="G284" s="56">
        <f>IFERROR(SUMPRODUCT((TEXT(CC!$C$3:$C$1000,"0")=TEXT(C284,"0"))*IFERROR(CC!$E$3:$E$1000+0,0)),0)</f>
      </c>
      <c r="H284" s="45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46" t="str">
        <f>IF(C284&lt;&gt;"",_xlfn.XLOOKUP(TEXT(C284,"0"),TEXT(CC!$C$3:$C$1000,"0"),CC!$G$3:$G$1000,""),"")</f>
        <v/>
      </c>
    </row>
    <row r="285" spans="7:12" x14ac:dyDescent="0.25">
      <c r="G285" s="56">
        <f>IFERROR(SUMPRODUCT((TEXT(CC!$C$3:$C$1000,"0")=TEXT(C285,"0"))*IFERROR(CC!$E$3:$E$1000+0,0)),0)</f>
      </c>
      <c r="H285" s="45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46" t="str">
        <f>IF(C285&lt;&gt;"",_xlfn.XLOOKUP(TEXT(C285,"0"),TEXT(CC!$C$3:$C$1000,"0"),CC!$G$3:$G$1000,""),"")</f>
        <v/>
      </c>
    </row>
    <row r="286" spans="7:12" x14ac:dyDescent="0.25">
      <c r="G286" s="56">
        <f>IFERROR(SUMPRODUCT((TEXT(CC!$C$3:$C$1000,"0")=TEXT(C286,"0"))*IFERROR(CC!$E$3:$E$1000+0,0)),0)</f>
      </c>
      <c r="H286" s="45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46" t="str">
        <f>IF(C286&lt;&gt;"",_xlfn.XLOOKUP(TEXT(C286,"0"),TEXT(CC!$C$3:$C$1000,"0"),CC!$G$3:$G$1000,""),"")</f>
        <v/>
      </c>
    </row>
    <row r="287" spans="7:12" x14ac:dyDescent="0.25">
      <c r="G287" s="56">
        <f>IFERROR(SUMPRODUCT((TEXT(CC!$C$3:$C$1000,"0")=TEXT(C287,"0"))*IFERROR(CC!$E$3:$E$1000+0,0)),0)</f>
      </c>
      <c r="H287" s="45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46" t="str">
        <f>IF(C287&lt;&gt;"",_xlfn.XLOOKUP(TEXT(C287,"0"),TEXT(CC!$C$3:$C$1000,"0"),CC!$G$3:$G$1000,""),"")</f>
        <v/>
      </c>
    </row>
    <row r="288" spans="7:12" x14ac:dyDescent="0.25">
      <c r="G288" s="56">
        <f>IFERROR(SUMPRODUCT((TEXT(CC!$C$3:$C$1000,"0")=TEXT(C288,"0"))*IFERROR(CC!$E$3:$E$1000+0,0)),0)</f>
      </c>
      <c r="H288" s="45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46" t="str">
        <f>IF(C288&lt;&gt;"",_xlfn.XLOOKUP(TEXT(C288,"0"),TEXT(CC!$C$3:$C$1000,"0"),CC!$G$3:$G$1000,""),"")</f>
        <v/>
      </c>
    </row>
    <row r="289" spans="7:12" x14ac:dyDescent="0.25">
      <c r="G289" s="56">
        <f>IFERROR(SUMPRODUCT((TEXT(CC!$C$3:$C$1000,"0")=TEXT(C289,"0"))*IFERROR(CC!$E$3:$E$1000+0,0)),0)</f>
      </c>
      <c r="H289" s="45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46" t="str">
        <f>IF(C289&lt;&gt;"",_xlfn.XLOOKUP(TEXT(C289,"0"),TEXT(CC!$C$3:$C$1000,"0"),CC!$G$3:$G$1000,""),"")</f>
        <v/>
      </c>
    </row>
    <row r="290" spans="7:12" x14ac:dyDescent="0.25">
      <c r="G290" s="56">
        <f>IFERROR(SUMPRODUCT((TEXT(CC!$C$3:$C$1000,"0")=TEXT(C290,"0"))*IFERROR(CC!$E$3:$E$1000+0,0)),0)</f>
      </c>
      <c r="H290" s="45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46" t="str">
        <f>IF(C290&lt;&gt;"",_xlfn.XLOOKUP(TEXT(C290,"0"),TEXT(CC!$C$3:$C$1000,"0"),CC!$G$3:$G$1000,""),"")</f>
        <v/>
      </c>
    </row>
    <row r="291" spans="7:12" x14ac:dyDescent="0.25">
      <c r="G291" s="56">
        <f>IFERROR(SUMPRODUCT((TEXT(CC!$C$3:$C$1000,"0")=TEXT(C291,"0"))*IFERROR(CC!$E$3:$E$1000+0,0)),0)</f>
      </c>
      <c r="H291" s="45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46" t="str">
        <f>IF(C291&lt;&gt;"",_xlfn.XLOOKUP(TEXT(C291,"0"),TEXT(CC!$C$3:$C$1000,"0"),CC!$G$3:$G$1000,""),"")</f>
        <v/>
      </c>
    </row>
    <row r="292" spans="7:12" x14ac:dyDescent="0.25">
      <c r="G292" s="56">
        <f>IFERROR(SUMPRODUCT((TEXT(CC!$C$3:$C$1000,"0")=TEXT(C292,"0"))*IFERROR(CC!$E$3:$E$1000+0,0)),0)</f>
      </c>
      <c r="H292" s="45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46" t="str">
        <f>IF(C292&lt;&gt;"",_xlfn.XLOOKUP(TEXT(C292,"0"),TEXT(CC!$C$3:$C$1000,"0"),CC!$G$3:$G$1000,""),"")</f>
        <v/>
      </c>
    </row>
    <row r="293" spans="7:12" x14ac:dyDescent="0.25">
      <c r="G293" s="56">
        <f>IFERROR(SUMPRODUCT((TEXT(CC!$C$3:$C$1000,"0")=TEXT(C293,"0"))*IFERROR(CC!$E$3:$E$1000+0,0)),0)</f>
      </c>
      <c r="H293" s="45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46" t="str">
        <f>IF(C293&lt;&gt;"",_xlfn.XLOOKUP(TEXT(C293,"0"),TEXT(CC!$C$3:$C$1000,"0"),CC!$G$3:$G$1000,""),"")</f>
        <v/>
      </c>
    </row>
    <row r="294" spans="7:12" x14ac:dyDescent="0.25">
      <c r="G294" s="56">
        <f>IFERROR(SUMPRODUCT((TEXT(CC!$C$3:$C$1000,"0")=TEXT(C294,"0"))*IFERROR(CC!$E$3:$E$1000+0,0)),0)</f>
      </c>
      <c r="H294" s="45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46" t="str">
        <f>IF(C294&lt;&gt;"",_xlfn.XLOOKUP(TEXT(C294,"0"),TEXT(CC!$C$3:$C$1000,"0"),CC!$G$3:$G$1000,""),"")</f>
        <v/>
      </c>
    </row>
    <row r="295" spans="7:12" x14ac:dyDescent="0.25">
      <c r="G295" s="56">
        <f>IFERROR(SUMPRODUCT((TEXT(CC!$C$3:$C$1000,"0")=TEXT(C295,"0"))*IFERROR(CC!$E$3:$E$1000+0,0)),0)</f>
      </c>
      <c r="H295" s="45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46" t="str">
        <f>IF(C295&lt;&gt;"",_xlfn.XLOOKUP(TEXT(C295,"0"),TEXT(CC!$C$3:$C$1000,"0"),CC!$G$3:$G$1000,""),"")</f>
        <v/>
      </c>
    </row>
    <row r="296" spans="7:12" x14ac:dyDescent="0.25">
      <c r="G296" s="56">
        <f>IFERROR(SUMPRODUCT((TEXT(CC!$C$3:$C$1000,"0")=TEXT(C296,"0"))*IFERROR(CC!$E$3:$E$1000+0,0)),0)</f>
      </c>
      <c r="H296" s="45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46" t="str">
        <f>IF(C296&lt;&gt;"",_xlfn.XLOOKUP(TEXT(C296,"0"),TEXT(CC!$C$3:$C$1000,"0"),CC!$G$3:$G$1000,""),"")</f>
        <v/>
      </c>
    </row>
    <row r="297" spans="7:12" x14ac:dyDescent="0.25">
      <c r="G297" s="56">
        <f>IFERROR(SUMPRODUCT((TEXT(CC!$C$3:$C$1000,"0")=TEXT(C297,"0"))*IFERROR(CC!$E$3:$E$1000+0,0)),0)</f>
      </c>
      <c r="H297" s="45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46" t="str">
        <f>IF(C297&lt;&gt;"",_xlfn.XLOOKUP(TEXT(C297,"0"),TEXT(CC!$C$3:$C$1000,"0"),CC!$G$3:$G$1000,""),"")</f>
        <v/>
      </c>
    </row>
    <row r="298" spans="7:12" x14ac:dyDescent="0.25">
      <c r="G298" s="56">
        <f>IFERROR(SUMPRODUCT((TEXT(CC!$C$3:$C$1000,"0")=TEXT(C298,"0"))*IFERROR(CC!$E$3:$E$1000+0,0)),0)</f>
      </c>
      <c r="H298" s="45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46" t="str">
        <f>IF(C298&lt;&gt;"",_xlfn.XLOOKUP(TEXT(C298,"0"),TEXT(CC!$C$3:$C$1000,"0"),CC!$G$3:$G$1000,""),"")</f>
        <v/>
      </c>
    </row>
    <row r="299" spans="7:12" x14ac:dyDescent="0.25">
      <c r="G299" s="56">
        <f>IFERROR(SUMPRODUCT((TEXT(CC!$C$3:$C$1000,"0")=TEXT(C299,"0"))*IFERROR(CC!$E$3:$E$1000+0,0)),0)</f>
      </c>
      <c r="H299" s="45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46" t="str">
        <f>IF(C299&lt;&gt;"",_xlfn.XLOOKUP(TEXT(C299,"0"),TEXT(CC!$C$3:$C$1000,"0"),CC!$G$3:$G$1000,""),"")</f>
        <v/>
      </c>
    </row>
    <row r="300" spans="7:12" x14ac:dyDescent="0.25">
      <c r="G300" s="56">
        <f>IFERROR(SUMPRODUCT((TEXT(CC!$C$3:$C$1000,"0")=TEXT(C300,"0"))*IFERROR(CC!$E$3:$E$1000+0,0)),0)</f>
      </c>
      <c r="H300" s="45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46" t="str">
        <f>IF(C300&lt;&gt;"",_xlfn.XLOOKUP(TEXT(C300,"0"),TEXT(CC!$C$3:$C$1000,"0"),CC!$G$3:$G$1000,""),"")</f>
        <v/>
      </c>
    </row>
    <row r="301" spans="7:12" x14ac:dyDescent="0.25">
      <c r="G301" s="56">
        <f>IFERROR(SUMPRODUCT((TEXT(CC!$C$3:$C$1000,"0")=TEXT(C301,"0"))*IFERROR(CC!$E$3:$E$1000+0,0)),0)</f>
      </c>
      <c r="H301" s="45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46" t="str">
        <f>IF(C301&lt;&gt;"",_xlfn.XLOOKUP(TEXT(C301,"0"),TEXT(CC!$C$3:$C$1000,"0"),CC!$G$3:$G$1000,""),"")</f>
        <v/>
      </c>
    </row>
    <row r="302" spans="7:12" x14ac:dyDescent="0.25">
      <c r="G302" s="56">
        <f>IFERROR(SUMPRODUCT((TEXT(CC!$C$3:$C$1000,"0")=TEXT(C302,"0"))*IFERROR(CC!$E$3:$E$1000+0,0)),0)</f>
      </c>
      <c r="H302" s="45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46" t="str">
        <f>IF(C302&lt;&gt;"",_xlfn.XLOOKUP(TEXT(C302,"0"),TEXT(CC!$C$3:$C$1000,"0"),CC!$G$3:$G$1000,""),"")</f>
        <v/>
      </c>
    </row>
    <row r="303" spans="7:12" x14ac:dyDescent="0.25">
      <c r="G303" s="56">
        <f>IFERROR(SUMPRODUCT((TEXT(CC!$C$3:$C$1000,"0")=TEXT(C303,"0"))*IFERROR(CC!$E$3:$E$1000+0,0)),0)</f>
      </c>
      <c r="H303" s="45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46" t="str">
        <f>IF(C303&lt;&gt;"",_xlfn.XLOOKUP(TEXT(C303,"0"),TEXT(CC!$C$3:$C$1000,"0"),CC!$G$3:$G$1000,""),"")</f>
        <v/>
      </c>
    </row>
    <row r="304" spans="7:12" x14ac:dyDescent="0.25">
      <c r="G304" s="56">
        <f>IFERROR(SUMPRODUCT((TEXT(CC!$C$3:$C$1000,"0")=TEXT(C304,"0"))*IFERROR(CC!$E$3:$E$1000+0,0)),0)</f>
      </c>
      <c r="H304" s="45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46" t="str">
        <f>IF(C304&lt;&gt;"",_xlfn.XLOOKUP(TEXT(C304,"0"),TEXT(CC!$C$3:$C$1000,"0"),CC!$G$3:$G$1000,""),"")</f>
        <v/>
      </c>
    </row>
    <row r="305" spans="7:12" x14ac:dyDescent="0.25">
      <c r="G305" s="56">
        <f>IFERROR(SUMPRODUCT((TEXT(CC!$C$3:$C$1000,"0")=TEXT(C305,"0"))*IFERROR(CC!$E$3:$E$1000+0,0)),0)</f>
      </c>
      <c r="H305" s="45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46" t="str">
        <f>IF(C305&lt;&gt;"",_xlfn.XLOOKUP(TEXT(C305,"0"),TEXT(CC!$C$3:$C$1000,"0"),CC!$G$3:$G$1000,""),"")</f>
        <v/>
      </c>
    </row>
    <row r="306" spans="7:12" x14ac:dyDescent="0.25">
      <c r="G306" s="56">
        <f>IFERROR(SUMPRODUCT((TEXT(CC!$C$3:$C$1000,"0")=TEXT(C306,"0"))*IFERROR(CC!$E$3:$E$1000+0,0)),0)</f>
      </c>
      <c r="H306" s="45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46" t="str">
        <f>IF(C306&lt;&gt;"",_xlfn.XLOOKUP(TEXT(C306,"0"),TEXT(CC!$C$3:$C$1000,"0"),CC!$G$3:$G$1000,""),"")</f>
        <v/>
      </c>
    </row>
    <row r="307" spans="7:12" x14ac:dyDescent="0.25">
      <c r="G307" s="56">
        <f>IFERROR(SUMPRODUCT((TEXT(CC!$C$3:$C$1000,"0")=TEXT(C307,"0"))*IFERROR(CC!$E$3:$E$1000+0,0)),0)</f>
      </c>
      <c r="H307" s="45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46" t="str">
        <f>IF(C307&lt;&gt;"",_xlfn.XLOOKUP(TEXT(C307,"0"),TEXT(CC!$C$3:$C$1000,"0"),CC!$G$3:$G$1000,""),"")</f>
        <v/>
      </c>
    </row>
    <row r="308" spans="7:12" x14ac:dyDescent="0.25">
      <c r="G308" s="56">
        <f>IFERROR(SUMPRODUCT((TEXT(CC!$C$3:$C$1000,"0")=TEXT(C308,"0"))*IFERROR(CC!$E$3:$E$1000+0,0)),0)</f>
      </c>
      <c r="H308" s="45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46" t="str">
        <f>IF(C308&lt;&gt;"",_xlfn.XLOOKUP(TEXT(C308,"0"),TEXT(CC!$C$3:$C$1000,"0"),CC!$G$3:$G$1000,""),"")</f>
        <v/>
      </c>
    </row>
    <row r="309" spans="7:12" x14ac:dyDescent="0.25">
      <c r="G309" s="56">
        <f>IFERROR(SUMPRODUCT((TEXT(CC!$C$3:$C$1000,"0")=TEXT(C309,"0"))*IFERROR(CC!$E$3:$E$1000+0,0)),0)</f>
      </c>
      <c r="H309" s="45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46" t="str">
        <f>IF(C309&lt;&gt;"",_xlfn.XLOOKUP(TEXT(C309,"0"),TEXT(CC!$C$3:$C$1000,"0"),CC!$G$3:$G$1000,""),"")</f>
        <v/>
      </c>
    </row>
    <row r="310" spans="7:12" x14ac:dyDescent="0.25">
      <c r="G310" s="56">
        <f>IFERROR(SUMPRODUCT((TEXT(CC!$C$3:$C$1000,"0")=TEXT(C310,"0"))*IFERROR(CC!$E$3:$E$1000+0,0)),0)</f>
      </c>
      <c r="H310" s="45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46" t="str">
        <f>IF(C310&lt;&gt;"",_xlfn.XLOOKUP(TEXT(C310,"0"),TEXT(CC!$C$3:$C$1000,"0"),CC!$G$3:$G$1000,""),"")</f>
        <v/>
      </c>
    </row>
    <row r="311" spans="7:12" x14ac:dyDescent="0.25">
      <c r="G311" s="56">
        <f>IFERROR(SUMPRODUCT((TEXT(CC!$C$3:$C$1000,"0")=TEXT(C311,"0"))*IFERROR(CC!$E$3:$E$1000+0,0)),0)</f>
      </c>
      <c r="H311" s="45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46" t="str">
        <f>IF(C311&lt;&gt;"",_xlfn.XLOOKUP(TEXT(C311,"0"),TEXT(CC!$C$3:$C$1000,"0"),CC!$G$3:$G$1000,""),"")</f>
        <v/>
      </c>
    </row>
    <row r="312" spans="7:12" x14ac:dyDescent="0.25">
      <c r="G312" s="56">
        <f>IFERROR(SUMPRODUCT((TEXT(CC!$C$3:$C$1000,"0")=TEXT(C312,"0"))*IFERROR(CC!$E$3:$E$1000+0,0)),0)</f>
      </c>
      <c r="H312" s="45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46" t="str">
        <f>IF(C312&lt;&gt;"",_xlfn.XLOOKUP(TEXT(C312,"0"),TEXT(CC!$C$3:$C$1000,"0"),CC!$G$3:$G$1000,""),"")</f>
        <v/>
      </c>
    </row>
    <row r="313" spans="7:12" x14ac:dyDescent="0.25">
      <c r="G313" s="56">
        <f>IFERROR(SUMPRODUCT((TEXT(CC!$C$3:$C$1000,"0")=TEXT(C313,"0"))*IFERROR(CC!$E$3:$E$1000+0,0)),0)</f>
      </c>
      <c r="H313" s="45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46" t="str">
        <f>IF(C313&lt;&gt;"",_xlfn.XLOOKUP(TEXT(C313,"0"),TEXT(CC!$C$3:$C$1000,"0"),CC!$G$3:$G$1000,""),"")</f>
        <v/>
      </c>
    </row>
    <row r="314" spans="7:12" x14ac:dyDescent="0.25">
      <c r="G314" s="56">
        <f>IFERROR(SUMPRODUCT((TEXT(CC!$C$3:$C$1000,"0")=TEXT(C314,"0"))*IFERROR(CC!$E$3:$E$1000+0,0)),0)</f>
      </c>
      <c r="H314" s="45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46" t="str">
        <f>IF(C314&lt;&gt;"",_xlfn.XLOOKUP(TEXT(C314,"0"),TEXT(CC!$C$3:$C$1000,"0"),CC!$G$3:$G$1000,""),"")</f>
        <v/>
      </c>
    </row>
    <row r="315" spans="7:12" x14ac:dyDescent="0.25">
      <c r="G315" s="56">
        <f>IFERROR(SUMPRODUCT((TEXT(CC!$C$3:$C$1000,"0")=TEXT(C315,"0"))*IFERROR(CC!$E$3:$E$1000+0,0)),0)</f>
      </c>
      <c r="H315" s="45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46" t="str">
        <f>IF(C315&lt;&gt;"",_xlfn.XLOOKUP(TEXT(C315,"0"),TEXT(CC!$C$3:$C$1000,"0"),CC!$G$3:$G$1000,""),"")</f>
        <v/>
      </c>
    </row>
    <row r="316" spans="7:12" x14ac:dyDescent="0.25">
      <c r="G316" s="56">
        <f>IFERROR(SUMPRODUCT((TEXT(CC!$C$3:$C$1000,"0")=TEXT(C316,"0"))*IFERROR(CC!$E$3:$E$1000+0,0)),0)</f>
      </c>
      <c r="H316" s="45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46" t="str">
        <f>IF(C316&lt;&gt;"",_xlfn.XLOOKUP(TEXT(C316,"0"),TEXT(CC!$C$3:$C$1000,"0"),CC!$G$3:$G$1000,""),"")</f>
        <v/>
      </c>
    </row>
    <row r="317" spans="7:12" x14ac:dyDescent="0.25">
      <c r="G317" s="56">
        <f>IFERROR(SUMPRODUCT((TEXT(CC!$C$3:$C$1000,"0")=TEXT(C317,"0"))*IFERROR(CC!$E$3:$E$1000+0,0)),0)</f>
      </c>
      <c r="H317" s="45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46" t="str">
        <f>IF(C317&lt;&gt;"",_xlfn.XLOOKUP(TEXT(C317,"0"),TEXT(CC!$C$3:$C$1000,"0"),CC!$G$3:$G$1000,""),"")</f>
        <v/>
      </c>
    </row>
    <row r="318" spans="7:12" x14ac:dyDescent="0.25">
      <c r="G318" s="56">
        <f>IFERROR(SUMPRODUCT((TEXT(CC!$C$3:$C$1000,"0")=TEXT(C318,"0"))*IFERROR(CC!$E$3:$E$1000+0,0)),0)</f>
      </c>
      <c r="H318" s="45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46" t="str">
        <f>IF(C318&lt;&gt;"",_xlfn.XLOOKUP(TEXT(C318,"0"),TEXT(CC!$C$3:$C$1000,"0"),CC!$G$3:$G$1000,""),"")</f>
        <v/>
      </c>
    </row>
    <row r="319" spans="7:12" x14ac:dyDescent="0.25">
      <c r="G319" s="56">
        <f>IFERROR(SUMPRODUCT((TEXT(CC!$C$3:$C$1000,"0")=TEXT(C319,"0"))*IFERROR(CC!$E$3:$E$1000+0,0)),0)</f>
      </c>
      <c r="H319" s="45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46" t="str">
        <f>IF(C319&lt;&gt;"",_xlfn.XLOOKUP(TEXT(C319,"0"),TEXT(CC!$C$3:$C$1000,"0"),CC!$G$3:$G$1000,""),"")</f>
        <v/>
      </c>
    </row>
    <row r="320" spans="7:12" x14ac:dyDescent="0.25">
      <c r="G320" s="56">
        <f>IFERROR(SUMPRODUCT((TEXT(CC!$C$3:$C$1000,"0")=TEXT(C320,"0"))*IFERROR(CC!$E$3:$E$1000+0,0)),0)</f>
      </c>
      <c r="H320" s="45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46" t="str">
        <f>IF(C320&lt;&gt;"",_xlfn.XLOOKUP(TEXT(C320,"0"),TEXT(CC!$C$3:$C$1000,"0"),CC!$G$3:$G$1000,""),"")</f>
        <v/>
      </c>
    </row>
    <row r="321" spans="7:12" x14ac:dyDescent="0.25">
      <c r="G321" s="56">
        <f>IFERROR(SUMPRODUCT((TEXT(CC!$C$3:$C$1000,"0")=TEXT(C321,"0"))*IFERROR(CC!$E$3:$E$1000+0,0)),0)</f>
      </c>
      <c r="H321" s="45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46" t="str">
        <f>IF(C321&lt;&gt;"",_xlfn.XLOOKUP(TEXT(C321,"0"),TEXT(CC!$C$3:$C$1000,"0"),CC!$G$3:$G$1000,""),"")</f>
        <v/>
      </c>
    </row>
    <row r="322" spans="7:12" x14ac:dyDescent="0.25">
      <c r="G322" s="56">
        <f>IFERROR(SUMPRODUCT((TEXT(CC!$C$3:$C$1000,"0")=TEXT(C322,"0"))*IFERROR(CC!$E$3:$E$1000+0,0)),0)</f>
      </c>
      <c r="H322" s="45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46" t="str">
        <f>IF(C322&lt;&gt;"",_xlfn.XLOOKUP(TEXT(C322,"0"),TEXT(CC!$C$3:$C$1000,"0"),CC!$G$3:$G$1000,""),"")</f>
        <v/>
      </c>
    </row>
    <row r="323" spans="7:12" x14ac:dyDescent="0.25">
      <c r="G323" s="56">
        <f>IFERROR(SUMPRODUCT((TEXT(CC!$C$3:$C$1000,"0")=TEXT(C323,"0"))*IFERROR(CC!$E$3:$E$1000+0,0)),0)</f>
      </c>
      <c r="H323" s="45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46" t="str">
        <f>IF(C323&lt;&gt;"",_xlfn.XLOOKUP(TEXT(C323,"0"),TEXT(CC!$C$3:$C$1000,"0"),CC!$G$3:$G$1000,""),"")</f>
        <v/>
      </c>
    </row>
    <row r="324" spans="7:12" x14ac:dyDescent="0.25">
      <c r="G324" s="56">
        <f>IFERROR(SUMPRODUCT((TEXT(CC!$C$3:$C$1000,"0")=TEXT(C324,"0"))*IFERROR(CC!$E$3:$E$1000+0,0)),0)</f>
      </c>
      <c r="H324" s="45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46" t="str">
        <f>IF(C324&lt;&gt;"",_xlfn.XLOOKUP(TEXT(C324,"0"),TEXT(CC!$C$3:$C$1000,"0"),CC!$G$3:$G$1000,""),"")</f>
        <v/>
      </c>
    </row>
    <row r="325" spans="7:12" x14ac:dyDescent="0.25">
      <c r="G325" s="56">
        <f>IFERROR(SUMPRODUCT((TEXT(CC!$C$3:$C$1000,"0")=TEXT(C325,"0"))*IFERROR(CC!$E$3:$E$1000+0,0)),0)</f>
      </c>
      <c r="H325" s="45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46" t="str">
        <f>IF(C325&lt;&gt;"",_xlfn.XLOOKUP(TEXT(C325,"0"),TEXT(CC!$C$3:$C$1000,"0"),CC!$G$3:$G$1000,""),"")</f>
        <v/>
      </c>
    </row>
    <row r="326" spans="7:12" x14ac:dyDescent="0.25">
      <c r="G326" s="56">
        <f>IFERROR(SUMPRODUCT((TEXT(CC!$C$3:$C$1000,"0")=TEXT(C326,"0"))*IFERROR(CC!$E$3:$E$1000+0,0)),0)</f>
      </c>
      <c r="H326" s="45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46" t="str">
        <f>IF(C326&lt;&gt;"",_xlfn.XLOOKUP(TEXT(C326,"0"),TEXT(CC!$C$3:$C$1000,"0"),CC!$G$3:$G$1000,""),"")</f>
        <v/>
      </c>
    </row>
    <row r="327" spans="7:12" x14ac:dyDescent="0.25">
      <c r="G327" s="56">
        <f>IFERROR(SUMPRODUCT((TEXT(CC!$C$3:$C$1000,"0")=TEXT(C327,"0"))*IFERROR(CC!$E$3:$E$1000+0,0)),0)</f>
      </c>
      <c r="H327" s="45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46" t="str">
        <f>IF(C327&lt;&gt;"",_xlfn.XLOOKUP(TEXT(C327,"0"),TEXT(CC!$C$3:$C$1000,"0"),CC!$G$3:$G$1000,""),"")</f>
        <v/>
      </c>
    </row>
    <row r="328" spans="7:12" x14ac:dyDescent="0.25">
      <c r="G328" s="56">
        <f>IFERROR(SUMPRODUCT((TEXT(CC!$C$3:$C$1000,"0")=TEXT(C328,"0"))*IFERROR(CC!$E$3:$E$1000+0,0)),0)</f>
      </c>
      <c r="H328" s="45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46" t="str">
        <f>IF(C328&lt;&gt;"",_xlfn.XLOOKUP(TEXT(C328,"0"),TEXT(CC!$C$3:$C$1000,"0"),CC!$G$3:$G$1000,""),"")</f>
        <v/>
      </c>
    </row>
    <row r="329" spans="7:12" x14ac:dyDescent="0.25">
      <c r="G329" s="56">
        <f>IFERROR(SUMPRODUCT((TEXT(CC!$C$3:$C$1000,"0")=TEXT(C329,"0"))*IFERROR(CC!$E$3:$E$1000+0,0)),0)</f>
      </c>
      <c r="H329" s="45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46" t="str">
        <f>IF(C329&lt;&gt;"",_xlfn.XLOOKUP(TEXT(C329,"0"),TEXT(CC!$C$3:$C$1000,"0"),CC!$G$3:$G$1000,""),"")</f>
        <v/>
      </c>
    </row>
    <row r="330" spans="7:12" x14ac:dyDescent="0.25">
      <c r="G330" s="56">
        <f>IFERROR(SUMPRODUCT((TEXT(CC!$C$3:$C$1000,"0")=TEXT(C330,"0"))*IFERROR(CC!$E$3:$E$1000+0,0)),0)</f>
      </c>
      <c r="H330" s="45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46" t="str">
        <f>IF(C330&lt;&gt;"",_xlfn.XLOOKUP(TEXT(C330,"0"),TEXT(CC!$C$3:$C$1000,"0"),CC!$G$3:$G$1000,""),"")</f>
        <v/>
      </c>
    </row>
    <row r="331" spans="7:12" x14ac:dyDescent="0.25">
      <c r="G331" s="56">
        <f>IFERROR(SUMPRODUCT((TEXT(CC!$C$3:$C$1000,"0")=TEXT(C331,"0"))*IFERROR(CC!$E$3:$E$1000+0,0)),0)</f>
      </c>
      <c r="H331" s="45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46" t="str">
        <f>IF(C331&lt;&gt;"",_xlfn.XLOOKUP(TEXT(C331,"0"),TEXT(CC!$C$3:$C$1000,"0"),CC!$G$3:$G$1000,""),"")</f>
        <v/>
      </c>
    </row>
    <row r="332" spans="7:12" x14ac:dyDescent="0.25">
      <c r="G332" s="56">
        <f>IFERROR(SUMPRODUCT((TEXT(CC!$C$3:$C$1000,"0")=TEXT(C332,"0"))*IFERROR(CC!$E$3:$E$1000+0,0)),0)</f>
      </c>
      <c r="H332" s="45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46" t="str">
        <f>IF(C332&lt;&gt;"",_xlfn.XLOOKUP(TEXT(C332,"0"),TEXT(CC!$C$3:$C$1000,"0"),CC!$G$3:$G$1000,""),"")</f>
        <v/>
      </c>
    </row>
    <row r="333" spans="7:12" x14ac:dyDescent="0.25">
      <c r="G333" s="56">
        <f>IFERROR(SUMPRODUCT((TEXT(CC!$C$3:$C$1000,"0")=TEXT(C333,"0"))*IFERROR(CC!$E$3:$E$1000+0,0)),0)</f>
      </c>
      <c r="H333" s="45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46" t="str">
        <f>IF(C333&lt;&gt;"",_xlfn.XLOOKUP(TEXT(C333,"0"),TEXT(CC!$C$3:$C$1000,"0"),CC!$G$3:$G$1000,""),"")</f>
        <v/>
      </c>
    </row>
    <row r="334" spans="7:12" x14ac:dyDescent="0.25">
      <c r="G334" s="56">
        <f>IFERROR(SUMPRODUCT((TEXT(CC!$C$3:$C$1000,"0")=TEXT(C334,"0"))*IFERROR(CC!$E$3:$E$1000+0,0)),0)</f>
      </c>
      <c r="H334" s="45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46" t="str">
        <f>IF(C334&lt;&gt;"",_xlfn.XLOOKUP(TEXT(C334,"0"),TEXT(CC!$C$3:$C$1000,"0"),CC!$G$3:$G$1000,""),"")</f>
        <v/>
      </c>
    </row>
    <row r="335" spans="7:12" x14ac:dyDescent="0.25">
      <c r="G335" s="56">
        <f>IFERROR(SUMPRODUCT((TEXT(CC!$C$3:$C$1000,"0")=TEXT(C335,"0"))*IFERROR(CC!$E$3:$E$1000+0,0)),0)</f>
      </c>
      <c r="H335" s="45"/>
      <c r="I335" s="24" t="str">
        <f t="shared" si="18"/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46" t="str">
        <f>IF(C335&lt;&gt;"",_xlfn.XLOOKUP(TEXT(C335,"0"),TEXT(CC!$C$3:$C$1000,"0"),CC!$G$3:$G$1000,""),"")</f>
        <v/>
      </c>
    </row>
    <row r="336" spans="7:12" x14ac:dyDescent="0.25">
      <c r="G336" s="56">
        <f>IFERROR(SUMPRODUCT((TEXT(CC!$C$3:$C$1000,"0")=TEXT(C336,"0"))*IFERROR(CC!$E$3:$E$1000+0,0)),0)</f>
      </c>
      <c r="H336" s="45"/>
      <c r="I336" s="24" t="str">
        <f t="shared" ref="I336:I399" si="20">IF(J336&lt;&gt;0,"501010","")</f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46" t="str">
        <f>IF(C336&lt;&gt;"",_xlfn.XLOOKUP(TEXT(C336,"0"),TEXT(CC!$C$3:$C$1000,"0"),CC!$G$3:$G$1000,""),"")</f>
        <v/>
      </c>
    </row>
    <row r="337" spans="7:12" x14ac:dyDescent="0.25">
      <c r="G337" s="56">
        <f>IFERROR(SUMPRODUCT((TEXT(CC!$C$3:$C$1000,"0")=TEXT(C337,"0"))*IFERROR(CC!$E$3:$E$1000+0,0)),0)</f>
      </c>
      <c r="H337" s="45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46" t="str">
        <f>IF(C337&lt;&gt;"",_xlfn.XLOOKUP(TEXT(C337,"0"),TEXT(CC!$C$3:$C$1000,"0"),CC!$G$3:$G$1000,""),"")</f>
        <v/>
      </c>
    </row>
    <row r="338" spans="7:12" x14ac:dyDescent="0.25">
      <c r="G338" s="56">
        <f>IFERROR(SUMPRODUCT((TEXT(CC!$C$3:$C$1000,"0")=TEXT(C338,"0"))*IFERROR(CC!$E$3:$E$1000+0,0)),0)</f>
      </c>
      <c r="H338" s="45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46" t="str">
        <f>IF(C338&lt;&gt;"",_xlfn.XLOOKUP(TEXT(C338,"0"),TEXT(CC!$C$3:$C$1000,"0"),CC!$G$3:$G$1000,""),"")</f>
        <v/>
      </c>
    </row>
    <row r="339" spans="7:12" x14ac:dyDescent="0.25">
      <c r="G339" s="56">
        <f>IFERROR(SUMPRODUCT((TEXT(CC!$C$3:$C$1000,"0")=TEXT(C339,"0"))*IFERROR(CC!$E$3:$E$1000+0,0)),0)</f>
      </c>
      <c r="H339" s="45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46" t="str">
        <f>IF(C339&lt;&gt;"",_xlfn.XLOOKUP(TEXT(C339,"0"),TEXT(CC!$C$3:$C$1000,"0"),CC!$G$3:$G$1000,""),"")</f>
        <v/>
      </c>
    </row>
    <row r="340" spans="7:12" x14ac:dyDescent="0.25">
      <c r="G340" s="56">
        <f>IFERROR(SUMPRODUCT((TEXT(CC!$C$3:$C$1000,"0")=TEXT(C340,"0"))*IFERROR(CC!$E$3:$E$1000+0,0)),0)</f>
      </c>
      <c r="H340" s="45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46" t="str">
        <f>IF(C340&lt;&gt;"",_xlfn.XLOOKUP(TEXT(C340,"0"),TEXT(CC!$C$3:$C$1000,"0"),CC!$G$3:$G$1000,""),"")</f>
        <v/>
      </c>
    </row>
    <row r="341" spans="7:12" x14ac:dyDescent="0.25">
      <c r="G341" s="56">
        <f>IFERROR(SUMPRODUCT((TEXT(CC!$C$3:$C$1000,"0")=TEXT(C341,"0"))*IFERROR(CC!$E$3:$E$1000+0,0)),0)</f>
      </c>
      <c r="H341" s="45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46" t="str">
        <f>IF(C341&lt;&gt;"",_xlfn.XLOOKUP(TEXT(C341,"0"),TEXT(CC!$C$3:$C$1000,"0"),CC!$G$3:$G$1000,""),"")</f>
        <v/>
      </c>
    </row>
    <row r="342" spans="7:12" x14ac:dyDescent="0.25">
      <c r="G342" s="56">
        <f>IFERROR(SUMPRODUCT((TEXT(CC!$C$3:$C$1000,"0")=TEXT(C342,"0"))*IFERROR(CC!$E$3:$E$1000+0,0)),0)</f>
      </c>
      <c r="H342" s="45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46" t="str">
        <f>IF(C342&lt;&gt;"",_xlfn.XLOOKUP(TEXT(C342,"0"),TEXT(CC!$C$3:$C$1000,"0"),CC!$G$3:$G$1000,""),"")</f>
        <v/>
      </c>
    </row>
    <row r="343" spans="7:12" x14ac:dyDescent="0.25">
      <c r="G343" s="56">
        <f>IFERROR(SUMPRODUCT((TEXT(CC!$C$3:$C$1000,"0")=TEXT(C343,"0"))*IFERROR(CC!$E$3:$E$1000+0,0)),0)</f>
      </c>
      <c r="H343" s="45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46" t="str">
        <f>IF(C343&lt;&gt;"",_xlfn.XLOOKUP(TEXT(C343,"0"),TEXT(CC!$C$3:$C$1000,"0"),CC!$G$3:$G$1000,""),"")</f>
        <v/>
      </c>
    </row>
    <row r="344" spans="7:12" x14ac:dyDescent="0.25">
      <c r="G344" s="56">
        <f>IFERROR(SUMPRODUCT((TEXT(CC!$C$3:$C$1000,"0")=TEXT(C344,"0"))*IFERROR(CC!$E$3:$E$1000+0,0)),0)</f>
      </c>
      <c r="H344" s="45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46" t="str">
        <f>IF(C344&lt;&gt;"",_xlfn.XLOOKUP(TEXT(C344,"0"),TEXT(CC!$C$3:$C$1000,"0"),CC!$G$3:$G$1000,""),"")</f>
        <v/>
      </c>
    </row>
    <row r="345" spans="7:12" x14ac:dyDescent="0.25">
      <c r="G345" s="56">
        <f>IFERROR(SUMPRODUCT((TEXT(CC!$C$3:$C$1000,"0")=TEXT(C345,"0"))*IFERROR(CC!$E$3:$E$1000+0,0)),0)</f>
      </c>
      <c r="H345" s="45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46" t="str">
        <f>IF(C345&lt;&gt;"",_xlfn.XLOOKUP(TEXT(C345,"0"),TEXT(CC!$C$3:$C$1000,"0"),CC!$G$3:$G$1000,""),"")</f>
        <v/>
      </c>
    </row>
    <row r="346" spans="7:12" x14ac:dyDescent="0.25">
      <c r="G346" s="56">
        <f>IFERROR(SUMPRODUCT((TEXT(CC!$C$3:$C$1000,"0")=TEXT(C346,"0"))*IFERROR(CC!$E$3:$E$1000+0,0)),0)</f>
      </c>
      <c r="H346" s="45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46" t="str">
        <f>IF(C346&lt;&gt;"",_xlfn.XLOOKUP(TEXT(C346,"0"),TEXT(CC!$C$3:$C$1000,"0"),CC!$G$3:$G$1000,""),"")</f>
        <v/>
      </c>
    </row>
    <row r="347" spans="7:12" x14ac:dyDescent="0.25">
      <c r="G347" s="56">
        <f>IFERROR(SUMPRODUCT((TEXT(CC!$C$3:$C$1000,"0")=TEXT(C347,"0"))*IFERROR(CC!$E$3:$E$1000+0,0)),0)</f>
      </c>
      <c r="H347" s="45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46" t="str">
        <f>IF(C347&lt;&gt;"",_xlfn.XLOOKUP(TEXT(C347,"0"),TEXT(CC!$C$3:$C$1000,"0"),CC!$G$3:$G$1000,""),"")</f>
        <v/>
      </c>
    </row>
    <row r="348" spans="7:12" x14ac:dyDescent="0.25">
      <c r="G348" s="56">
        <f>IFERROR(SUMPRODUCT((TEXT(CC!$C$3:$C$1000,"0")=TEXT(C348,"0"))*IFERROR(CC!$E$3:$E$1000+0,0)),0)</f>
      </c>
      <c r="H348" s="45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46" t="str">
        <f>IF(C348&lt;&gt;"",_xlfn.XLOOKUP(TEXT(C348,"0"),TEXT(CC!$C$3:$C$1000,"0"),CC!$G$3:$G$1000,""),"")</f>
        <v/>
      </c>
    </row>
    <row r="349" spans="7:12" x14ac:dyDescent="0.25">
      <c r="G349" s="56">
        <f>IFERROR(SUMPRODUCT((TEXT(CC!$C$3:$C$1000,"0")=TEXT(C349,"0"))*IFERROR(CC!$E$3:$E$1000+0,0)),0)</f>
      </c>
      <c r="H349" s="45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46" t="str">
        <f>IF(C349&lt;&gt;"",_xlfn.XLOOKUP(TEXT(C349,"0"),TEXT(CC!$C$3:$C$1000,"0"),CC!$G$3:$G$1000,""),"")</f>
        <v/>
      </c>
    </row>
    <row r="350" spans="7:12" x14ac:dyDescent="0.25">
      <c r="G350" s="56">
        <f>IFERROR(SUMPRODUCT((TEXT(CC!$C$3:$C$1000,"0")=TEXT(C350,"0"))*IFERROR(CC!$E$3:$E$1000+0,0)),0)</f>
      </c>
      <c r="H350" s="45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46" t="str">
        <f>IF(C350&lt;&gt;"",_xlfn.XLOOKUP(TEXT(C350,"0"),TEXT(CC!$C$3:$C$1000,"0"),CC!$G$3:$G$1000,""),"")</f>
        <v/>
      </c>
    </row>
    <row r="351" spans="7:12" x14ac:dyDescent="0.25">
      <c r="G351" s="56">
        <f>IFERROR(SUMPRODUCT((TEXT(CC!$C$3:$C$1000,"0")=TEXT(C351,"0"))*IFERROR(CC!$E$3:$E$1000+0,0)),0)</f>
      </c>
      <c r="H351" s="45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46" t="str">
        <f>IF(C351&lt;&gt;"",_xlfn.XLOOKUP(TEXT(C351,"0"),TEXT(CC!$C$3:$C$1000,"0"),CC!$G$3:$G$1000,""),"")</f>
        <v/>
      </c>
    </row>
    <row r="352" spans="7:12" x14ac:dyDescent="0.25">
      <c r="G352" s="56">
        <f>IFERROR(SUMPRODUCT((TEXT(CC!$C$3:$C$1000,"0")=TEXT(C352,"0"))*IFERROR(CC!$E$3:$E$1000+0,0)),0)</f>
      </c>
      <c r="H352" s="45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46" t="str">
        <f>IF(C352&lt;&gt;"",_xlfn.XLOOKUP(TEXT(C352,"0"),TEXT(CC!$C$3:$C$1000,"0"),CC!$G$3:$G$1000,""),"")</f>
        <v/>
      </c>
    </row>
    <row r="353" spans="7:12" x14ac:dyDescent="0.25">
      <c r="G353" s="56">
        <f>IFERROR(SUMPRODUCT((TEXT(CC!$C$3:$C$1000,"0")=TEXT(C353,"0"))*IFERROR(CC!$E$3:$E$1000+0,0)),0)</f>
      </c>
      <c r="H353" s="45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46" t="str">
        <f>IF(C353&lt;&gt;"",_xlfn.XLOOKUP(TEXT(C353,"0"),TEXT(CC!$C$3:$C$1000,"0"),CC!$G$3:$G$1000,""),"")</f>
        <v/>
      </c>
    </row>
    <row r="354" spans="7:12" x14ac:dyDescent="0.25">
      <c r="G354" s="56">
        <f>IFERROR(SUMPRODUCT((TEXT(CC!$C$3:$C$1000,"0")=TEXT(C354,"0"))*IFERROR(CC!$E$3:$E$1000+0,0)),0)</f>
      </c>
      <c r="H354" s="45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46" t="str">
        <f>IF(C354&lt;&gt;"",_xlfn.XLOOKUP(TEXT(C354,"0"),TEXT(CC!$C$3:$C$1000,"0"),CC!$G$3:$G$1000,""),"")</f>
        <v/>
      </c>
    </row>
    <row r="355" spans="7:12" x14ac:dyDescent="0.25">
      <c r="G355" s="56">
        <f>IFERROR(SUMPRODUCT((TEXT(CC!$C$3:$C$1000,"0")=TEXT(C355,"0"))*IFERROR(CC!$E$3:$E$1000+0,0)),0)</f>
      </c>
      <c r="H355" s="45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46" t="str">
        <f>IF(C355&lt;&gt;"",_xlfn.XLOOKUP(TEXT(C355,"0"),TEXT(CC!$C$3:$C$1000,"0"),CC!$G$3:$G$1000,""),"")</f>
        <v/>
      </c>
    </row>
    <row r="356" spans="7:12" x14ac:dyDescent="0.25">
      <c r="G356" s="56">
        <f>IFERROR(SUMPRODUCT((TEXT(CC!$C$3:$C$1000,"0")=TEXT(C356,"0"))*IFERROR(CC!$E$3:$E$1000+0,0)),0)</f>
      </c>
      <c r="H356" s="45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46" t="str">
        <f>IF(C356&lt;&gt;"",_xlfn.XLOOKUP(TEXT(C356,"0"),TEXT(CC!$C$3:$C$1000,"0"),CC!$G$3:$G$1000,""),"")</f>
        <v/>
      </c>
    </row>
    <row r="357" spans="7:12" x14ac:dyDescent="0.25">
      <c r="G357" s="56">
        <f>IFERROR(SUMPRODUCT((TEXT(CC!$C$3:$C$1000,"0")=TEXT(C357,"0"))*IFERROR(CC!$E$3:$E$1000+0,0)),0)</f>
      </c>
      <c r="H357" s="45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46" t="str">
        <f>IF(C357&lt;&gt;"",_xlfn.XLOOKUP(TEXT(C357,"0"),TEXT(CC!$C$3:$C$1000,"0"),CC!$G$3:$G$1000,""),"")</f>
        <v/>
      </c>
    </row>
    <row r="358" spans="7:12" x14ac:dyDescent="0.25">
      <c r="G358" s="56">
        <f>IFERROR(SUMPRODUCT((TEXT(CC!$C$3:$C$1000,"0")=TEXT(C358,"0"))*IFERROR(CC!$E$3:$E$1000+0,0)),0)</f>
      </c>
      <c r="H358" s="45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46" t="str">
        <f>IF(C358&lt;&gt;"",_xlfn.XLOOKUP(TEXT(C358,"0"),TEXT(CC!$C$3:$C$1000,"0"),CC!$G$3:$G$1000,""),"")</f>
        <v/>
      </c>
    </row>
    <row r="359" spans="7:12" x14ac:dyDescent="0.25">
      <c r="G359" s="56">
        <f>IFERROR(SUMPRODUCT((TEXT(CC!$C$3:$C$1000,"0")=TEXT(C359,"0"))*IFERROR(CC!$E$3:$E$1000+0,0)),0)</f>
      </c>
      <c r="H359" s="45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46" t="str">
        <f>IF(C359&lt;&gt;"",_xlfn.XLOOKUP(TEXT(C359,"0"),TEXT(CC!$C$3:$C$1000,"0"),CC!$G$3:$G$1000,""),"")</f>
        <v/>
      </c>
    </row>
    <row r="360" spans="7:12" x14ac:dyDescent="0.25">
      <c r="G360" s="56">
        <f>IFERROR(SUMPRODUCT((TEXT(CC!$C$3:$C$1000,"0")=TEXT(C360,"0"))*IFERROR(CC!$E$3:$E$1000+0,0)),0)</f>
      </c>
      <c r="H360" s="45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46" t="str">
        <f>IF(C360&lt;&gt;"",_xlfn.XLOOKUP(TEXT(C360,"0"),TEXT(CC!$C$3:$C$1000,"0"),CC!$G$3:$G$1000,""),"")</f>
        <v/>
      </c>
    </row>
    <row r="361" spans="7:12" x14ac:dyDescent="0.25">
      <c r="G361" s="56">
        <f>IFERROR(SUMPRODUCT((TEXT(CC!$C$3:$C$1000,"0")=TEXT(C361,"0"))*IFERROR(CC!$E$3:$E$1000+0,0)),0)</f>
      </c>
      <c r="H361" s="45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46" t="str">
        <f>IF(C361&lt;&gt;"",_xlfn.XLOOKUP(TEXT(C361,"0"),TEXT(CC!$C$3:$C$1000,"0"),CC!$G$3:$G$1000,""),"")</f>
        <v/>
      </c>
    </row>
    <row r="362" spans="7:12" x14ac:dyDescent="0.25">
      <c r="G362" s="56">
        <f>IFERROR(SUMPRODUCT((TEXT(CC!$C$3:$C$1000,"0")=TEXT(C362,"0"))*IFERROR(CC!$E$3:$E$1000+0,0)),0)</f>
      </c>
      <c r="H362" s="45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46" t="str">
        <f>IF(C362&lt;&gt;"",_xlfn.XLOOKUP(TEXT(C362,"0"),TEXT(CC!$C$3:$C$1000,"0"),CC!$G$3:$G$1000,""),"")</f>
        <v/>
      </c>
    </row>
    <row r="363" spans="7:12" x14ac:dyDescent="0.25">
      <c r="G363" s="56">
        <f>IFERROR(SUMPRODUCT((TEXT(CC!$C$3:$C$1000,"0")=TEXT(C363,"0"))*IFERROR(CC!$E$3:$E$1000+0,0)),0)</f>
      </c>
      <c r="H363" s="45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46" t="str">
        <f>IF(C363&lt;&gt;"",_xlfn.XLOOKUP(TEXT(C363,"0"),TEXT(CC!$C$3:$C$1000,"0"),CC!$G$3:$G$1000,""),"")</f>
        <v/>
      </c>
    </row>
    <row r="364" spans="7:12" x14ac:dyDescent="0.25">
      <c r="G364" s="56">
        <f>IFERROR(SUMPRODUCT((TEXT(CC!$C$3:$C$1000,"0")=TEXT(C364,"0"))*IFERROR(CC!$E$3:$E$1000+0,0)),0)</f>
      </c>
      <c r="H364" s="45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46" t="str">
        <f>IF(C364&lt;&gt;"",_xlfn.XLOOKUP(TEXT(C364,"0"),TEXT(CC!$C$3:$C$1000,"0"),CC!$G$3:$G$1000,""),"")</f>
        <v/>
      </c>
    </row>
    <row r="365" spans="7:12" x14ac:dyDescent="0.25">
      <c r="G365" s="56">
        <f>IFERROR(SUMPRODUCT((TEXT(CC!$C$3:$C$1000,"0")=TEXT(C365,"0"))*IFERROR(CC!$E$3:$E$1000+0,0)),0)</f>
      </c>
      <c r="H365" s="45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46" t="str">
        <f>IF(C365&lt;&gt;"",_xlfn.XLOOKUP(TEXT(C365,"0"),TEXT(CC!$C$3:$C$1000,"0"),CC!$G$3:$G$1000,""),"")</f>
        <v/>
      </c>
    </row>
    <row r="366" spans="7:12" x14ac:dyDescent="0.25">
      <c r="G366" s="56">
        <f>IFERROR(SUMPRODUCT((TEXT(CC!$C$3:$C$1000,"0")=TEXT(C366,"0"))*IFERROR(CC!$E$3:$E$1000+0,0)),0)</f>
      </c>
      <c r="H366" s="45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46" t="str">
        <f>IF(C366&lt;&gt;"",_xlfn.XLOOKUP(TEXT(C366,"0"),TEXT(CC!$C$3:$C$1000,"0"),CC!$G$3:$G$1000,""),"")</f>
        <v/>
      </c>
    </row>
    <row r="367" spans="7:12" x14ac:dyDescent="0.25">
      <c r="G367" s="56">
        <f>IFERROR(SUMPRODUCT((TEXT(CC!$C$3:$C$1000,"0")=TEXT(C367,"0"))*IFERROR(CC!$E$3:$E$1000+0,0)),0)</f>
      </c>
      <c r="H367" s="45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46" t="str">
        <f>IF(C367&lt;&gt;"",_xlfn.XLOOKUP(TEXT(C367,"0"),TEXT(CC!$C$3:$C$1000,"0"),CC!$G$3:$G$1000,""),"")</f>
        <v/>
      </c>
    </row>
    <row r="368" spans="7:12" x14ac:dyDescent="0.25">
      <c r="G368" s="56">
        <f>IFERROR(SUMPRODUCT((TEXT(CC!$C$3:$C$1000,"0")=TEXT(C368,"0"))*IFERROR(CC!$E$3:$E$1000+0,0)),0)</f>
      </c>
      <c r="H368" s="45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46" t="str">
        <f>IF(C368&lt;&gt;"",_xlfn.XLOOKUP(TEXT(C368,"0"),TEXT(CC!$C$3:$C$1000,"0"),CC!$G$3:$G$1000,""),"")</f>
        <v/>
      </c>
    </row>
    <row r="369" spans="7:12" x14ac:dyDescent="0.25">
      <c r="G369" s="56">
        <f>IFERROR(SUMPRODUCT((TEXT(CC!$C$3:$C$1000,"0")=TEXT(C369,"0"))*IFERROR(CC!$E$3:$E$1000+0,0)),0)</f>
      </c>
      <c r="H369" s="45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46" t="str">
        <f>IF(C369&lt;&gt;"",_xlfn.XLOOKUP(TEXT(C369,"0"),TEXT(CC!$C$3:$C$1000,"0"),CC!$G$3:$G$1000,""),"")</f>
        <v/>
      </c>
    </row>
    <row r="370" spans="7:12" x14ac:dyDescent="0.25">
      <c r="G370" s="56">
        <f>IFERROR(SUMPRODUCT((TEXT(CC!$C$3:$C$1000,"0")=TEXT(C370,"0"))*IFERROR(CC!$E$3:$E$1000+0,0)),0)</f>
      </c>
      <c r="H370" s="45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46" t="str">
        <f>IF(C370&lt;&gt;"",_xlfn.XLOOKUP(TEXT(C370,"0"),TEXT(CC!$C$3:$C$1000,"0"),CC!$G$3:$G$1000,""),"")</f>
        <v/>
      </c>
    </row>
    <row r="371" spans="7:12" x14ac:dyDescent="0.25">
      <c r="G371" s="56">
        <f>IFERROR(SUMPRODUCT((TEXT(CC!$C$3:$C$1000,"0")=TEXT(C371,"0"))*IFERROR(CC!$E$3:$E$1000+0,0)),0)</f>
      </c>
      <c r="H371" s="45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46" t="str">
        <f>IF(C371&lt;&gt;"",_xlfn.XLOOKUP(TEXT(C371,"0"),TEXT(CC!$C$3:$C$1000,"0"),CC!$G$3:$G$1000,""),"")</f>
        <v/>
      </c>
    </row>
    <row r="372" spans="7:12" x14ac:dyDescent="0.25">
      <c r="G372" s="56">
        <f>IFERROR(SUMPRODUCT((TEXT(CC!$C$3:$C$1000,"0")=TEXT(C372,"0"))*IFERROR(CC!$E$3:$E$1000+0,0)),0)</f>
      </c>
      <c r="H372" s="45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46" t="str">
        <f>IF(C372&lt;&gt;"",_xlfn.XLOOKUP(TEXT(C372,"0"),TEXT(CC!$C$3:$C$1000,"0"),CC!$G$3:$G$1000,""),"")</f>
        <v/>
      </c>
    </row>
    <row r="373" spans="7:12" x14ac:dyDescent="0.25">
      <c r="G373" s="56">
        <f>IFERROR(SUMPRODUCT((TEXT(CC!$C$3:$C$1000,"0")=TEXT(C373,"0"))*IFERROR(CC!$E$3:$E$1000+0,0)),0)</f>
      </c>
      <c r="H373" s="45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46" t="str">
        <f>IF(C373&lt;&gt;"",_xlfn.XLOOKUP(TEXT(C373,"0"),TEXT(CC!$C$3:$C$1000,"0"),CC!$G$3:$G$1000,""),"")</f>
        <v/>
      </c>
    </row>
    <row r="374" spans="7:12" x14ac:dyDescent="0.25">
      <c r="G374" s="56">
        <f>IFERROR(SUMPRODUCT((TEXT(CC!$C$3:$C$1000,"0")=TEXT(C374,"0"))*IFERROR(CC!$E$3:$E$1000+0,0)),0)</f>
      </c>
      <c r="H374" s="45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46" t="str">
        <f>IF(C374&lt;&gt;"",_xlfn.XLOOKUP(TEXT(C374,"0"),TEXT(CC!$C$3:$C$1000,"0"),CC!$G$3:$G$1000,""),"")</f>
        <v/>
      </c>
    </row>
    <row r="375" spans="7:12" x14ac:dyDescent="0.25">
      <c r="G375" s="56">
        <f>IFERROR(SUMPRODUCT((TEXT(CC!$C$3:$C$1000,"0")=TEXT(C375,"0"))*IFERROR(CC!$E$3:$E$1000+0,0)),0)</f>
      </c>
      <c r="H375" s="45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46" t="str">
        <f>IF(C375&lt;&gt;"",_xlfn.XLOOKUP(TEXT(C375,"0"),TEXT(CC!$C$3:$C$1000,"0"),CC!$G$3:$G$1000,""),"")</f>
        <v/>
      </c>
    </row>
    <row r="376" spans="7:12" x14ac:dyDescent="0.25">
      <c r="G376" s="56">
        <f>IFERROR(SUMPRODUCT((TEXT(CC!$C$3:$C$1000,"0")=TEXT(C376,"0"))*IFERROR(CC!$E$3:$E$1000+0,0)),0)</f>
      </c>
      <c r="H376" s="45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46" t="str">
        <f>IF(C376&lt;&gt;"",_xlfn.XLOOKUP(TEXT(C376,"0"),TEXT(CC!$C$3:$C$1000,"0"),CC!$G$3:$G$1000,""),"")</f>
        <v/>
      </c>
    </row>
    <row r="377" spans="7:12" x14ac:dyDescent="0.25">
      <c r="G377" s="56">
        <f>IFERROR(SUMPRODUCT((TEXT(CC!$C$3:$C$1000,"0")=TEXT(C377,"0"))*IFERROR(CC!$E$3:$E$1000+0,0)),0)</f>
      </c>
      <c r="H377" s="45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46" t="str">
        <f>IF(C377&lt;&gt;"",_xlfn.XLOOKUP(TEXT(C377,"0"),TEXT(CC!$C$3:$C$1000,"0"),CC!$G$3:$G$1000,""),"")</f>
        <v/>
      </c>
    </row>
    <row r="378" spans="7:12" x14ac:dyDescent="0.25">
      <c r="G378" s="56">
        <f>IFERROR(SUMPRODUCT((TEXT(CC!$C$3:$C$1000,"0")=TEXT(C378,"0"))*IFERROR(CC!$E$3:$E$1000+0,0)),0)</f>
      </c>
      <c r="H378" s="45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46" t="str">
        <f>IF(C378&lt;&gt;"",_xlfn.XLOOKUP(TEXT(C378,"0"),TEXT(CC!$C$3:$C$1000,"0"),CC!$G$3:$G$1000,""),"")</f>
        <v/>
      </c>
    </row>
    <row r="379" spans="7:12" x14ac:dyDescent="0.25">
      <c r="G379" s="56">
        <f>IFERROR(SUMPRODUCT((TEXT(CC!$C$3:$C$1000,"0")=TEXT(C379,"0"))*IFERROR(CC!$E$3:$E$1000+0,0)),0)</f>
      </c>
      <c r="H379" s="45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46" t="str">
        <f>IF(C379&lt;&gt;"",_xlfn.XLOOKUP(TEXT(C379,"0"),TEXT(CC!$C$3:$C$1000,"0"),CC!$G$3:$G$1000,""),"")</f>
        <v/>
      </c>
    </row>
    <row r="380" spans="7:12" x14ac:dyDescent="0.25">
      <c r="G380" s="56">
        <f>IFERROR(SUMPRODUCT((TEXT(CC!$C$3:$C$1000,"0")=TEXT(C380,"0"))*IFERROR(CC!$E$3:$E$1000+0,0)),0)</f>
      </c>
      <c r="H380" s="45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46" t="str">
        <f>IF(C380&lt;&gt;"",_xlfn.XLOOKUP(TEXT(C380,"0"),TEXT(CC!$C$3:$C$1000,"0"),CC!$G$3:$G$1000,""),"")</f>
        <v/>
      </c>
    </row>
    <row r="381" spans="7:12" x14ac:dyDescent="0.25">
      <c r="G381" s="56">
        <f>IFERROR(SUMPRODUCT((TEXT(CC!$C$3:$C$1000,"0")=TEXT(C381,"0"))*IFERROR(CC!$E$3:$E$1000+0,0)),0)</f>
      </c>
      <c r="H381" s="45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46" t="str">
        <f>IF(C381&lt;&gt;"",_xlfn.XLOOKUP(TEXT(C381,"0"),TEXT(CC!$C$3:$C$1000,"0"),CC!$G$3:$G$1000,""),"")</f>
        <v/>
      </c>
    </row>
    <row r="382" spans="7:12" x14ac:dyDescent="0.25">
      <c r="G382" s="56">
        <f>IFERROR(SUMPRODUCT((TEXT(CC!$C$3:$C$1000,"0")=TEXT(C382,"0"))*IFERROR(CC!$E$3:$E$1000+0,0)),0)</f>
      </c>
      <c r="H382" s="45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46" t="str">
        <f>IF(C382&lt;&gt;"",_xlfn.XLOOKUP(TEXT(C382,"0"),TEXT(CC!$C$3:$C$1000,"0"),CC!$G$3:$G$1000,""),"")</f>
        <v/>
      </c>
    </row>
    <row r="383" spans="7:12" x14ac:dyDescent="0.25">
      <c r="G383" s="56">
        <f>IFERROR(SUMPRODUCT((TEXT(CC!$C$3:$C$1000,"0")=TEXT(C383,"0"))*IFERROR(CC!$E$3:$E$1000+0,0)),0)</f>
      </c>
      <c r="H383" s="45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46" t="str">
        <f>IF(C383&lt;&gt;"",_xlfn.XLOOKUP(TEXT(C383,"0"),TEXT(CC!$C$3:$C$1000,"0"),CC!$G$3:$G$1000,""),"")</f>
        <v/>
      </c>
    </row>
    <row r="384" spans="7:12" x14ac:dyDescent="0.25">
      <c r="G384" s="56">
        <f>IFERROR(SUMPRODUCT((TEXT(CC!$C$3:$C$1000,"0")=TEXT(C384,"0"))*IFERROR(CC!$E$3:$E$1000+0,0)),0)</f>
      </c>
      <c r="H384" s="45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46" t="str">
        <f>IF(C384&lt;&gt;"",_xlfn.XLOOKUP(TEXT(C384,"0"),TEXT(CC!$C$3:$C$1000,"0"),CC!$G$3:$G$1000,""),"")</f>
        <v/>
      </c>
    </row>
    <row r="385" spans="7:12" x14ac:dyDescent="0.25">
      <c r="G385" s="56">
        <f>IFERROR(SUMPRODUCT((TEXT(CC!$C$3:$C$1000,"0")=TEXT(C385,"0"))*IFERROR(CC!$E$3:$E$1000+0,0)),0)</f>
      </c>
      <c r="H385" s="45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46" t="str">
        <f>IF(C385&lt;&gt;"",_xlfn.XLOOKUP(TEXT(C385,"0"),TEXT(CC!$C$3:$C$1000,"0"),CC!$G$3:$G$1000,""),"")</f>
        <v/>
      </c>
    </row>
    <row r="386" spans="7:12" x14ac:dyDescent="0.25">
      <c r="G386" s="56">
        <f>IFERROR(SUMPRODUCT((TEXT(CC!$C$3:$C$1000,"0")=TEXT(C386,"0"))*IFERROR(CC!$E$3:$E$1000+0,0)),0)</f>
      </c>
      <c r="H386" s="45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46" t="str">
        <f>IF(C386&lt;&gt;"",_xlfn.XLOOKUP(TEXT(C386,"0"),TEXT(CC!$C$3:$C$1000,"0"),CC!$G$3:$G$1000,""),"")</f>
        <v/>
      </c>
    </row>
    <row r="387" spans="7:12" x14ac:dyDescent="0.25">
      <c r="G387" s="56">
        <f>IFERROR(SUMPRODUCT((TEXT(CC!$C$3:$C$1000,"0")=TEXT(C387,"0"))*IFERROR(CC!$E$3:$E$1000+0,0)),0)</f>
      </c>
      <c r="H387" s="45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46" t="str">
        <f>IF(C387&lt;&gt;"",_xlfn.XLOOKUP(TEXT(C387,"0"),TEXT(CC!$C$3:$C$1000,"0"),CC!$G$3:$G$1000,""),"")</f>
        <v/>
      </c>
    </row>
    <row r="388" spans="7:12" x14ac:dyDescent="0.25">
      <c r="G388" s="56">
        <f>IFERROR(SUMPRODUCT((TEXT(CC!$C$3:$C$1000,"0")=TEXT(C388,"0"))*IFERROR(CC!$E$3:$E$1000+0,0)),0)</f>
      </c>
      <c r="H388" s="45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46" t="str">
        <f>IF(C388&lt;&gt;"",_xlfn.XLOOKUP(TEXT(C388,"0"),TEXT(CC!$C$3:$C$1000,"0"),CC!$G$3:$G$1000,""),"")</f>
        <v/>
      </c>
    </row>
    <row r="389" spans="7:12" x14ac:dyDescent="0.25">
      <c r="G389" s="56">
        <f>IFERROR(SUMPRODUCT((TEXT(CC!$C$3:$C$1000,"0")=TEXT(C389,"0"))*IFERROR(CC!$E$3:$E$1000+0,0)),0)</f>
      </c>
      <c r="H389" s="45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46" t="str">
        <f>IF(C389&lt;&gt;"",_xlfn.XLOOKUP(TEXT(C389,"0"),TEXT(CC!$C$3:$C$1000,"0"),CC!$G$3:$G$1000,""),"")</f>
        <v/>
      </c>
    </row>
    <row r="390" spans="7:12" x14ac:dyDescent="0.25">
      <c r="G390" s="56">
        <f>IFERROR(SUMPRODUCT((TEXT(CC!$C$3:$C$1000,"0")=TEXT(C390,"0"))*IFERROR(CC!$E$3:$E$1000+0,0)),0)</f>
      </c>
      <c r="H390" s="45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46" t="str">
        <f>IF(C390&lt;&gt;"",_xlfn.XLOOKUP(TEXT(C390,"0"),TEXT(CC!$C$3:$C$1000,"0"),CC!$G$3:$G$1000,""),"")</f>
        <v/>
      </c>
    </row>
    <row r="391" spans="7:12" x14ac:dyDescent="0.25">
      <c r="G391" s="56">
        <f>IFERROR(SUMPRODUCT((TEXT(CC!$C$3:$C$1000,"0")=TEXT(C391,"0"))*IFERROR(CC!$E$3:$E$1000+0,0)),0)</f>
      </c>
      <c r="H391" s="45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46" t="str">
        <f>IF(C391&lt;&gt;"",_xlfn.XLOOKUP(TEXT(C391,"0"),TEXT(CC!$C$3:$C$1000,"0"),CC!$G$3:$G$1000,""),"")</f>
        <v/>
      </c>
    </row>
    <row r="392" spans="7:12" x14ac:dyDescent="0.25">
      <c r="G392" s="56">
        <f>IFERROR(SUMPRODUCT((TEXT(CC!$C$3:$C$1000,"0")=TEXT(C392,"0"))*IFERROR(CC!$E$3:$E$1000+0,0)),0)</f>
      </c>
      <c r="H392" s="45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46" t="str">
        <f>IF(C392&lt;&gt;"",_xlfn.XLOOKUP(TEXT(C392,"0"),TEXT(CC!$C$3:$C$1000,"0"),CC!$G$3:$G$1000,""),"")</f>
        <v/>
      </c>
    </row>
    <row r="393" spans="7:12" x14ac:dyDescent="0.25">
      <c r="G393" s="56">
        <f>IFERROR(SUMPRODUCT((TEXT(CC!$C$3:$C$1000,"0")=TEXT(C393,"0"))*IFERROR(CC!$E$3:$E$1000+0,0)),0)</f>
      </c>
      <c r="H393" s="45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46" t="str">
        <f>IF(C393&lt;&gt;"",_xlfn.XLOOKUP(TEXT(C393,"0"),TEXT(CC!$C$3:$C$1000,"0"),CC!$G$3:$G$1000,""),"")</f>
        <v/>
      </c>
    </row>
    <row r="394" spans="7:12" x14ac:dyDescent="0.25">
      <c r="G394" s="56">
        <f>IFERROR(SUMPRODUCT((TEXT(CC!$C$3:$C$1000,"0")=TEXT(C394,"0"))*IFERROR(CC!$E$3:$E$1000+0,0)),0)</f>
      </c>
      <c r="H394" s="45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46" t="str">
        <f>IF(C394&lt;&gt;"",_xlfn.XLOOKUP(TEXT(C394,"0"),TEXT(CC!$C$3:$C$1000,"0"),CC!$G$3:$G$1000,""),"")</f>
        <v/>
      </c>
    </row>
    <row r="395" spans="7:12" x14ac:dyDescent="0.25">
      <c r="G395" s="56">
        <f>IFERROR(SUMPRODUCT((TEXT(CC!$C$3:$C$1000,"0")=TEXT(C395,"0"))*IFERROR(CC!$E$3:$E$1000+0,0)),0)</f>
      </c>
      <c r="H395" s="45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46" t="str">
        <f>IF(C395&lt;&gt;"",_xlfn.XLOOKUP(TEXT(C395,"0"),TEXT(CC!$C$3:$C$1000,"0"),CC!$G$3:$G$1000,""),"")</f>
        <v/>
      </c>
    </row>
    <row r="396" spans="7:12" x14ac:dyDescent="0.25">
      <c r="G396" s="56">
        <f>IFERROR(SUMPRODUCT((TEXT(CC!$C$3:$C$1000,"0")=TEXT(C396,"0"))*IFERROR(CC!$E$3:$E$1000+0,0)),0)</f>
      </c>
      <c r="H396" s="45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46" t="str">
        <f>IF(C396&lt;&gt;"",_xlfn.XLOOKUP(TEXT(C396,"0"),TEXT(CC!$C$3:$C$1000,"0"),CC!$G$3:$G$1000,""),"")</f>
        <v/>
      </c>
    </row>
    <row r="397" spans="7:12" x14ac:dyDescent="0.25">
      <c r="G397" s="56">
        <f>IFERROR(SUMPRODUCT((TEXT(CC!$C$3:$C$1000,"0")=TEXT(C397,"0"))*IFERROR(CC!$E$3:$E$1000+0,0)),0)</f>
      </c>
      <c r="H397" s="45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46" t="str">
        <f>IF(C397&lt;&gt;"",_xlfn.XLOOKUP(TEXT(C397,"0"),TEXT(CC!$C$3:$C$1000,"0"),CC!$G$3:$G$1000,""),"")</f>
        <v/>
      </c>
    </row>
    <row r="398" spans="7:12" x14ac:dyDescent="0.25">
      <c r="G398" s="56">
        <f>IFERROR(SUMPRODUCT((TEXT(CC!$C$3:$C$1000,"0")=TEXT(C398,"0"))*IFERROR(CC!$E$3:$E$1000+0,0)),0)</f>
      </c>
      <c r="H398" s="45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46" t="str">
        <f>IF(C398&lt;&gt;"",_xlfn.XLOOKUP(TEXT(C398,"0"),TEXT(CC!$C$3:$C$1000,"0"),CC!$G$3:$G$1000,""),"")</f>
        <v/>
      </c>
    </row>
    <row r="399" spans="7:12" x14ac:dyDescent="0.25">
      <c r="G399" s="56">
        <f>IFERROR(SUMPRODUCT((TEXT(CC!$C$3:$C$1000,"0")=TEXT(C399,"0"))*IFERROR(CC!$E$3:$E$1000+0,0)),0)</f>
      </c>
      <c r="H399" s="45"/>
      <c r="I399" s="24" t="str">
        <f t="shared" si="20"/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46" t="str">
        <f>IF(C399&lt;&gt;"",_xlfn.XLOOKUP(TEXT(C399,"0"),TEXT(CC!$C$3:$C$1000,"0"),CC!$G$3:$G$1000,""),"")</f>
        <v/>
      </c>
    </row>
    <row r="400" spans="7:12" x14ac:dyDescent="0.25">
      <c r="G400" s="56">
        <f>IFERROR(SUMPRODUCT((TEXT(CC!$C$3:$C$1000,"0")=TEXT(C400,"0"))*IFERROR(CC!$E$3:$E$1000+0,0)),0)</f>
      </c>
      <c r="H400" s="45"/>
      <c r="I400" s="24" t="str">
        <f t="shared" ref="I400:I463" si="22">IF(J400&lt;&gt;0,"501010","")</f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46" t="str">
        <f>IF(C400&lt;&gt;"",_xlfn.XLOOKUP(TEXT(C400,"0"),TEXT(CC!$C$3:$C$1000,"0"),CC!$G$3:$G$1000,""),"")</f>
        <v/>
      </c>
    </row>
    <row r="401" spans="7:12" x14ac:dyDescent="0.25">
      <c r="G401" s="56">
        <f>IFERROR(SUMPRODUCT((TEXT(CC!$C$3:$C$1000,"0")=TEXT(C401,"0"))*IFERROR(CC!$E$3:$E$1000+0,0)),0)</f>
      </c>
      <c r="H401" s="45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46" t="str">
        <f>IF(C401&lt;&gt;"",_xlfn.XLOOKUP(TEXT(C401,"0"),TEXT(CC!$C$3:$C$1000,"0"),CC!$G$3:$G$1000,""),"")</f>
        <v/>
      </c>
    </row>
    <row r="402" spans="7:12" x14ac:dyDescent="0.25">
      <c r="G402" s="56">
        <f>IFERROR(SUMPRODUCT((TEXT(CC!$C$3:$C$1000,"0")=TEXT(C402,"0"))*IFERROR(CC!$E$3:$E$1000+0,0)),0)</f>
      </c>
      <c r="H402" s="45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46" t="str">
        <f>IF(C402&lt;&gt;"",_xlfn.XLOOKUP(TEXT(C402,"0"),TEXT(CC!$C$3:$C$1000,"0"),CC!$G$3:$G$1000,""),"")</f>
        <v/>
      </c>
    </row>
    <row r="403" spans="7:12" x14ac:dyDescent="0.25">
      <c r="G403" s="56">
        <f>IFERROR(SUMPRODUCT((TEXT(CC!$C$3:$C$1000,"0")=TEXT(C403,"0"))*IFERROR(CC!$E$3:$E$1000+0,0)),0)</f>
      </c>
      <c r="H403" s="45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46" t="str">
        <f>IF(C403&lt;&gt;"",_xlfn.XLOOKUP(TEXT(C403,"0"),TEXT(CC!$C$3:$C$1000,"0"),CC!$G$3:$G$1000,""),"")</f>
        <v/>
      </c>
    </row>
    <row r="404" spans="7:12" x14ac:dyDescent="0.25">
      <c r="G404" s="56">
        <f>IFERROR(SUMPRODUCT((TEXT(CC!$C$3:$C$1000,"0")=TEXT(C404,"0"))*IFERROR(CC!$E$3:$E$1000+0,0)),0)</f>
      </c>
      <c r="H404" s="45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46" t="str">
        <f>IF(C404&lt;&gt;"",_xlfn.XLOOKUP(TEXT(C404,"0"),TEXT(CC!$C$3:$C$1000,"0"),CC!$G$3:$G$1000,""),"")</f>
        <v/>
      </c>
    </row>
    <row r="405" spans="7:12" x14ac:dyDescent="0.25">
      <c r="G405" s="56">
        <f>IFERROR(SUMPRODUCT((TEXT(CC!$C$3:$C$1000,"0")=TEXT(C405,"0"))*IFERROR(CC!$E$3:$E$1000+0,0)),0)</f>
      </c>
      <c r="H405" s="45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46" t="str">
        <f>IF(C405&lt;&gt;"",_xlfn.XLOOKUP(TEXT(C405,"0"),TEXT(CC!$C$3:$C$1000,"0"),CC!$G$3:$G$1000,""),"")</f>
        <v/>
      </c>
    </row>
    <row r="406" spans="7:12" x14ac:dyDescent="0.25">
      <c r="G406" s="56">
        <f>IFERROR(SUMPRODUCT((TEXT(CC!$C$3:$C$1000,"0")=TEXT(C406,"0"))*IFERROR(CC!$E$3:$E$1000+0,0)),0)</f>
      </c>
      <c r="H406" s="45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46" t="str">
        <f>IF(C406&lt;&gt;"",_xlfn.XLOOKUP(TEXT(C406,"0"),TEXT(CC!$C$3:$C$1000,"0"),CC!$G$3:$G$1000,""),"")</f>
        <v/>
      </c>
    </row>
    <row r="407" spans="7:12" x14ac:dyDescent="0.25">
      <c r="G407" s="56">
        <f>IFERROR(SUMPRODUCT((TEXT(CC!$C$3:$C$1000,"0")=TEXT(C407,"0"))*IFERROR(CC!$E$3:$E$1000+0,0)),0)</f>
      </c>
      <c r="H407" s="45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46" t="str">
        <f>IF(C407&lt;&gt;"",_xlfn.XLOOKUP(TEXT(C407,"0"),TEXT(CC!$C$3:$C$1000,"0"),CC!$G$3:$G$1000,""),"")</f>
        <v/>
      </c>
    </row>
    <row r="408" spans="7:12" x14ac:dyDescent="0.25">
      <c r="G408" s="56">
        <f>IFERROR(SUMPRODUCT((TEXT(CC!$C$3:$C$1000,"0")=TEXT(C408,"0"))*IFERROR(CC!$E$3:$E$1000+0,0)),0)</f>
      </c>
      <c r="H408" s="45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46" t="str">
        <f>IF(C408&lt;&gt;"",_xlfn.XLOOKUP(TEXT(C408,"0"),TEXT(CC!$C$3:$C$1000,"0"),CC!$G$3:$G$1000,""),"")</f>
        <v/>
      </c>
    </row>
    <row r="409" spans="7:12" x14ac:dyDescent="0.25">
      <c r="G409" s="56">
        <f>IFERROR(SUMPRODUCT((TEXT(CC!$C$3:$C$1000,"0")=TEXT(C409,"0"))*IFERROR(CC!$E$3:$E$1000+0,0)),0)</f>
      </c>
      <c r="H409" s="45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46" t="str">
        <f>IF(C409&lt;&gt;"",_xlfn.XLOOKUP(TEXT(C409,"0"),TEXT(CC!$C$3:$C$1000,"0"),CC!$G$3:$G$1000,""),"")</f>
        <v/>
      </c>
    </row>
    <row r="410" spans="7:12" x14ac:dyDescent="0.25">
      <c r="G410" s="56">
        <f>IFERROR(SUMPRODUCT((TEXT(CC!$C$3:$C$1000,"0")=TEXT(C410,"0"))*IFERROR(CC!$E$3:$E$1000+0,0)),0)</f>
      </c>
      <c r="H410" s="45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46" t="str">
        <f>IF(C410&lt;&gt;"",_xlfn.XLOOKUP(TEXT(C410,"0"),TEXT(CC!$C$3:$C$1000,"0"),CC!$G$3:$G$1000,""),"")</f>
        <v/>
      </c>
    </row>
    <row r="411" spans="7:12" x14ac:dyDescent="0.25">
      <c r="G411" s="56">
        <f>IFERROR(SUMPRODUCT((TEXT(CC!$C$3:$C$1000,"0")=TEXT(C411,"0"))*IFERROR(CC!$E$3:$E$1000+0,0)),0)</f>
      </c>
      <c r="H411" s="45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46" t="str">
        <f>IF(C411&lt;&gt;"",_xlfn.XLOOKUP(TEXT(C411,"0"),TEXT(CC!$C$3:$C$1000,"0"),CC!$G$3:$G$1000,""),"")</f>
        <v/>
      </c>
    </row>
    <row r="412" spans="7:12" x14ac:dyDescent="0.25">
      <c r="G412" s="56">
        <f>IFERROR(SUMPRODUCT((TEXT(CC!$C$3:$C$1000,"0")=TEXT(C412,"0"))*IFERROR(CC!$E$3:$E$1000+0,0)),0)</f>
      </c>
      <c r="H412" s="45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46" t="str">
        <f>IF(C412&lt;&gt;"",_xlfn.XLOOKUP(TEXT(C412,"0"),TEXT(CC!$C$3:$C$1000,"0"),CC!$G$3:$G$1000,""),"")</f>
        <v/>
      </c>
    </row>
    <row r="413" spans="7:12" x14ac:dyDescent="0.25">
      <c r="G413" s="56">
        <f>IFERROR(SUMPRODUCT((TEXT(CC!$C$3:$C$1000,"0")=TEXT(C413,"0"))*IFERROR(CC!$E$3:$E$1000+0,0)),0)</f>
      </c>
      <c r="H413" s="45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46" t="str">
        <f>IF(C413&lt;&gt;"",_xlfn.XLOOKUP(TEXT(C413,"0"),TEXT(CC!$C$3:$C$1000,"0"),CC!$G$3:$G$1000,""),"")</f>
        <v/>
      </c>
    </row>
    <row r="414" spans="7:12" x14ac:dyDescent="0.25">
      <c r="G414" s="56">
        <f>IFERROR(SUMPRODUCT((TEXT(CC!$C$3:$C$1000,"0")=TEXT(C414,"0"))*IFERROR(CC!$E$3:$E$1000+0,0)),0)</f>
      </c>
      <c r="H414" s="45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46" t="str">
        <f>IF(C414&lt;&gt;"",_xlfn.XLOOKUP(TEXT(C414,"0"),TEXT(CC!$C$3:$C$1000,"0"),CC!$G$3:$G$1000,""),"")</f>
        <v/>
      </c>
    </row>
    <row r="415" spans="7:12" x14ac:dyDescent="0.25">
      <c r="G415" s="56">
        <f>IFERROR(SUMPRODUCT((TEXT(CC!$C$3:$C$1000,"0")=TEXT(C415,"0"))*IFERROR(CC!$E$3:$E$1000+0,0)),0)</f>
      </c>
      <c r="H415" s="45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46" t="str">
        <f>IF(C415&lt;&gt;"",_xlfn.XLOOKUP(TEXT(C415,"0"),TEXT(CC!$C$3:$C$1000,"0"),CC!$G$3:$G$1000,""),"")</f>
        <v/>
      </c>
    </row>
    <row r="416" spans="7:12" x14ac:dyDescent="0.25">
      <c r="G416" s="56">
        <f>IFERROR(SUMPRODUCT((TEXT(CC!$C$3:$C$1000,"0")=TEXT(C416,"0"))*IFERROR(CC!$E$3:$E$1000+0,0)),0)</f>
      </c>
      <c r="H416" s="45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46" t="str">
        <f>IF(C416&lt;&gt;"",_xlfn.XLOOKUP(TEXT(C416,"0"),TEXT(CC!$C$3:$C$1000,"0"),CC!$G$3:$G$1000,""),"")</f>
        <v/>
      </c>
    </row>
    <row r="417" spans="7:12" x14ac:dyDescent="0.25">
      <c r="G417" s="56">
        <f>IFERROR(SUMPRODUCT((TEXT(CC!$C$3:$C$1000,"0")=TEXT(C417,"0"))*IFERROR(CC!$E$3:$E$1000+0,0)),0)</f>
      </c>
      <c r="H417" s="45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46" t="str">
        <f>IF(C417&lt;&gt;"",_xlfn.XLOOKUP(TEXT(C417,"0"),TEXT(CC!$C$3:$C$1000,"0"),CC!$G$3:$G$1000,""),"")</f>
        <v/>
      </c>
    </row>
    <row r="418" spans="7:12" x14ac:dyDescent="0.25">
      <c r="G418" s="56">
        <f>IFERROR(SUMPRODUCT((TEXT(CC!$C$3:$C$1000,"0")=TEXT(C418,"0"))*IFERROR(CC!$E$3:$E$1000+0,0)),0)</f>
      </c>
      <c r="H418" s="45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46" t="str">
        <f>IF(C418&lt;&gt;"",_xlfn.XLOOKUP(TEXT(C418,"0"),TEXT(CC!$C$3:$C$1000,"0"),CC!$G$3:$G$1000,""),"")</f>
        <v/>
      </c>
    </row>
    <row r="419" spans="7:12" x14ac:dyDescent="0.25">
      <c r="G419" s="56">
        <f>IFERROR(SUMPRODUCT((TEXT(CC!$C$3:$C$1000,"0")=TEXT(C419,"0"))*IFERROR(CC!$E$3:$E$1000+0,0)),0)</f>
      </c>
      <c r="H419" s="45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46" t="str">
        <f>IF(C419&lt;&gt;"",_xlfn.XLOOKUP(TEXT(C419,"0"),TEXT(CC!$C$3:$C$1000,"0"),CC!$G$3:$G$1000,""),"")</f>
        <v/>
      </c>
    </row>
    <row r="420" spans="7:12" x14ac:dyDescent="0.25">
      <c r="G420" s="56">
        <f>IFERROR(SUMPRODUCT((TEXT(CC!$C$3:$C$1000,"0")=TEXT(C420,"0"))*IFERROR(CC!$E$3:$E$1000+0,0)),0)</f>
      </c>
      <c r="H420" s="45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46" t="str">
        <f>IF(C420&lt;&gt;"",_xlfn.XLOOKUP(TEXT(C420,"0"),TEXT(CC!$C$3:$C$1000,"0"),CC!$G$3:$G$1000,""),"")</f>
        <v/>
      </c>
    </row>
    <row r="421" spans="7:12" x14ac:dyDescent="0.25">
      <c r="G421" s="56">
        <f>IFERROR(SUMPRODUCT((TEXT(CC!$C$3:$C$1000,"0")=TEXT(C421,"0"))*IFERROR(CC!$E$3:$E$1000+0,0)),0)</f>
      </c>
      <c r="H421" s="45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46" t="str">
        <f>IF(C421&lt;&gt;"",_xlfn.XLOOKUP(TEXT(C421,"0"),TEXT(CC!$C$3:$C$1000,"0"),CC!$G$3:$G$1000,""),"")</f>
        <v/>
      </c>
    </row>
    <row r="422" spans="7:12" x14ac:dyDescent="0.25">
      <c r="G422" s="56">
        <f>IFERROR(SUMPRODUCT((TEXT(CC!$C$3:$C$1000,"0")=TEXT(C422,"0"))*IFERROR(CC!$E$3:$E$1000+0,0)),0)</f>
      </c>
      <c r="H422" s="45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46" t="str">
        <f>IF(C422&lt;&gt;"",_xlfn.XLOOKUP(TEXT(C422,"0"),TEXT(CC!$C$3:$C$1000,"0"),CC!$G$3:$G$1000,""),"")</f>
        <v/>
      </c>
    </row>
    <row r="423" spans="7:12" x14ac:dyDescent="0.25">
      <c r="G423" s="56">
        <f>IFERROR(SUMPRODUCT((TEXT(CC!$C$3:$C$1000,"0")=TEXT(C423,"0"))*IFERROR(CC!$E$3:$E$1000+0,0)),0)</f>
      </c>
      <c r="H423" s="45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46" t="str">
        <f>IF(C423&lt;&gt;"",_xlfn.XLOOKUP(TEXT(C423,"0"),TEXT(CC!$C$3:$C$1000,"0"),CC!$G$3:$G$1000,""),"")</f>
        <v/>
      </c>
    </row>
    <row r="424" spans="7:12" x14ac:dyDescent="0.25">
      <c r="G424" s="56">
        <f>IFERROR(SUMPRODUCT((TEXT(CC!$C$3:$C$1000,"0")=TEXT(C424,"0"))*IFERROR(CC!$E$3:$E$1000+0,0)),0)</f>
      </c>
      <c r="H424" s="45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46" t="str">
        <f>IF(C424&lt;&gt;"",_xlfn.XLOOKUP(TEXT(C424,"0"),TEXT(CC!$C$3:$C$1000,"0"),CC!$G$3:$G$1000,""),"")</f>
        <v/>
      </c>
    </row>
    <row r="425" spans="7:12" x14ac:dyDescent="0.25">
      <c r="G425" s="56">
        <f>IFERROR(SUMPRODUCT((TEXT(CC!$C$3:$C$1000,"0")=TEXT(C425,"0"))*IFERROR(CC!$E$3:$E$1000+0,0)),0)</f>
      </c>
      <c r="H425" s="45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46" t="str">
        <f>IF(C425&lt;&gt;"",_xlfn.XLOOKUP(TEXT(C425,"0"),TEXT(CC!$C$3:$C$1000,"0"),CC!$G$3:$G$1000,""),"")</f>
        <v/>
      </c>
    </row>
    <row r="426" spans="7:12" x14ac:dyDescent="0.25">
      <c r="G426" s="56">
        <f>IFERROR(SUMPRODUCT((TEXT(CC!$C$3:$C$1000,"0")=TEXT(C426,"0"))*IFERROR(CC!$E$3:$E$1000+0,0)),0)</f>
      </c>
      <c r="H426" s="45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46" t="str">
        <f>IF(C426&lt;&gt;"",_xlfn.XLOOKUP(TEXT(C426,"0"),TEXT(CC!$C$3:$C$1000,"0"),CC!$G$3:$G$1000,""),"")</f>
        <v/>
      </c>
    </row>
    <row r="427" spans="7:12" x14ac:dyDescent="0.25">
      <c r="G427" s="56">
        <f>IFERROR(SUMPRODUCT((TEXT(CC!$C$3:$C$1000,"0")=TEXT(C427,"0"))*IFERROR(CC!$E$3:$E$1000+0,0)),0)</f>
      </c>
      <c r="H427" s="45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46" t="str">
        <f>IF(C427&lt;&gt;"",_xlfn.XLOOKUP(TEXT(C427,"0"),TEXT(CC!$C$3:$C$1000,"0"),CC!$G$3:$G$1000,""),"")</f>
        <v/>
      </c>
    </row>
    <row r="428" spans="7:12" x14ac:dyDescent="0.25">
      <c r="G428" s="56">
        <f>IFERROR(SUMPRODUCT((TEXT(CC!$C$3:$C$1000,"0")=TEXT(C428,"0"))*IFERROR(CC!$E$3:$E$1000+0,0)),0)</f>
      </c>
      <c r="H428" s="45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46" t="str">
        <f>IF(C428&lt;&gt;"",_xlfn.XLOOKUP(TEXT(C428,"0"),TEXT(CC!$C$3:$C$1000,"0"),CC!$G$3:$G$1000,""),"")</f>
        <v/>
      </c>
    </row>
    <row r="429" spans="7:12" x14ac:dyDescent="0.25">
      <c r="G429" s="56">
        <f>IFERROR(SUMPRODUCT((TEXT(CC!$C$3:$C$1000,"0")=TEXT(C429,"0"))*IFERROR(CC!$E$3:$E$1000+0,0)),0)</f>
      </c>
      <c r="H429" s="45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46" t="str">
        <f>IF(C429&lt;&gt;"",_xlfn.XLOOKUP(TEXT(C429,"0"),TEXT(CC!$C$3:$C$1000,"0"),CC!$G$3:$G$1000,""),"")</f>
        <v/>
      </c>
    </row>
    <row r="430" spans="7:12" x14ac:dyDescent="0.25">
      <c r="G430" s="56">
        <f>IFERROR(SUMPRODUCT((TEXT(CC!$C$3:$C$1000,"0")=TEXT(C430,"0"))*IFERROR(CC!$E$3:$E$1000+0,0)),0)</f>
      </c>
      <c r="H430" s="45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46" t="str">
        <f>IF(C430&lt;&gt;"",_xlfn.XLOOKUP(TEXT(C430,"0"),TEXT(CC!$C$3:$C$1000,"0"),CC!$G$3:$G$1000,""),"")</f>
        <v/>
      </c>
    </row>
    <row r="431" spans="7:12" x14ac:dyDescent="0.25">
      <c r="G431" s="56">
        <f>IFERROR(SUMPRODUCT((TEXT(CC!$C$3:$C$1000,"0")=TEXT(C431,"0"))*IFERROR(CC!$E$3:$E$1000+0,0)),0)</f>
      </c>
      <c r="H431" s="45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46" t="str">
        <f>IF(C431&lt;&gt;"",_xlfn.XLOOKUP(TEXT(C431,"0"),TEXT(CC!$C$3:$C$1000,"0"),CC!$G$3:$G$1000,""),"")</f>
        <v/>
      </c>
    </row>
    <row r="432" spans="7:12" x14ac:dyDescent="0.25">
      <c r="G432" s="56">
        <f>IFERROR(SUMPRODUCT((TEXT(CC!$C$3:$C$1000,"0")=TEXT(C432,"0"))*IFERROR(CC!$E$3:$E$1000+0,0)),0)</f>
      </c>
      <c r="H432" s="45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46" t="str">
        <f>IF(C432&lt;&gt;"",_xlfn.XLOOKUP(TEXT(C432,"0"),TEXT(CC!$C$3:$C$1000,"0"),CC!$G$3:$G$1000,""),"")</f>
        <v/>
      </c>
    </row>
    <row r="433" spans="7:12" x14ac:dyDescent="0.25">
      <c r="G433" s="56">
        <f>IFERROR(SUMPRODUCT((TEXT(CC!$C$3:$C$1000,"0")=TEXT(C433,"0"))*IFERROR(CC!$E$3:$E$1000+0,0)),0)</f>
      </c>
      <c r="H433" s="45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46" t="str">
        <f>IF(C433&lt;&gt;"",_xlfn.XLOOKUP(TEXT(C433,"0"),TEXT(CC!$C$3:$C$1000,"0"),CC!$G$3:$G$1000,""),"")</f>
        <v/>
      </c>
    </row>
    <row r="434" spans="7:12" x14ac:dyDescent="0.25">
      <c r="G434" s="56">
        <f>IFERROR(SUMPRODUCT((TEXT(CC!$C$3:$C$1000,"0")=TEXT(C434,"0"))*IFERROR(CC!$E$3:$E$1000+0,0)),0)</f>
      </c>
      <c r="H434" s="45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46" t="str">
        <f>IF(C434&lt;&gt;"",_xlfn.XLOOKUP(TEXT(C434,"0"),TEXT(CC!$C$3:$C$1000,"0"),CC!$G$3:$G$1000,""),"")</f>
        <v/>
      </c>
    </row>
    <row r="435" spans="7:12" x14ac:dyDescent="0.25">
      <c r="G435" s="56">
        <f>IFERROR(SUMPRODUCT((TEXT(CC!$C$3:$C$1000,"0")=TEXT(C435,"0"))*IFERROR(CC!$E$3:$E$1000+0,0)),0)</f>
      </c>
      <c r="H435" s="45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46" t="str">
        <f>IF(C435&lt;&gt;"",_xlfn.XLOOKUP(TEXT(C435,"0"),TEXT(CC!$C$3:$C$1000,"0"),CC!$G$3:$G$1000,""),"")</f>
        <v/>
      </c>
    </row>
    <row r="436" spans="7:12" x14ac:dyDescent="0.25">
      <c r="G436" s="56">
        <f>IFERROR(SUMPRODUCT((TEXT(CC!$C$3:$C$1000,"0")=TEXT(C436,"0"))*IFERROR(CC!$E$3:$E$1000+0,0)),0)</f>
      </c>
      <c r="H436" s="45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46" t="str">
        <f>IF(C436&lt;&gt;"",_xlfn.XLOOKUP(TEXT(C436,"0"),TEXT(CC!$C$3:$C$1000,"0"),CC!$G$3:$G$1000,""),"")</f>
        <v/>
      </c>
    </row>
    <row r="437" spans="7:12" x14ac:dyDescent="0.25">
      <c r="G437" s="56">
        <f>IFERROR(SUMPRODUCT((TEXT(CC!$C$3:$C$1000,"0")=TEXT(C437,"0"))*IFERROR(CC!$E$3:$E$1000+0,0)),0)</f>
      </c>
      <c r="H437" s="45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46" t="str">
        <f>IF(C437&lt;&gt;"",_xlfn.XLOOKUP(TEXT(C437,"0"),TEXT(CC!$C$3:$C$1000,"0"),CC!$G$3:$G$1000,""),"")</f>
        <v/>
      </c>
    </row>
    <row r="438" spans="7:12" x14ac:dyDescent="0.25">
      <c r="G438" s="56">
        <f>IFERROR(SUMPRODUCT((TEXT(CC!$C$3:$C$1000,"0")=TEXT(C438,"0"))*IFERROR(CC!$E$3:$E$1000+0,0)),0)</f>
      </c>
      <c r="H438" s="45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46" t="str">
        <f>IF(C438&lt;&gt;"",_xlfn.XLOOKUP(TEXT(C438,"0"),TEXT(CC!$C$3:$C$1000,"0"),CC!$G$3:$G$1000,""),"")</f>
        <v/>
      </c>
    </row>
    <row r="439" spans="7:12" x14ac:dyDescent="0.25">
      <c r="G439" s="56">
        <f>IFERROR(SUMPRODUCT((TEXT(CC!$C$3:$C$1000,"0")=TEXT(C439,"0"))*IFERROR(CC!$E$3:$E$1000+0,0)),0)</f>
      </c>
      <c r="H439" s="45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46" t="str">
        <f>IF(C439&lt;&gt;"",_xlfn.XLOOKUP(TEXT(C439,"0"),TEXT(CC!$C$3:$C$1000,"0"),CC!$G$3:$G$1000,""),"")</f>
        <v/>
      </c>
    </row>
    <row r="440" spans="7:12" x14ac:dyDescent="0.25">
      <c r="G440" s="56">
        <f>IFERROR(SUMPRODUCT((TEXT(CC!$C$3:$C$1000,"0")=TEXT(C440,"0"))*IFERROR(CC!$E$3:$E$1000+0,0)),0)</f>
      </c>
      <c r="H440" s="45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46" t="str">
        <f>IF(C440&lt;&gt;"",_xlfn.XLOOKUP(TEXT(C440,"0"),TEXT(CC!$C$3:$C$1000,"0"),CC!$G$3:$G$1000,""),"")</f>
        <v/>
      </c>
    </row>
    <row r="441" spans="7:12" x14ac:dyDescent="0.25">
      <c r="G441" s="56">
        <f>IFERROR(SUMPRODUCT((TEXT(CC!$C$3:$C$1000,"0")=TEXT(C441,"0"))*IFERROR(CC!$E$3:$E$1000+0,0)),0)</f>
      </c>
      <c r="H441" s="45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46" t="str">
        <f>IF(C441&lt;&gt;"",_xlfn.XLOOKUP(TEXT(C441,"0"),TEXT(CC!$C$3:$C$1000,"0"),CC!$G$3:$G$1000,""),"")</f>
        <v/>
      </c>
    </row>
    <row r="442" spans="7:12" x14ac:dyDescent="0.25">
      <c r="G442" s="56">
        <f>IFERROR(SUMPRODUCT((TEXT(CC!$C$3:$C$1000,"0")=TEXT(C442,"0"))*IFERROR(CC!$E$3:$E$1000+0,0)),0)</f>
      </c>
      <c r="H442" s="45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46" t="str">
        <f>IF(C442&lt;&gt;"",_xlfn.XLOOKUP(TEXT(C442,"0"),TEXT(CC!$C$3:$C$1000,"0"),CC!$G$3:$G$1000,""),"")</f>
        <v/>
      </c>
    </row>
    <row r="443" spans="7:12" x14ac:dyDescent="0.25">
      <c r="G443" s="56">
        <f>IFERROR(SUMPRODUCT((TEXT(CC!$C$3:$C$1000,"0")=TEXT(C443,"0"))*IFERROR(CC!$E$3:$E$1000+0,0)),0)</f>
      </c>
      <c r="H443" s="45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46" t="str">
        <f>IF(C443&lt;&gt;"",_xlfn.XLOOKUP(TEXT(C443,"0"),TEXT(CC!$C$3:$C$1000,"0"),CC!$G$3:$G$1000,""),"")</f>
        <v/>
      </c>
    </row>
    <row r="444" spans="7:12" x14ac:dyDescent="0.25">
      <c r="G444" s="56">
        <f>IFERROR(SUMPRODUCT((TEXT(CC!$C$3:$C$1000,"0")=TEXT(C444,"0"))*IFERROR(CC!$E$3:$E$1000+0,0)),0)</f>
      </c>
      <c r="H444" s="45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46" t="str">
        <f>IF(C444&lt;&gt;"",_xlfn.XLOOKUP(TEXT(C444,"0"),TEXT(CC!$C$3:$C$1000,"0"),CC!$G$3:$G$1000,""),"")</f>
        <v/>
      </c>
    </row>
    <row r="445" spans="7:12" x14ac:dyDescent="0.25">
      <c r="G445" s="56">
        <f>IFERROR(SUMPRODUCT((TEXT(CC!$C$3:$C$1000,"0")=TEXT(C445,"0"))*IFERROR(CC!$E$3:$E$1000+0,0)),0)</f>
      </c>
      <c r="H445" s="45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46" t="str">
        <f>IF(C445&lt;&gt;"",_xlfn.XLOOKUP(TEXT(C445,"0"),TEXT(CC!$C$3:$C$1000,"0"),CC!$G$3:$G$1000,""),"")</f>
        <v/>
      </c>
    </row>
    <row r="446" spans="7:12" x14ac:dyDescent="0.25">
      <c r="G446" s="56">
        <f>IFERROR(SUMPRODUCT((TEXT(CC!$C$3:$C$1000,"0")=TEXT(C446,"0"))*IFERROR(CC!$E$3:$E$1000+0,0)),0)</f>
      </c>
      <c r="H446" s="45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46" t="str">
        <f>IF(C446&lt;&gt;"",_xlfn.XLOOKUP(TEXT(C446,"0"),TEXT(CC!$C$3:$C$1000,"0"),CC!$G$3:$G$1000,""),"")</f>
        <v/>
      </c>
    </row>
    <row r="447" spans="7:12" x14ac:dyDescent="0.25">
      <c r="G447" s="56">
        <f>IFERROR(SUMPRODUCT((TEXT(CC!$C$3:$C$1000,"0")=TEXT(C447,"0"))*IFERROR(CC!$E$3:$E$1000+0,0)),0)</f>
      </c>
      <c r="H447" s="45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46" t="str">
        <f>IF(C447&lt;&gt;"",_xlfn.XLOOKUP(TEXT(C447,"0"),TEXT(CC!$C$3:$C$1000,"0"),CC!$G$3:$G$1000,""),"")</f>
        <v/>
      </c>
    </row>
    <row r="448" spans="7:12" x14ac:dyDescent="0.25">
      <c r="G448" s="56">
        <f>IFERROR(SUMPRODUCT((TEXT(CC!$C$3:$C$1000,"0")=TEXT(C448,"0"))*IFERROR(CC!$E$3:$E$1000+0,0)),0)</f>
      </c>
      <c r="H448" s="45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46" t="str">
        <f>IF(C448&lt;&gt;"",_xlfn.XLOOKUP(TEXT(C448,"0"),TEXT(CC!$C$3:$C$1000,"0"),CC!$G$3:$G$1000,""),"")</f>
        <v/>
      </c>
    </row>
    <row r="449" spans="7:12" x14ac:dyDescent="0.25">
      <c r="G449" s="56">
        <f>IFERROR(SUMPRODUCT((TEXT(CC!$C$3:$C$1000,"0")=TEXT(C449,"0"))*IFERROR(CC!$E$3:$E$1000+0,0)),0)</f>
      </c>
      <c r="H449" s="45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46" t="str">
        <f>IF(C449&lt;&gt;"",_xlfn.XLOOKUP(TEXT(C449,"0"),TEXT(CC!$C$3:$C$1000,"0"),CC!$G$3:$G$1000,""),"")</f>
        <v/>
      </c>
    </row>
    <row r="450" spans="7:12" x14ac:dyDescent="0.25">
      <c r="G450" s="56">
        <f>IFERROR(SUMPRODUCT((TEXT(CC!$C$3:$C$1000,"0")=TEXT(C450,"0"))*IFERROR(CC!$E$3:$E$1000+0,0)),0)</f>
      </c>
      <c r="H450" s="45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46" t="str">
        <f>IF(C450&lt;&gt;"",_xlfn.XLOOKUP(TEXT(C450,"0"),TEXT(CC!$C$3:$C$1000,"0"),CC!$G$3:$G$1000,""),"")</f>
        <v/>
      </c>
    </row>
    <row r="451" spans="7:12" x14ac:dyDescent="0.25">
      <c r="G451" s="56">
        <f>IFERROR(SUMPRODUCT((TEXT(CC!$C$3:$C$1000,"0")=TEXT(C451,"0"))*IFERROR(CC!$E$3:$E$1000+0,0)),0)</f>
      </c>
      <c r="H451" s="45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46" t="str">
        <f>IF(C451&lt;&gt;"",_xlfn.XLOOKUP(TEXT(C451,"0"),TEXT(CC!$C$3:$C$1000,"0"),CC!$G$3:$G$1000,""),"")</f>
        <v/>
      </c>
    </row>
    <row r="452" spans="7:12" x14ac:dyDescent="0.25">
      <c r="G452" s="56">
        <f>IFERROR(SUMPRODUCT((TEXT(CC!$C$3:$C$1000,"0")=TEXT(C452,"0"))*IFERROR(CC!$E$3:$E$1000+0,0)),0)</f>
      </c>
      <c r="H452" s="45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46" t="str">
        <f>IF(C452&lt;&gt;"",_xlfn.XLOOKUP(TEXT(C452,"0"),TEXT(CC!$C$3:$C$1000,"0"),CC!$G$3:$G$1000,""),"")</f>
        <v/>
      </c>
    </row>
    <row r="453" spans="7:12" x14ac:dyDescent="0.25">
      <c r="G453" s="56">
        <f>IFERROR(SUMPRODUCT((TEXT(CC!$C$3:$C$1000,"0")=TEXT(C453,"0"))*IFERROR(CC!$E$3:$E$1000+0,0)),0)</f>
      </c>
      <c r="H453" s="45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46" t="str">
        <f>IF(C453&lt;&gt;"",_xlfn.XLOOKUP(TEXT(C453,"0"),TEXT(CC!$C$3:$C$1000,"0"),CC!$G$3:$G$1000,""),"")</f>
        <v/>
      </c>
    </row>
    <row r="454" spans="7:12" x14ac:dyDescent="0.25">
      <c r="G454" s="56">
        <f>IFERROR(SUMPRODUCT((TEXT(CC!$C$3:$C$1000,"0")=TEXT(C454,"0"))*IFERROR(CC!$E$3:$E$1000+0,0)),0)</f>
      </c>
      <c r="H454" s="45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46" t="str">
        <f>IF(C454&lt;&gt;"",_xlfn.XLOOKUP(TEXT(C454,"0"),TEXT(CC!$C$3:$C$1000,"0"),CC!$G$3:$G$1000,""),"")</f>
        <v/>
      </c>
    </row>
    <row r="455" spans="7:12" x14ac:dyDescent="0.25">
      <c r="G455" s="56">
        <f>IFERROR(SUMPRODUCT((TEXT(CC!$C$3:$C$1000,"0")=TEXT(C455,"0"))*IFERROR(CC!$E$3:$E$1000+0,0)),0)</f>
      </c>
      <c r="H455" s="45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46" t="str">
        <f>IF(C455&lt;&gt;"",_xlfn.XLOOKUP(TEXT(C455,"0"),TEXT(CC!$C$3:$C$1000,"0"),CC!$G$3:$G$1000,""),"")</f>
        <v/>
      </c>
    </row>
    <row r="456" spans="7:12" x14ac:dyDescent="0.25">
      <c r="G456" s="56">
        <f>IFERROR(SUMPRODUCT((TEXT(CC!$C$3:$C$1000,"0")=TEXT(C456,"0"))*IFERROR(CC!$E$3:$E$1000+0,0)),0)</f>
      </c>
      <c r="H456" s="45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46" t="str">
        <f>IF(C456&lt;&gt;"",_xlfn.XLOOKUP(TEXT(C456,"0"),TEXT(CC!$C$3:$C$1000,"0"),CC!$G$3:$G$1000,""),"")</f>
        <v/>
      </c>
    </row>
    <row r="457" spans="7:12" x14ac:dyDescent="0.25">
      <c r="G457" s="56">
        <f>IFERROR(SUMPRODUCT((TEXT(CC!$C$3:$C$1000,"0")=TEXT(C457,"0"))*IFERROR(CC!$E$3:$E$1000+0,0)),0)</f>
      </c>
      <c r="H457" s="45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46" t="str">
        <f>IF(C457&lt;&gt;"",_xlfn.XLOOKUP(TEXT(C457,"0"),TEXT(CC!$C$3:$C$1000,"0"),CC!$G$3:$G$1000,""),"")</f>
        <v/>
      </c>
    </row>
    <row r="458" spans="7:12" x14ac:dyDescent="0.25">
      <c r="G458" s="56">
        <f>IFERROR(SUMPRODUCT((TEXT(CC!$C$3:$C$1000,"0")=TEXT(C458,"0"))*IFERROR(CC!$E$3:$E$1000+0,0)),0)</f>
      </c>
      <c r="H458" s="45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46" t="str">
        <f>IF(C458&lt;&gt;"",_xlfn.XLOOKUP(TEXT(C458,"0"),TEXT(CC!$C$3:$C$1000,"0"),CC!$G$3:$G$1000,""),"")</f>
        <v/>
      </c>
    </row>
    <row r="459" spans="7:12" x14ac:dyDescent="0.25">
      <c r="G459" s="56">
        <f>IFERROR(SUMPRODUCT((TEXT(CC!$C$3:$C$1000,"0")=TEXT(C459,"0"))*IFERROR(CC!$E$3:$E$1000+0,0)),0)</f>
      </c>
      <c r="H459" s="45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46" t="str">
        <f>IF(C459&lt;&gt;"",_xlfn.XLOOKUP(TEXT(C459,"0"),TEXT(CC!$C$3:$C$1000,"0"),CC!$G$3:$G$1000,""),"")</f>
        <v/>
      </c>
    </row>
    <row r="460" spans="7:12" x14ac:dyDescent="0.25">
      <c r="G460" s="56">
        <f>IFERROR(SUMPRODUCT((TEXT(CC!$C$3:$C$1000,"0")=TEXT(C460,"0"))*IFERROR(CC!$E$3:$E$1000+0,0)),0)</f>
      </c>
      <c r="H460" s="45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46" t="str">
        <f>IF(C460&lt;&gt;"",_xlfn.XLOOKUP(TEXT(C460,"0"),TEXT(CC!$C$3:$C$1000,"0"),CC!$G$3:$G$1000,""),"")</f>
        <v/>
      </c>
    </row>
    <row r="461" spans="7:12" x14ac:dyDescent="0.25">
      <c r="G461" s="56">
        <f>IFERROR(SUMPRODUCT((TEXT(CC!$C$3:$C$1000,"0")=TEXT(C461,"0"))*IFERROR(CC!$E$3:$E$1000+0,0)),0)</f>
      </c>
      <c r="H461" s="45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46" t="str">
        <f>IF(C461&lt;&gt;"",_xlfn.XLOOKUP(TEXT(C461,"0"),TEXT(CC!$C$3:$C$1000,"0"),CC!$G$3:$G$1000,""),"")</f>
        <v/>
      </c>
    </row>
    <row r="462" spans="7:12" x14ac:dyDescent="0.25">
      <c r="G462" s="56">
        <f>IFERROR(SUMPRODUCT((TEXT(CC!$C$3:$C$1000,"0")=TEXT(C462,"0"))*IFERROR(CC!$E$3:$E$1000+0,0)),0)</f>
      </c>
      <c r="H462" s="45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46" t="str">
        <f>IF(C462&lt;&gt;"",_xlfn.XLOOKUP(TEXT(C462,"0"),TEXT(CC!$C$3:$C$1000,"0"),CC!$G$3:$G$1000,""),"")</f>
        <v/>
      </c>
    </row>
    <row r="463" spans="7:12" x14ac:dyDescent="0.25">
      <c r="G463" s="56">
        <f>IFERROR(SUMPRODUCT((TEXT(CC!$C$3:$C$1000,"0")=TEXT(C463,"0"))*IFERROR(CC!$E$3:$E$1000+0,0)),0)</f>
      </c>
      <c r="H463" s="45"/>
      <c r="I463" s="24" t="str">
        <f t="shared" si="22"/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46" t="str">
        <f>IF(C463&lt;&gt;"",_xlfn.XLOOKUP(TEXT(C463,"0"),TEXT(CC!$C$3:$C$1000,"0"),CC!$G$3:$G$1000,""),"")</f>
        <v/>
      </c>
    </row>
    <row r="464" spans="7:12" x14ac:dyDescent="0.25">
      <c r="G464" s="56">
        <f>IFERROR(SUMPRODUCT((TEXT(CC!$C$3:$C$1000,"0")=TEXT(C464,"0"))*IFERROR(CC!$E$3:$E$1000+0,0)),0)</f>
      </c>
      <c r="H464" s="45"/>
      <c r="I464" s="24" t="str">
        <f t="shared" ref="I464:I493" si="24">IF(J464&lt;&gt;0,"501010","")</f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46" t="str">
        <f>IF(C464&lt;&gt;"",_xlfn.XLOOKUP(TEXT(C464,"0"),TEXT(CC!$C$3:$C$1000,"0"),CC!$G$3:$G$1000,""),"")</f>
        <v/>
      </c>
    </row>
    <row r="465" spans="7:12" x14ac:dyDescent="0.25">
      <c r="G465" s="56">
        <f>IFERROR(SUMPRODUCT((TEXT(CC!$C$3:$C$1000,"0")=TEXT(C465,"0"))*IFERROR(CC!$E$3:$E$1000+0,0)),0)</f>
      </c>
      <c r="H465" s="45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46" t="str">
        <f>IF(C465&lt;&gt;"",_xlfn.XLOOKUP(TEXT(C465,"0"),TEXT(CC!$C$3:$C$1000,"0"),CC!$G$3:$G$1000,""),"")</f>
        <v/>
      </c>
    </row>
    <row r="466" spans="7:12" x14ac:dyDescent="0.25">
      <c r="G466" s="56">
        <f>IFERROR(SUMPRODUCT((TEXT(CC!$C$3:$C$1000,"0")=TEXT(C466,"0"))*IFERROR(CC!$E$3:$E$1000+0,0)),0)</f>
      </c>
      <c r="H466" s="45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46" t="str">
        <f>IF(C466&lt;&gt;"",_xlfn.XLOOKUP(TEXT(C466,"0"),TEXT(CC!$C$3:$C$1000,"0"),CC!$G$3:$G$1000,""),"")</f>
        <v/>
      </c>
    </row>
    <row r="467" spans="7:12" x14ac:dyDescent="0.25">
      <c r="G467" s="56">
        <f>IFERROR(SUMPRODUCT((TEXT(CC!$C$3:$C$1000,"0")=TEXT(C467,"0"))*IFERROR(CC!$E$3:$E$1000+0,0)),0)</f>
      </c>
      <c r="H467" s="45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46" t="str">
        <f>IF(C467&lt;&gt;"",_xlfn.XLOOKUP(TEXT(C467,"0"),TEXT(CC!$C$3:$C$1000,"0"),CC!$G$3:$G$1000,""),"")</f>
        <v/>
      </c>
    </row>
    <row r="468" spans="7:12" x14ac:dyDescent="0.25">
      <c r="G468" s="56">
        <f>IFERROR(SUMPRODUCT((TEXT(CC!$C$3:$C$1000,"0")=TEXT(C468,"0"))*IFERROR(CC!$E$3:$E$1000+0,0)),0)</f>
      </c>
      <c r="H468" s="45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46" t="str">
        <f>IF(C468&lt;&gt;"",_xlfn.XLOOKUP(TEXT(C468,"0"),TEXT(CC!$C$3:$C$1000,"0"),CC!$G$3:$G$1000,""),"")</f>
        <v/>
      </c>
    </row>
    <row r="469" spans="7:12" x14ac:dyDescent="0.25">
      <c r="G469" s="56">
        <f>IFERROR(SUMPRODUCT((TEXT(CC!$C$3:$C$1000,"0")=TEXT(C469,"0"))*IFERROR(CC!$E$3:$E$1000+0,0)),0)</f>
      </c>
      <c r="H469" s="45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46" t="str">
        <f>IF(C469&lt;&gt;"",_xlfn.XLOOKUP(TEXT(C469,"0"),TEXT(CC!$C$3:$C$1000,"0"),CC!$G$3:$G$1000,""),"")</f>
        <v/>
      </c>
    </row>
    <row r="470" spans="7:12" x14ac:dyDescent="0.25">
      <c r="G470" s="56">
        <f>IFERROR(SUMPRODUCT((TEXT(CC!$C$3:$C$1000,"0")=TEXT(C470,"0"))*IFERROR(CC!$E$3:$E$1000+0,0)),0)</f>
      </c>
      <c r="H470" s="45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46" t="str">
        <f>IF(C470&lt;&gt;"",_xlfn.XLOOKUP(TEXT(C470,"0"),TEXT(CC!$C$3:$C$1000,"0"),CC!$G$3:$G$1000,""),"")</f>
        <v/>
      </c>
    </row>
    <row r="471" spans="7:12" x14ac:dyDescent="0.25">
      <c r="G471" s="56">
        <f>IFERROR(SUMPRODUCT((TEXT(CC!$C$3:$C$1000,"0")=TEXT(C471,"0"))*IFERROR(CC!$E$3:$E$1000+0,0)),0)</f>
      </c>
      <c r="H471" s="45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46" t="str">
        <f>IF(C471&lt;&gt;"",_xlfn.XLOOKUP(TEXT(C471,"0"),TEXT(CC!$C$3:$C$1000,"0"),CC!$G$3:$G$1000,""),"")</f>
        <v/>
      </c>
    </row>
    <row r="472" spans="7:12" x14ac:dyDescent="0.25">
      <c r="G472" s="56">
        <f>IFERROR(SUMPRODUCT((TEXT(CC!$C$3:$C$1000,"0")=TEXT(C472,"0"))*IFERROR(CC!$E$3:$E$1000+0,0)),0)</f>
      </c>
      <c r="H472" s="45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46" t="str">
        <f>IF(C472&lt;&gt;"",_xlfn.XLOOKUP(TEXT(C472,"0"),TEXT(CC!$C$3:$C$1000,"0"),CC!$G$3:$G$1000,""),"")</f>
        <v/>
      </c>
    </row>
    <row r="473" spans="7:12" x14ac:dyDescent="0.25">
      <c r="G473" s="56">
        <f>IFERROR(SUMPRODUCT((TEXT(CC!$C$3:$C$1000,"0")=TEXT(C473,"0"))*IFERROR(CC!$E$3:$E$1000+0,0)),0)</f>
      </c>
      <c r="H473" s="45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46" t="str">
        <f>IF(C473&lt;&gt;"",_xlfn.XLOOKUP(TEXT(C473,"0"),TEXT(CC!$C$3:$C$1000,"0"),CC!$G$3:$G$1000,""),"")</f>
        <v/>
      </c>
    </row>
    <row r="474" spans="7:12" x14ac:dyDescent="0.25">
      <c r="G474" s="56">
        <f>IFERROR(SUMPRODUCT((TEXT(CC!$C$3:$C$1000,"0")=TEXT(C474,"0"))*IFERROR(CC!$E$3:$E$1000+0,0)),0)</f>
      </c>
      <c r="H474" s="45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46" t="str">
        <f>IF(C474&lt;&gt;"",_xlfn.XLOOKUP(TEXT(C474,"0"),TEXT(CC!$C$3:$C$1000,"0"),CC!$G$3:$G$1000,""),"")</f>
        <v/>
      </c>
    </row>
    <row r="475" spans="7:12" x14ac:dyDescent="0.25">
      <c r="G475" s="56">
        <f>IFERROR(SUMPRODUCT((TEXT(CC!$C$3:$C$1000,"0")=TEXT(C475,"0"))*IFERROR(CC!$E$3:$E$1000+0,0)),0)</f>
      </c>
      <c r="H475" s="45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46" t="str">
        <f>IF(C475&lt;&gt;"",_xlfn.XLOOKUP(TEXT(C475,"0"),TEXT(CC!$C$3:$C$1000,"0"),CC!$G$3:$G$1000,""),"")</f>
        <v/>
      </c>
    </row>
    <row r="476" spans="7:12" x14ac:dyDescent="0.25">
      <c r="G476" s="56">
        <f>IFERROR(SUMPRODUCT((TEXT(CC!$C$3:$C$1000,"0")=TEXT(C476,"0"))*IFERROR(CC!$E$3:$E$1000+0,0)),0)</f>
      </c>
      <c r="H476" s="45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46" t="str">
        <f>IF(C476&lt;&gt;"",_xlfn.XLOOKUP(TEXT(C476,"0"),TEXT(CC!$C$3:$C$1000,"0"),CC!$G$3:$G$1000,""),"")</f>
        <v/>
      </c>
    </row>
    <row r="477" spans="7:12" x14ac:dyDescent="0.25">
      <c r="G477" s="56">
        <f>IFERROR(SUMPRODUCT((TEXT(CC!$C$3:$C$1000,"0")=TEXT(C477,"0"))*IFERROR(CC!$E$3:$E$1000+0,0)),0)</f>
      </c>
      <c r="H477" s="45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46" t="str">
        <f>IF(C477&lt;&gt;"",_xlfn.XLOOKUP(TEXT(C477,"0"),TEXT(CC!$C$3:$C$1000,"0"),CC!$G$3:$G$1000,""),"")</f>
        <v/>
      </c>
    </row>
    <row r="478" spans="7:12" x14ac:dyDescent="0.25">
      <c r="G478" s="56">
        <f>IFERROR(SUMPRODUCT((TEXT(CC!$C$3:$C$1000,"0")=TEXT(C478,"0"))*IFERROR(CC!$E$3:$E$1000+0,0)),0)</f>
      </c>
      <c r="H478" s="45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46" t="str">
        <f>IF(C478&lt;&gt;"",_xlfn.XLOOKUP(TEXT(C478,"0"),TEXT(CC!$C$3:$C$1000,"0"),CC!$G$3:$G$1000,""),"")</f>
        <v/>
      </c>
    </row>
    <row r="479" spans="7:12" x14ac:dyDescent="0.25">
      <c r="G479" s="56">
        <f>IFERROR(SUMPRODUCT((TEXT(CC!$C$3:$C$1000,"0")=TEXT(C479,"0"))*IFERROR(CC!$E$3:$E$1000+0,0)),0)</f>
      </c>
      <c r="H479" s="45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46" t="str">
        <f>IF(C479&lt;&gt;"",_xlfn.XLOOKUP(TEXT(C479,"0"),TEXT(CC!$C$3:$C$1000,"0"),CC!$G$3:$G$1000,""),"")</f>
        <v/>
      </c>
    </row>
    <row r="480" spans="7:12" x14ac:dyDescent="0.25">
      <c r="G480" s="56">
        <f>IFERROR(SUMPRODUCT((TEXT(CC!$C$3:$C$1000,"0")=TEXT(C480,"0"))*IFERROR(CC!$E$3:$E$1000+0,0)),0)</f>
      </c>
      <c r="H480" s="45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46" t="str">
        <f>IF(C480&lt;&gt;"",_xlfn.XLOOKUP(TEXT(C480,"0"),TEXT(CC!$C$3:$C$1000,"0"),CC!$G$3:$G$1000,""),"")</f>
        <v/>
      </c>
    </row>
    <row r="481" spans="7:12" x14ac:dyDescent="0.25">
      <c r="G481" s="56">
        <f>IFERROR(SUMPRODUCT((TEXT(CC!$C$3:$C$1000,"0")=TEXT(C481,"0"))*IFERROR(CC!$E$3:$E$1000+0,0)),0)</f>
      </c>
      <c r="H481" s="45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46" t="str">
        <f>IF(C481&lt;&gt;"",_xlfn.XLOOKUP(TEXT(C481,"0"),TEXT(CC!$C$3:$C$1000,"0"),CC!$G$3:$G$1000,""),"")</f>
        <v/>
      </c>
    </row>
    <row r="482" spans="7:12" x14ac:dyDescent="0.25">
      <c r="G482" s="56">
        <f>IFERROR(SUMPRODUCT((TEXT(CC!$C$3:$C$1000,"0")=TEXT(C482,"0"))*IFERROR(CC!$E$3:$E$1000+0,0)),0)</f>
      </c>
      <c r="H482" s="45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46" t="str">
        <f>IF(C482&lt;&gt;"",_xlfn.XLOOKUP(TEXT(C482,"0"),TEXT(CC!$C$3:$C$1000,"0"),CC!$G$3:$G$1000,""),"")</f>
        <v/>
      </c>
    </row>
    <row r="483" spans="7:12" x14ac:dyDescent="0.25">
      <c r="G483" s="56">
        <f>IFERROR(SUMPRODUCT((TEXT(CC!$C$3:$C$1000,"0")=TEXT(C483,"0"))*IFERROR(CC!$E$3:$E$1000+0,0)),0)</f>
      </c>
      <c r="H483" s="45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46" t="str">
        <f>IF(C483&lt;&gt;"",_xlfn.XLOOKUP(TEXT(C483,"0"),TEXT(CC!$C$3:$C$1000,"0"),CC!$G$3:$G$1000,""),"")</f>
        <v/>
      </c>
    </row>
    <row r="484" spans="7:12" x14ac:dyDescent="0.25">
      <c r="G484" s="56">
        <f>IFERROR(SUMPRODUCT((TEXT(CC!$C$3:$C$1000,"0")=TEXT(C484,"0"))*IFERROR(CC!$E$3:$E$1000+0,0)),0)</f>
      </c>
      <c r="H484" s="45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46" t="str">
        <f>IF(C484&lt;&gt;"",_xlfn.XLOOKUP(TEXT(C484,"0"),TEXT(CC!$C$3:$C$1000,"0"),CC!$G$3:$G$1000,""),"")</f>
        <v/>
      </c>
    </row>
    <row r="485" spans="7:12" x14ac:dyDescent="0.25">
      <c r="G485" s="56">
        <f>IFERROR(SUMPRODUCT((TEXT(CC!$C$3:$C$1000,"0")=TEXT(C485,"0"))*IFERROR(CC!$E$3:$E$1000+0,0)),0)</f>
      </c>
      <c r="H485" s="45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46" t="str">
        <f>IF(C485&lt;&gt;"",_xlfn.XLOOKUP(TEXT(C485,"0"),TEXT(CC!$C$3:$C$1000,"0"),CC!$G$3:$G$1000,""),"")</f>
        <v/>
      </c>
    </row>
    <row r="486" spans="7:12" x14ac:dyDescent="0.25">
      <c r="G486" s="56">
        <f>IFERROR(SUMPRODUCT((TEXT(CC!$C$3:$C$1000,"0")=TEXT(C486,"0"))*IFERROR(CC!$E$3:$E$1000+0,0)),0)</f>
      </c>
      <c r="H486" s="45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46" t="str">
        <f>IF(C486&lt;&gt;"",_xlfn.XLOOKUP(TEXT(C486,"0"),TEXT(CC!$C$3:$C$1000,"0"),CC!$G$3:$G$1000,""),"")</f>
        <v/>
      </c>
    </row>
    <row r="487" spans="7:12" x14ac:dyDescent="0.25">
      <c r="G487" s="56">
        <f>IFERROR(SUMPRODUCT((TEXT(CC!$C$3:$C$1000,"0")=TEXT(C487,"0"))*IFERROR(CC!$E$3:$E$1000+0,0)),0)</f>
      </c>
      <c r="H487" s="45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46" t="str">
        <f>IF(C487&lt;&gt;"",_xlfn.XLOOKUP(TEXT(C487,"0"),TEXT(CC!$C$3:$C$1000,"0"),CC!$G$3:$G$1000,""),"")</f>
        <v/>
      </c>
    </row>
    <row r="488" spans="7:12" x14ac:dyDescent="0.25">
      <c r="G488" s="56">
        <f>IFERROR(SUMPRODUCT((TEXT(CC!$C$3:$C$1000,"0")=TEXT(C488,"0"))*IFERROR(CC!$E$3:$E$1000+0,0)),0)</f>
      </c>
      <c r="H488" s="45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46" t="str">
        <f>IF(C488&lt;&gt;"",_xlfn.XLOOKUP(TEXT(C488,"0"),TEXT(CC!$C$3:$C$1000,"0"),CC!$G$3:$G$1000,""),"")</f>
        <v/>
      </c>
    </row>
    <row r="489" spans="7:12" x14ac:dyDescent="0.25">
      <c r="G489" s="56">
        <f>IFERROR(SUMPRODUCT((TEXT(CC!$C$3:$C$1000,"0")=TEXT(C489,"0"))*IFERROR(CC!$E$3:$E$1000+0,0)),0)</f>
      </c>
      <c r="H489" s="45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46" t="str">
        <f>IF(C489&lt;&gt;"",_xlfn.XLOOKUP(TEXT(C489,"0"),TEXT(CC!$C$3:$C$1000,"0"),CC!$G$3:$G$1000,""),"")</f>
        <v/>
      </c>
    </row>
    <row r="490" spans="7:12" x14ac:dyDescent="0.25">
      <c r="G490" s="56">
        <f>IFERROR(SUMPRODUCT((TEXT(CC!$C$3:$C$1000,"0")=TEXT(C490,"0"))*IFERROR(CC!$E$3:$E$1000+0,0)),0)</f>
      </c>
      <c r="H490" s="45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46" t="str">
        <f>IF(C490&lt;&gt;"",_xlfn.XLOOKUP(TEXT(C490,"0"),TEXT(CC!$C$3:$C$1000,"0"),CC!$G$3:$G$1000,""),"")</f>
        <v/>
      </c>
    </row>
    <row r="491" spans="7:12" x14ac:dyDescent="0.25">
      <c r="G491" s="56">
        <f>IFERROR(SUMPRODUCT((TEXT(CC!$C$3:$C$1000,"0")=TEXT(C491,"0"))*IFERROR(CC!$E$3:$E$1000+0,0)),0)</f>
      </c>
      <c r="H491" s="45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46" t="str">
        <f>IF(C491&lt;&gt;"",_xlfn.XLOOKUP(TEXT(C491,"0"),TEXT(CC!$C$3:$C$1000,"0"),CC!$G$3:$G$1000,""),"")</f>
        <v/>
      </c>
    </row>
    <row r="492" spans="7:12" x14ac:dyDescent="0.25">
      <c r="G492" s="56">
        <f>IFERROR(SUMPRODUCT((TEXT(CC!$C$3:$C$1000,"0")=TEXT(C492,"0"))*IFERROR(CC!$E$3:$E$1000+0,0)),0)</f>
      </c>
      <c r="H492" s="45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46" t="str">
        <f>IF(C492&lt;&gt;"",_xlfn.XLOOKUP(TEXT(C492,"0"),TEXT(CC!$C$3:$C$1000,"0"),CC!$G$3:$G$1000,""),"")</f>
        <v/>
      </c>
    </row>
    <row r="493" spans="7:12" x14ac:dyDescent="0.25">
      <c r="G493" s="56">
        <f>IFERROR(SUMPRODUCT((TEXT(CC!$C$3:$C$1000,"0")=TEXT(C493,"0"))*IFERROR(CC!$E$3:$E$1000+0,0)),0)</f>
      </c>
      <c r="H493" s="45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46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3">
    <mergeCell ref="N2:T2"/>
    <mergeCell ref="N37:T37"/>
    <mergeCell ref="N12:S12"/>
  </mergeCells>
  <conditionalFormatting sqref="T39:T60">
    <cfRule type="expression" dxfId="33" priority="4">
      <formula>AND($Q39&lt;&gt;0,$T39&lt;&gt;"")</formula>
    </cfRule>
    <cfRule type="expression" dxfId="32" priority="6">
      <formula>AND($Q39&lt;&gt;0,$T39="")</formula>
    </cfRule>
  </conditionalFormatting>
  <conditionalFormatting sqref="L8">
    <cfRule type="cellIs" dxfId="31" priority="2" operator="equal">
      <formula>0</formula>
    </cfRule>
    <cfRule type="cellIs" dxfId="30" priority="3" operator="notEqual">
      <formula>0</formula>
    </cfRule>
  </conditionalFormatting>
  <conditionalFormatting sqref="G14:G493">
    <cfRule type="expression" dxfId="29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topLeftCell="A31" workbookViewId="0">
      <selection activeCell="A1" sqref="A1"/>
    </sheetView>
  </sheetViews>
  <sheetFormatPr defaultRowHeight="15" x14ac:dyDescent="0.25"/>
  <cols>
    <col min="1" max="2" width="14.85546875" style="78" customWidth="1"/>
    <col min="3" max="3" width="35.140625" style="78" customWidth="1"/>
    <col min="4" max="4" width="21.5703125" style="78" customWidth="1"/>
    <col min="5" max="5" width="16.140625" style="78" customWidth="1"/>
    <col min="6" max="6" width="9.42578125" style="81" customWidth="1"/>
    <col min="7" max="7" width="23" style="78" customWidth="1"/>
    <col min="8" max="8" width="40.42578125" style="78" customWidth="1"/>
    <col min="9" max="10" width="27" style="78" customWidth="1"/>
    <col min="11" max="11" width="13.42578125" style="78" customWidth="1"/>
    <col min="12" max="16384" width="9.140625" style="78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G18" sqref="G18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87" t="s">
        <v>12</v>
      </c>
      <c r="B3" s="87"/>
      <c r="C3" s="88" t="str">
        <f>"DD"&amp;TEXT('Schedule&amp;Rec'!L3,"mmddyy")</f>
        <v>DD010000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87"/>
      <c r="B4" s="87"/>
      <c r="C4" s="89"/>
      <c r="D4" s="4"/>
      <c r="E4" s="4"/>
      <c r="F4" s="4"/>
      <c r="G4" s="5"/>
      <c r="H4" s="4"/>
      <c r="I4" s="4"/>
      <c r="J4" s="4"/>
      <c r="K4" s="4"/>
      <c r="L4" s="4"/>
      <c r="M4" s="6" t="s">
        <v>13</v>
      </c>
      <c r="N4" s="4"/>
    </row>
    <row r="5" spans="1:14" ht="15.75" thickBot="1" x14ac:dyDescent="0.3">
      <c r="A5" s="87"/>
      <c r="B5" s="87"/>
      <c r="C5" s="90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1.34718902700115E-11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14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15</v>
      </c>
      <c r="D9" s="15"/>
      <c r="E9" s="15" t="s">
        <v>16</v>
      </c>
      <c r="F9" s="15" t="s">
        <v>17</v>
      </c>
      <c r="G9" s="16" t="s">
        <v>18</v>
      </c>
      <c r="H9" s="15" t="s">
        <v>2</v>
      </c>
      <c r="I9" s="15" t="s">
        <v>19</v>
      </c>
      <c r="J9" s="15" t="s">
        <v>20</v>
      </c>
      <c r="K9" s="15" t="s">
        <v>21</v>
      </c>
      <c r="L9" s="15"/>
      <c r="M9" s="15" t="s">
        <v>22</v>
      </c>
      <c r="N9" s="14"/>
    </row>
    <row r="10" spans="1:14" x14ac:dyDescent="0.25">
      <c r="A10" s="4"/>
      <c r="B10" s="14"/>
      <c r="C10" s="17" t="str">
        <f t="shared" ref="C10:C53" si="0">IF(E10="","",(E10&amp;"."&amp;F10&amp;"."&amp;G10*100&amp;"."&amp;H10&amp;"."&amp;I10&amp;"."&amp;J10&amp;"."&amp;K10))</f>
        <v>18.501001.300000.CA0527..CASH.</v>
      </c>
      <c r="D10" s="14"/>
      <c r="E10">
        <v>18</v>
      </c>
      <c r="F10">
        <v>501001</v>
      </c>
      <c r="G10" s="1">
        <v>3000</v>
      </c>
      <c r="H10" t="s">
        <v>167</v>
      </c>
      <c r="J10" s="18" t="s">
        <v>27</v>
      </c>
      <c r="K10" s="18"/>
      <c r="L10" s="14"/>
      <c r="N10" s="14"/>
    </row>
    <row r="11" spans="1:14" x14ac:dyDescent="0.25">
      <c r="A11" s="4"/>
      <c r="B11" s="14"/>
      <c r="C11" s="17" t="str">
        <f t="shared" si="0"/>
        <v>18.501001.3616066.CR0527..CREDIT.</v>
      </c>
      <c r="D11" s="14"/>
      <c r="E11">
        <v>18</v>
      </c>
      <c r="F11">
        <v>501001</v>
      </c>
      <c r="G11" s="2">
        <v>36160.660000000003</v>
      </c>
      <c r="H11" t="s">
        <v>168</v>
      </c>
      <c r="J11" s="18" t="s">
        <v>30</v>
      </c>
      <c r="K11" s="18"/>
      <c r="L11" s="14"/>
      <c r="N11" s="14"/>
    </row>
    <row r="12" spans="1:14" x14ac:dyDescent="0.25">
      <c r="A12" s="4"/>
      <c r="B12" s="14"/>
      <c r="C12" s="17" t="str">
        <f t="shared" si="0"/>
        <v>18.501001.309212.CK0527..CHECK.</v>
      </c>
      <c r="D12" s="14"/>
      <c r="E12">
        <v>18</v>
      </c>
      <c r="F12">
        <v>501001</v>
      </c>
      <c r="G12" s="1">
        <v>3092.12</v>
      </c>
      <c r="H12" t="s">
        <v>169</v>
      </c>
      <c r="J12" s="18" t="s">
        <v>31</v>
      </c>
      <c r="K12" s="18"/>
      <c r="L12" s="14"/>
      <c r="N12" s="14"/>
    </row>
    <row r="13" spans="1:14" x14ac:dyDescent="0.25">
      <c r="A13" s="4"/>
      <c r="B13" s="14"/>
      <c r="C13" s="17" t="str">
        <f t="shared" si="0"/>
        <v>18.501010.-30240.212...</v>
      </c>
      <c r="D13" s="14"/>
      <c r="E13">
        <v>18</v>
      </c>
      <c r="F13">
        <v>501010</v>
      </c>
      <c r="G13" s="2">
        <v>-302.39999999999998</v>
      </c>
      <c r="H13">
        <v>212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18.501010.-300000.16369...</v>
      </c>
      <c r="D14" s="14"/>
      <c r="E14">
        <v>18</v>
      </c>
      <c r="F14">
        <v>501010</v>
      </c>
      <c r="G14" s="1">
        <v>-3000</v>
      </c>
      <c r="H14">
        <v>16369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18.501010.-203672.16371...</v>
      </c>
      <c r="D15" s="14"/>
      <c r="E15">
        <v>18</v>
      </c>
      <c r="F15">
        <v>501010</v>
      </c>
      <c r="G15" s="1">
        <v>-2036.72</v>
      </c>
      <c r="H15">
        <v>16371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18.501010.-75300.16372...</v>
      </c>
      <c r="D16" s="14"/>
      <c r="E16">
        <v>18</v>
      </c>
      <c r="F16">
        <v>501010</v>
      </c>
      <c r="G16" s="1">
        <v>-753</v>
      </c>
      <c r="H16">
        <v>16372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18.501010.-6792.22994...</v>
      </c>
      <c r="D17" s="14"/>
      <c r="E17">
        <v>18</v>
      </c>
      <c r="F17">
        <v>501010</v>
      </c>
      <c r="G17" s="1">
        <v>-67.92</v>
      </c>
      <c r="H17">
        <v>22994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18.501010.-325.22998...</v>
      </c>
      <c r="D18" s="14"/>
      <c r="E18">
        <v>18</v>
      </c>
      <c r="F18">
        <v>501010</v>
      </c>
      <c r="G18" s="1">
        <v>-3.25</v>
      </c>
      <c r="H18">
        <v>22998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18.501010.-12163.23002...</v>
      </c>
      <c r="D19" s="14"/>
      <c r="E19">
        <v>18</v>
      </c>
      <c r="F19">
        <v>501010</v>
      </c>
      <c r="G19" s="1">
        <v>-121.63</v>
      </c>
      <c r="H19">
        <v>23002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18.501010.-20002.23003...</v>
      </c>
      <c r="D20" s="14"/>
      <c r="E20">
        <v>18</v>
      </c>
      <c r="F20">
        <v>501010</v>
      </c>
      <c r="G20" s="1">
        <v>-200.02</v>
      </c>
      <c r="H20">
        <v>23003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18.501010.-49599.23004...</v>
      </c>
      <c r="D21" s="14"/>
      <c r="E21">
        <v>18</v>
      </c>
      <c r="F21">
        <v>501010</v>
      </c>
      <c r="G21" s="1">
        <v>-495.99</v>
      </c>
      <c r="H21">
        <v>23004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18.501010.-1268.23005...</v>
      </c>
      <c r="D22" s="14"/>
      <c r="E22">
        <v>18</v>
      </c>
      <c r="F22">
        <v>501010</v>
      </c>
      <c r="G22" s="1">
        <v>-12.68</v>
      </c>
      <c r="H22">
        <v>23005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18.501010.-10899.23006...</v>
      </c>
      <c r="D23" s="14"/>
      <c r="E23">
        <v>18</v>
      </c>
      <c r="F23">
        <v>501010</v>
      </c>
      <c r="G23" s="1">
        <v>-108.99</v>
      </c>
      <c r="H23">
        <v>23006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18.501010.-912704.101174...</v>
      </c>
      <c r="D24" s="14"/>
      <c r="E24">
        <v>18</v>
      </c>
      <c r="F24">
        <v>501010</v>
      </c>
      <c r="G24" s="1">
        <v>-9127.0400000000009</v>
      </c>
      <c r="H24">
        <v>101174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18.501010.-277347.101295...</v>
      </c>
      <c r="D25" s="14"/>
      <c r="E25">
        <v>18</v>
      </c>
      <c r="F25">
        <v>501010</v>
      </c>
      <c r="G25" s="1">
        <v>-2773.47</v>
      </c>
      <c r="H25">
        <v>101295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18.501010.-289211.101353...</v>
      </c>
      <c r="D26" s="14"/>
      <c r="E26">
        <v>18</v>
      </c>
      <c r="F26">
        <v>501010</v>
      </c>
      <c r="G26" s="1">
        <v>-2892.11</v>
      </c>
      <c r="H26">
        <v>101353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18.501010.-506211.101377...</v>
      </c>
      <c r="D27" s="14"/>
      <c r="E27">
        <v>18</v>
      </c>
      <c r="F27">
        <v>501010</v>
      </c>
      <c r="G27" s="1">
        <v>-5062.1099999999997</v>
      </c>
      <c r="H27">
        <v>101377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18.501010.-11316.101412...</v>
      </c>
      <c r="D28" s="14"/>
      <c r="E28">
        <v>18</v>
      </c>
      <c r="F28">
        <v>501010</v>
      </c>
      <c r="G28" s="1">
        <v>-113.16</v>
      </c>
      <c r="H28">
        <v>101412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18.501010.-13107.101417...</v>
      </c>
      <c r="D29" s="14"/>
      <c r="E29">
        <v>18</v>
      </c>
      <c r="F29">
        <v>501010</v>
      </c>
      <c r="G29" s="1">
        <v>-131.07</v>
      </c>
      <c r="H29">
        <v>101417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18.501010.-99905.101420...</v>
      </c>
      <c r="D30" s="14"/>
      <c r="E30">
        <v>18</v>
      </c>
      <c r="F30">
        <v>501010</v>
      </c>
      <c r="G30" s="1">
        <v>-999.05</v>
      </c>
      <c r="H30">
        <v>101420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18.501010.-24382.101423...</v>
      </c>
      <c r="D31" s="14"/>
      <c r="E31">
        <v>18</v>
      </c>
      <c r="F31">
        <v>501010</v>
      </c>
      <c r="G31" s="1">
        <v>-243.82</v>
      </c>
      <c r="H31">
        <v>101423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18.501010.-55523.101430...</v>
      </c>
      <c r="D32" s="14"/>
      <c r="E32">
        <v>18</v>
      </c>
      <c r="F32">
        <v>501010</v>
      </c>
      <c r="G32" s="1">
        <v>-555.23</v>
      </c>
      <c r="H32">
        <v>101430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18.501010.-18100.101477...</v>
      </c>
      <c r="D33" s="14"/>
      <c r="E33">
        <v>18</v>
      </c>
      <c r="F33">
        <v>501010</v>
      </c>
      <c r="G33" s="1">
        <v>-181</v>
      </c>
      <c r="H33">
        <v>101477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18.501010.-217368.101479...</v>
      </c>
      <c r="D34" s="14"/>
      <c r="E34">
        <v>18</v>
      </c>
      <c r="F34">
        <v>501010</v>
      </c>
      <c r="G34" s="1">
        <v>-2173.6799999999998</v>
      </c>
      <c r="H34">
        <v>101479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18.501010.-63893.101487...</v>
      </c>
      <c r="D35" s="14"/>
      <c r="E35">
        <v>18</v>
      </c>
      <c r="F35">
        <v>501010</v>
      </c>
      <c r="G35" s="1">
        <v>-638.92999999999995</v>
      </c>
      <c r="H35">
        <v>101487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18.501010.-10922.101494...</v>
      </c>
      <c r="D36" s="14"/>
      <c r="E36">
        <v>18</v>
      </c>
      <c r="F36">
        <v>501010</v>
      </c>
      <c r="G36" s="1">
        <v>-109.22</v>
      </c>
      <c r="H36">
        <v>101494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18.501010.-11468.101495...</v>
      </c>
      <c r="D37" s="14"/>
      <c r="E37">
        <v>18</v>
      </c>
      <c r="F37">
        <v>501010</v>
      </c>
      <c r="G37" s="1">
        <v>-114.68</v>
      </c>
      <c r="H37">
        <v>101495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18.501010.-141108.101496...</v>
      </c>
      <c r="D38" s="14"/>
      <c r="E38">
        <v>18</v>
      </c>
      <c r="F38">
        <v>501010</v>
      </c>
      <c r="G38" s="1">
        <v>-1411.08</v>
      </c>
      <c r="H38">
        <v>101496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18.501010.-92982.101497...</v>
      </c>
      <c r="D39" s="14"/>
      <c r="E39">
        <v>18</v>
      </c>
      <c r="F39">
        <v>501010</v>
      </c>
      <c r="G39" s="1">
        <v>-929.82</v>
      </c>
      <c r="H39">
        <v>101497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18.501010.-11314.101498...</v>
      </c>
      <c r="D40" s="14"/>
      <c r="E40">
        <v>18</v>
      </c>
      <c r="F40">
        <v>501010</v>
      </c>
      <c r="G40" s="1">
        <v>-113.14</v>
      </c>
      <c r="H40">
        <v>101498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18.501010.-163729.101501...</v>
      </c>
      <c r="D41" s="14"/>
      <c r="E41">
        <v>18</v>
      </c>
      <c r="F41">
        <v>501010</v>
      </c>
      <c r="G41" s="1">
        <v>-1637.29</v>
      </c>
      <c r="H41">
        <v>101501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si="0"/>
        <v>18.501010.-59998.101506...</v>
      </c>
      <c r="D42" s="14"/>
      <c r="E42">
        <v>18</v>
      </c>
      <c r="F42">
        <v>501010</v>
      </c>
      <c r="G42" s="1">
        <v>-599.98</v>
      </c>
      <c r="H42">
        <v>101506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0"/>
        <v>18.501010.-11796.101507...</v>
      </c>
      <c r="D43" s="14"/>
      <c r="E43">
        <v>18</v>
      </c>
      <c r="F43">
        <v>501010</v>
      </c>
      <c r="G43" s="1">
        <v>-117.96</v>
      </c>
      <c r="H43">
        <v>101507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0"/>
        <v>18.501010.-49247.101508...</v>
      </c>
      <c r="D44" s="14"/>
      <c r="E44">
        <v>18</v>
      </c>
      <c r="F44">
        <v>501010</v>
      </c>
      <c r="G44" s="1">
        <v>-492.47</v>
      </c>
      <c r="H44">
        <v>101508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0"/>
        <v>18.501010.-151534.101509...</v>
      </c>
      <c r="D45" s="14"/>
      <c r="E45">
        <v>18</v>
      </c>
      <c r="F45">
        <v>501010</v>
      </c>
      <c r="G45" s="1">
        <v>-1515.34</v>
      </c>
      <c r="H45">
        <v>101509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0"/>
        <v>18.501010.-13107.101511...</v>
      </c>
      <c r="D46" s="14"/>
      <c r="E46">
        <v>18</v>
      </c>
      <c r="F46">
        <v>501010</v>
      </c>
      <c r="G46" s="1">
        <v>-131.07</v>
      </c>
      <c r="H46">
        <v>101511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0"/>
        <v>18.501010.-11796.101513...</v>
      </c>
      <c r="D47" s="14"/>
      <c r="E47">
        <v>18</v>
      </c>
      <c r="F47">
        <v>501010</v>
      </c>
      <c r="G47" s="1">
        <v>-117.96</v>
      </c>
      <c r="H47">
        <v>101513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0"/>
        <v>18.501010.-106156.101514...</v>
      </c>
      <c r="D48" s="14"/>
      <c r="E48">
        <v>18</v>
      </c>
      <c r="F48">
        <v>501010</v>
      </c>
      <c r="G48" s="1">
        <v>-1061.56</v>
      </c>
      <c r="H48">
        <v>101514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0"/>
        <v>18.501010.-13107.101515...</v>
      </c>
      <c r="D49" s="14"/>
      <c r="E49">
        <v>18</v>
      </c>
      <c r="F49">
        <v>501010</v>
      </c>
      <c r="G49" s="1">
        <v>-131.07</v>
      </c>
      <c r="H49">
        <v>101515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0"/>
        <v>18.501010.-56467.101517...</v>
      </c>
      <c r="D50" s="14"/>
      <c r="E50">
        <v>18</v>
      </c>
      <c r="F50">
        <v>501010</v>
      </c>
      <c r="G50" s="1">
        <v>-564.66999999999996</v>
      </c>
      <c r="H50">
        <v>101517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0"/>
        <v>18.501010.-19826.101519...</v>
      </c>
      <c r="D51" s="14"/>
      <c r="E51">
        <v>18</v>
      </c>
      <c r="F51">
        <v>501010</v>
      </c>
      <c r="G51" s="1">
        <v>-198.26</v>
      </c>
      <c r="H51">
        <v>101519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0"/>
        <v>18.501010.-59998.101522...</v>
      </c>
      <c r="D52" s="14"/>
      <c r="E52">
        <v>18</v>
      </c>
      <c r="F52">
        <v>501010</v>
      </c>
      <c r="G52" s="1">
        <v>-599.98</v>
      </c>
      <c r="H52">
        <v>101522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0"/>
        <v>18.501010.-41396.101524...</v>
      </c>
      <c r="D53" s="14"/>
      <c r="E53">
        <v>18</v>
      </c>
      <c r="F53">
        <v>501010</v>
      </c>
      <c r="G53" s="1">
        <v>-413.96</v>
      </c>
      <c r="H53">
        <v>101524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ref="C54:C55" si="1">IF(E54="","",(E54&amp;"."&amp;F54&amp;"."&amp;G54*100&amp;"."&amp;H54&amp;"."&amp;I54&amp;"."&amp;J54&amp;"."&amp;K54))</f>
        <v/>
      </c>
      <c r="D54" s="14"/>
      <c r="G54" s="1"/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1"/>
        <v/>
      </c>
      <c r="D55" s="14"/>
      <c r="G55" s="1"/>
      <c r="J55" s="18"/>
      <c r="K55" s="18"/>
      <c r="L55" s="14"/>
      <c r="N55" s="14"/>
    </row>
    <row r="56" spans="1:14" x14ac:dyDescent="0.25">
      <c r="A56" s="4"/>
      <c r="B56" s="14"/>
      <c r="C56" s="17" t="str">
        <f t="shared" ref="C56:C73" si="2">IF(E56="","",(E56&amp;"."&amp;F56&amp;"."&amp;G56*100&amp;"."&amp;H56&amp;"."&amp;I56&amp;"."&amp;J56&amp;"."&amp;K56))</f>
        <v/>
      </c>
      <c r="D56" s="14"/>
      <c r="G56" s="1"/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2"/>
        <v/>
      </c>
      <c r="D57" s="14"/>
      <c r="G57" s="1"/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2"/>
        <v/>
      </c>
      <c r="D58" s="14"/>
      <c r="G58" s="1"/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2"/>
        <v/>
      </c>
      <c r="D59" s="14"/>
      <c r="G59" s="1"/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2"/>
        <v/>
      </c>
      <c r="D60" s="14"/>
      <c r="G60" s="1"/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2"/>
        <v/>
      </c>
      <c r="D61" s="14"/>
      <c r="G61" s="1"/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2"/>
        <v/>
      </c>
      <c r="D62" s="14"/>
      <c r="G62" s="1"/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2"/>
        <v/>
      </c>
      <c r="D63" s="14"/>
      <c r="G63" s="1"/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2"/>
        <v/>
      </c>
      <c r="D64" s="14"/>
      <c r="G64" s="1"/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2"/>
        <v/>
      </c>
      <c r="D65" s="14"/>
      <c r="G65" s="1"/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2"/>
        <v/>
      </c>
      <c r="D66" s="14"/>
      <c r="G66" s="1"/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2"/>
        <v/>
      </c>
      <c r="D67" s="14"/>
      <c r="G67" s="1"/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2"/>
        <v/>
      </c>
      <c r="D68" s="14"/>
      <c r="G68" s="1"/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2"/>
        <v/>
      </c>
      <c r="D69" s="14"/>
      <c r="G69" s="1"/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2"/>
        <v/>
      </c>
      <c r="D70" s="14"/>
      <c r="G70" s="1"/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2"/>
        <v/>
      </c>
      <c r="D71" s="14"/>
      <c r="G71" s="1"/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2"/>
        <v/>
      </c>
      <c r="D72" s="14"/>
      <c r="G72" s="1"/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2"/>
        <v/>
      </c>
      <c r="D73" s="14"/>
      <c r="G73" s="1"/>
      <c r="J73" s="18"/>
      <c r="K73" s="18"/>
      <c r="L73" s="14"/>
      <c r="N73" s="14"/>
    </row>
    <row r="74" spans="1:14" x14ac:dyDescent="0.25">
      <c r="A74" s="4"/>
      <c r="B74" s="14"/>
      <c r="C74" s="17" t="str">
        <f t="shared" ref="C74:C79" si="3">IF(E74="","",(E74&amp;"."&amp;F74&amp;"."&amp;G74*100&amp;"."&amp;H74&amp;"."&amp;I74&amp;"."&amp;J74&amp;"."&amp;K74))</f>
        <v/>
      </c>
      <c r="D74" s="14"/>
      <c r="G74" s="1"/>
      <c r="J74" s="18"/>
      <c r="K74" s="18"/>
      <c r="L74" s="14"/>
      <c r="N74" s="14"/>
    </row>
    <row r="75" spans="1:14" x14ac:dyDescent="0.25">
      <c r="A75" s="4"/>
      <c r="B75" s="14"/>
      <c r="C75" s="17" t="str">
        <f t="shared" si="3"/>
        <v/>
      </c>
      <c r="D75" s="14"/>
      <c r="G75" s="1"/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3"/>
        <v/>
      </c>
      <c r="D76" s="14"/>
      <c r="G76" s="1"/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3"/>
        <v/>
      </c>
      <c r="D77" s="14"/>
      <c r="G77" s="1"/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3"/>
        <v/>
      </c>
      <c r="D78" s="14"/>
      <c r="G78" s="1"/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3"/>
        <v/>
      </c>
      <c r="D79" s="14"/>
      <c r="G79" s="1"/>
      <c r="J79" s="18"/>
      <c r="K79" s="18"/>
      <c r="L79" s="14"/>
      <c r="N79" s="14"/>
    </row>
    <row r="80" spans="1:14" x14ac:dyDescent="0.25">
      <c r="A80" s="4"/>
      <c r="B80" s="14"/>
      <c r="C80" s="17" t="str">
        <f t="shared" ref="C80:C138" si="4">IF(G80=0,"",(E80&amp;"."&amp;F80&amp;"."&amp;G80*100&amp;"."&amp;H80&amp;"."&amp;I80&amp;"."&amp;J80&amp;"."&amp;K80))</f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4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4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4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4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4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4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4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4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4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4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4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4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4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4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4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4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4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4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4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4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4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4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4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4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4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4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4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4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4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4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4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4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4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4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4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4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4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4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4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4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4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4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4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4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4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4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4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4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4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4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4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4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4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4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4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4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4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4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5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5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5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5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5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5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5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5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5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5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5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5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5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5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5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5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5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5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5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5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5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5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5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5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5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5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5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5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5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5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5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5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5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5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5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5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5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5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5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5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5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5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5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5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5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5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5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5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5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5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5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5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5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5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5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5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5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5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5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5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5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5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5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5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6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6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6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6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6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6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6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6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6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6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6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6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6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6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6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6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6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6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6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6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6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6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6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6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6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6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6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6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6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6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6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6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6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6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6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6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6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6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6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6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6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6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6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6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6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6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6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6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6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6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6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6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6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6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6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6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6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6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6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6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6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6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6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6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7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7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7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7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7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7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7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7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7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7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7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7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7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7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7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7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7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7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7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7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7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7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7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7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7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7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7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7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7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7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7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7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7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7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7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7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7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7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7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7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7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7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7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7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7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7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7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7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7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7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7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7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7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7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7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7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7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7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7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7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7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7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7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7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8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8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8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8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8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8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8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8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8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8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8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8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8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8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8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8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8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8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8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8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8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8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8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8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8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8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8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8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8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8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8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8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8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8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8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8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8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8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8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8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8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8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8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8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8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8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8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8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8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8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8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8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8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8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8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8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8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8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8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8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8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8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8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8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9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9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9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9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9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9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9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9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9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9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9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9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9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9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Gracie Edgar</cp:lastModifiedBy>
  <dcterms:created xsi:type="dcterms:W3CDTF">2025-07-30T15:20:09Z</dcterms:created>
  <dcterms:modified xsi:type="dcterms:W3CDTF">2026-05-28T19:06:52Z</dcterms:modified>
</cp:coreProperties>
</file>